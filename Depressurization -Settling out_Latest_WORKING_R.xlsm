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Nick\Desktop\New folder\"/>
    </mc:Choice>
  </mc:AlternateContent>
  <bookViews>
    <workbookView xWindow="-750" yWindow="-240" windowWidth="11670" windowHeight="10065" tabRatio="914" firstSheet="6" activeTab="13"/>
  </bookViews>
  <sheets>
    <sheet name="General" sheetId="26" r:id="rId1"/>
    <sheet name="HMB" sheetId="17" r:id="rId2"/>
    <sheet name="SKETCH" sheetId="21" r:id="rId3"/>
    <sheet name="Furnace Volume" sheetId="24" r:id="rId4"/>
    <sheet name="Fractional Columns" sheetId="29" r:id="rId5"/>
    <sheet name="Reactors volumes" sheetId="5" r:id="rId6"/>
    <sheet name="Exchangers Volumes" sheetId="6" r:id="rId7"/>
    <sheet name="Vessels Volume" sheetId="28" r:id="rId8"/>
    <sheet name="Piping Volume" sheetId="16" r:id="rId9"/>
    <sheet name="Average Streams" sheetId="3" r:id="rId10"/>
    <sheet name="Settling out" sheetId="2" r:id="rId11"/>
    <sheet name="Design pressure profile" sheetId="12" r:id="rId12"/>
    <sheet name="Depressuring flow" sheetId="15" r:id="rId13"/>
    <sheet name="Program Revisions" sheetId="27" r:id="rId14"/>
  </sheets>
  <externalReferences>
    <externalReference r:id="rId15"/>
    <externalReference r:id="rId16"/>
    <externalReference r:id="rId17"/>
  </externalReferences>
  <definedNames>
    <definedName name="_xlnm._FilterDatabase" localSheetId="9" hidden="1">'Average Streams'!$F$15:$F$56</definedName>
    <definedName name="_xlnm._FilterDatabase" localSheetId="1" hidden="1">HMB!$B$6000:$B$6234</definedName>
    <definedName name="anscount" hidden="1">1</definedName>
    <definedName name="APressU" localSheetId="13">[1]General!$AC$3</definedName>
    <definedName name="AreaConv" localSheetId="13">[1]General!$AT$4</definedName>
    <definedName name="AreaU" comment="Area Unit Selection" localSheetId="13">[1]General!$L$16</definedName>
    <definedName name="ChgArr">[2]General!$E$30:$M$31,[2]General!$D$34:$M$35,[2]General!$I$38:$M$39,[2]General!$J$8</definedName>
    <definedName name="_xlnm.Criteria" localSheetId="9">'Average Streams'!$F$15:$F$56</definedName>
    <definedName name="_xlnm.Criteria" localSheetId="1">HMB!$B$6000:$B$6234</definedName>
    <definedName name="CurrRev" localSheetId="13">'Program Revisions'!$J$1</definedName>
    <definedName name="CurrRev">'[3]Program Revisions'!$J$1</definedName>
    <definedName name="DensityConv" localSheetId="13">[1]General!$AV$4</definedName>
    <definedName name="DensityU" comment="Density Unit Selection" localSheetId="13">[1]General!$L$17</definedName>
    <definedName name="DistConv" comment="Distance Conversion" localSheetId="13">[1]General!$AR$4</definedName>
    <definedName name="DistU" comment="Distance Unit Selection" localSheetId="13">[1]General!$L$15</definedName>
    <definedName name="DPLengthConv" localSheetId="13">[1]General!$BN$4</definedName>
    <definedName name="DPLengthU" localSheetId="13">[1]General!$L$25</definedName>
    <definedName name="Equipment">'Furnace Volume'!$D$15:$G$71</definedName>
    <definedName name="ExchangersSS">'Exchangers Volumes'!$I$11:$O$11</definedName>
    <definedName name="ExchangersTS">'Exchangers Volumes'!$I$47:$O$47</definedName>
    <definedName name="_xlnm.Extract" localSheetId="9">'Average Streams'!$AF$15</definedName>
    <definedName name="_xlnm.Extract" localSheetId="1">HMB!$A$6000</definedName>
    <definedName name="GPressU" localSheetId="13">[1]General!$AA$3</definedName>
    <definedName name="HMB">HMB!$D$14:$IH$68</definedName>
    <definedName name="LVFlowConv" localSheetId="13">[1]General!$AJ$4</definedName>
    <definedName name="LVFlowU" comment="Liquid Volume Flow Unit Selection" localSheetId="13">[1]General!$L$11</definedName>
    <definedName name="MassFlowConv" localSheetId="13">[1]General!$AH$4</definedName>
    <definedName name="MassFlowU" comment="Mass Flow Unit Selection" localSheetId="13">[1]General!$L$10</definedName>
    <definedName name="PipeDiaConv" localSheetId="13">[1]General!$AN$4</definedName>
    <definedName name="PipeDiaU" comment="Orifice/Pipe Diameter Unit Selection" localSheetId="13">[1]General!$L$13</definedName>
    <definedName name="PressConv" comment="Pressure Conversion Factor" localSheetId="13">[1]General!$AB$4</definedName>
    <definedName name="PressU" comment="pressure unit selection" localSheetId="13">[1]General!$L$8</definedName>
    <definedName name="_xlnm.Print_Area" localSheetId="9">'Average Streams'!$B$1:$R$76</definedName>
    <definedName name="_xlnm.Print_Area" localSheetId="12">'Depressuring flow'!$A$1:$L$64</definedName>
    <definedName name="_xlnm.Print_Area" localSheetId="11">'Design pressure profile'!$A$1:$L$144</definedName>
    <definedName name="_xlnm.Print_Area" localSheetId="6">'Exchangers Volumes'!$B$1:$R$85</definedName>
    <definedName name="_xlnm.Print_Area" localSheetId="3">'Furnace Volume'!$B$1:$R$85</definedName>
    <definedName name="_xlnm.Print_Area" localSheetId="0">General!$A$4:$L$40</definedName>
    <definedName name="_xlnm.Print_Area" localSheetId="1">HMB!$A$1:$IH$68</definedName>
    <definedName name="_xlnm.Print_Area" localSheetId="8">'Piping Volume'!$B$1:$R$83</definedName>
    <definedName name="_xlnm.Print_Area" localSheetId="13">'Program Revisions'!$B$1:$H$110</definedName>
    <definedName name="_xlnm.Print_Area" localSheetId="5">'Reactors volumes'!$B$1:$R$85</definedName>
    <definedName name="_xlnm.Print_Area" localSheetId="10">'Settling out'!$B$1:$U$96</definedName>
    <definedName name="_xlnm.Print_Area" localSheetId="2">SKETCH!$A$1:$CX$65</definedName>
    <definedName name="_xlnm.Print_Titles" localSheetId="1">HMB!$D:$G,HMB!$5:$12</definedName>
    <definedName name="Reactors">'Reactors volumes'!$N$12:$O$12</definedName>
    <definedName name="ResTimeConv" localSheetId="13">[1]General!$CB$4</definedName>
    <definedName name="ResTimeU" localSheetId="13">[1]General!$L$29</definedName>
    <definedName name="sencount" hidden="1">1</definedName>
    <definedName name="strms">'Average Streams'!$AF$15:$AF$51</definedName>
    <definedName name="strms2">HMB!$A$6000:$A$6234</definedName>
    <definedName name="TempU" comment="Temperaure Unit Selection" localSheetId="13">[1]General!$L$9</definedName>
    <definedName name="VelocityConv" localSheetId="13">[1]General!$BH$4</definedName>
    <definedName name="VelocityU" comment="Velocity Unit Selection" localSheetId="13">[1]General!$L$22</definedName>
    <definedName name="ViscConv" localSheetId="13">[1]General!$AX$4</definedName>
    <definedName name="ViscU" comment="Viscosity Unit Selection" localSheetId="13">[1]General!$L$18</definedName>
    <definedName name="VolConv" localSheetId="13">[1]General!$BT$4</definedName>
    <definedName name="VolumeU" localSheetId="13">[1]General!$L$27</definedName>
    <definedName name="VVFlowConv" localSheetId="13">[1]General!$AL$4</definedName>
    <definedName name="VVFlowU" comment="Actual Vapor Volume Flow Unit Selection" localSheetId="13">[1]General!$L$12</definedName>
    <definedName name="Z_E5D99FF3_C22B_41B8_A40B_5D821532B165_.wvu.Cols" localSheetId="13" hidden="1">'Program Revisions'!$G:$G,'Program Revisions'!$JC:$JC,'Program Revisions'!$SY:$SY,'Program Revisions'!$ACU:$ACU,'Program Revisions'!$AMQ:$AMQ,'Program Revisions'!$AWM:$AWM,'Program Revisions'!$BGI:$BGI,'Program Revisions'!$BQE:$BQE,'Program Revisions'!$CAA:$CAA,'Program Revisions'!$CJW:$CJW,'Program Revisions'!$CTS:$CTS,'Program Revisions'!$DDO:$DDO,'Program Revisions'!$DNK:$DNK,'Program Revisions'!$DXG:$DXG,'Program Revisions'!$EHC:$EHC,'Program Revisions'!$EQY:$EQY,'Program Revisions'!$FAU:$FAU,'Program Revisions'!$FKQ:$FKQ,'Program Revisions'!$FUM:$FUM,'Program Revisions'!$GEI:$GEI,'Program Revisions'!$GOE:$GOE,'Program Revisions'!$GYA:$GYA,'Program Revisions'!$HHW:$HHW,'Program Revisions'!$HRS:$HRS,'Program Revisions'!$IBO:$IBO,'Program Revisions'!$ILK:$ILK,'Program Revisions'!$IVG:$IVG,'Program Revisions'!$JFC:$JFC,'Program Revisions'!$JOY:$JOY,'Program Revisions'!$JYU:$JYU,'Program Revisions'!$KIQ:$KIQ,'Program Revisions'!$KSM:$KSM,'Program Revisions'!$LCI:$LCI,'Program Revisions'!$LME:$LME,'Program Revisions'!$LWA:$LWA,'Program Revisions'!$MFW:$MFW,'Program Revisions'!$MPS:$MPS,'Program Revisions'!$MZO:$MZO,'Program Revisions'!$NJK:$NJK,'Program Revisions'!$NTG:$NTG,'Program Revisions'!$ODC:$ODC,'Program Revisions'!$OMY:$OMY,'Program Revisions'!$OWU:$OWU,'Program Revisions'!$PGQ:$PGQ,'Program Revisions'!$PQM:$PQM,'Program Revisions'!$QAI:$QAI,'Program Revisions'!$QKE:$QKE,'Program Revisions'!$QUA:$QUA,'Program Revisions'!$RDW:$RDW,'Program Revisions'!$RNS:$RNS,'Program Revisions'!$RXO:$RXO,'Program Revisions'!$SHK:$SHK,'Program Revisions'!$SRG:$SRG,'Program Revisions'!$TBC:$TBC,'Program Revisions'!$TKY:$TKY,'Program Revisions'!$TUU:$TUU,'Program Revisions'!$UEQ:$UEQ,'Program Revisions'!$UOM:$UOM,'Program Revisions'!$UYI:$UYI,'Program Revisions'!$VIE:$VIE,'Program Revisions'!$VSA:$VSA,'Program Revisions'!$WBW:$WBW,'Program Revisions'!$WLS:$WLS,'Program Revisions'!$WVO:$WVO</definedName>
    <definedName name="Z_E5D99FF3_C22B_41B8_A40B_5D821532B165_.wvu.PrintArea" localSheetId="13" hidden="1">'Program Revisions'!$B$1:$H$110</definedName>
  </definedNames>
  <calcPr calcId="152511" iterate="1" iterateCount="1"/>
  <fileRecoveryPr autoRecover="0"/>
</workbook>
</file>

<file path=xl/calcChain.xml><?xml version="1.0" encoding="utf-8"?>
<calcChain xmlns="http://schemas.openxmlformats.org/spreadsheetml/2006/main">
  <c r="M55" i="2" l="1"/>
  <c r="K83" i="29" l="1"/>
  <c r="K93" i="29" s="1"/>
  <c r="J83" i="29"/>
  <c r="J93" i="29" s="1"/>
  <c r="I83" i="29"/>
  <c r="I93" i="29" s="1"/>
  <c r="H83" i="29"/>
  <c r="H93" i="29" s="1"/>
  <c r="G83" i="29"/>
  <c r="G93" i="29" s="1"/>
  <c r="F83" i="29"/>
  <c r="F93" i="29" s="1"/>
  <c r="K82" i="29"/>
  <c r="K85" i="29" s="1"/>
  <c r="J82" i="29"/>
  <c r="J85" i="29" s="1"/>
  <c r="I82" i="29"/>
  <c r="H82" i="29"/>
  <c r="G82" i="29"/>
  <c r="G85" i="29" s="1"/>
  <c r="F82" i="29"/>
  <c r="F85" i="29" s="1"/>
  <c r="K81" i="29"/>
  <c r="J81" i="29"/>
  <c r="I81" i="29"/>
  <c r="H81" i="29"/>
  <c r="G81" i="29"/>
  <c r="F81" i="29"/>
  <c r="K80" i="29"/>
  <c r="J80" i="29"/>
  <c r="I80" i="29"/>
  <c r="H80" i="29"/>
  <c r="G80" i="29"/>
  <c r="F80" i="29"/>
  <c r="K79" i="29"/>
  <c r="J79" i="29"/>
  <c r="I79" i="29"/>
  <c r="H79" i="29"/>
  <c r="G79" i="29"/>
  <c r="F79" i="29"/>
  <c r="K78" i="29"/>
  <c r="J78" i="29"/>
  <c r="I78" i="29"/>
  <c r="H78" i="29"/>
  <c r="G78" i="29"/>
  <c r="F78" i="29"/>
  <c r="K77" i="29"/>
  <c r="J77" i="29"/>
  <c r="I77" i="29"/>
  <c r="H77" i="29"/>
  <c r="G77" i="29"/>
  <c r="F77" i="29"/>
  <c r="K76" i="29"/>
  <c r="K87" i="29" s="1"/>
  <c r="J76" i="29"/>
  <c r="J87" i="29" s="1"/>
  <c r="I76" i="29"/>
  <c r="I87" i="29" s="1"/>
  <c r="H76" i="29"/>
  <c r="H87" i="29" s="1"/>
  <c r="G76" i="29"/>
  <c r="F76" i="29"/>
  <c r="K75" i="29"/>
  <c r="J75" i="29"/>
  <c r="I75" i="29"/>
  <c r="H75" i="29"/>
  <c r="G75" i="29"/>
  <c r="F75" i="29"/>
  <c r="P28" i="29"/>
  <c r="K25" i="29"/>
  <c r="K32" i="29" s="1"/>
  <c r="J25" i="29"/>
  <c r="J26" i="29" s="1"/>
  <c r="I25" i="29"/>
  <c r="H25" i="29"/>
  <c r="G25" i="29"/>
  <c r="G32" i="29" s="1"/>
  <c r="F25" i="29"/>
  <c r="F26" i="29" s="1"/>
  <c r="K24" i="29"/>
  <c r="J24" i="29"/>
  <c r="I24" i="29"/>
  <c r="H24" i="29"/>
  <c r="G24" i="29"/>
  <c r="F24" i="29"/>
  <c r="K23" i="29"/>
  <c r="J23" i="29"/>
  <c r="I23" i="29"/>
  <c r="H23" i="29"/>
  <c r="G23" i="29"/>
  <c r="F23" i="29"/>
  <c r="K22" i="29"/>
  <c r="J22" i="29"/>
  <c r="I22" i="29"/>
  <c r="H22" i="29"/>
  <c r="G22" i="29"/>
  <c r="F22" i="29"/>
  <c r="L12" i="29"/>
  <c r="I8" i="29"/>
  <c r="D8" i="29"/>
  <c r="I7" i="29"/>
  <c r="D7" i="29"/>
  <c r="I6" i="29"/>
  <c r="D6" i="29"/>
  <c r="O5" i="29"/>
  <c r="O4" i="29"/>
  <c r="O3" i="29"/>
  <c r="O2" i="29"/>
  <c r="F87" i="29" l="1"/>
  <c r="G87" i="29"/>
  <c r="H28" i="29"/>
  <c r="H35" i="29" s="1"/>
  <c r="H39" i="29" s="1"/>
  <c r="I29" i="29"/>
  <c r="I30" i="29" s="1"/>
  <c r="I32" i="29"/>
  <c r="H26" i="29"/>
  <c r="K86" i="29"/>
  <c r="K88" i="29" s="1"/>
  <c r="H86" i="29"/>
  <c r="H88" i="29" s="1"/>
  <c r="I89" i="29"/>
  <c r="G29" i="29"/>
  <c r="G30" i="29" s="1"/>
  <c r="I86" i="29"/>
  <c r="I88" i="29" s="1"/>
  <c r="I91" i="29"/>
  <c r="I90" i="29" s="1"/>
  <c r="K29" i="29"/>
  <c r="K30" i="29" s="1"/>
  <c r="G86" i="29"/>
  <c r="J28" i="29"/>
  <c r="G26" i="29"/>
  <c r="K26" i="29"/>
  <c r="I28" i="29"/>
  <c r="F29" i="29"/>
  <c r="F30" i="29" s="1"/>
  <c r="J29" i="29"/>
  <c r="J30" i="29" s="1"/>
  <c r="H32" i="29"/>
  <c r="H85" i="29"/>
  <c r="F86" i="29"/>
  <c r="J86" i="29"/>
  <c r="H89" i="29"/>
  <c r="H91" i="29"/>
  <c r="H90" i="29" s="1"/>
  <c r="I26" i="29"/>
  <c r="G28" i="29"/>
  <c r="K28" i="29"/>
  <c r="H29" i="29"/>
  <c r="H30" i="29" s="1"/>
  <c r="F32" i="29"/>
  <c r="J32" i="29"/>
  <c r="F89" i="29"/>
  <c r="J89" i="29"/>
  <c r="F91" i="29"/>
  <c r="F90" i="29" s="1"/>
  <c r="J91" i="29"/>
  <c r="J90" i="29" s="1"/>
  <c r="F28" i="29"/>
  <c r="I85" i="29"/>
  <c r="G89" i="29"/>
  <c r="K89" i="29"/>
  <c r="G91" i="29"/>
  <c r="G90" i="29" s="1"/>
  <c r="K91" i="29"/>
  <c r="K90" i="29" s="1"/>
  <c r="AL111" i="28"/>
  <c r="AK111" i="28"/>
  <c r="AJ111" i="28"/>
  <c r="AI111" i="28"/>
  <c r="AH111" i="28"/>
  <c r="AG111" i="28"/>
  <c r="AF111" i="28"/>
  <c r="AE111" i="28"/>
  <c r="AD111" i="28"/>
  <c r="AC111" i="28"/>
  <c r="AB111" i="28"/>
  <c r="AA111" i="28"/>
  <c r="Z111" i="28"/>
  <c r="AL110" i="28"/>
  <c r="AK110" i="28"/>
  <c r="AJ110" i="28"/>
  <c r="AI110" i="28"/>
  <c r="AH110" i="28"/>
  <c r="AG110" i="28"/>
  <c r="AF110" i="28"/>
  <c r="AE110" i="28"/>
  <c r="AD110" i="28"/>
  <c r="AC110" i="28"/>
  <c r="AB110" i="28"/>
  <c r="AA110" i="28"/>
  <c r="Z110" i="28"/>
  <c r="AL109" i="28"/>
  <c r="AK109" i="28"/>
  <c r="AJ109" i="28"/>
  <c r="AI109" i="28"/>
  <c r="AH109" i="28"/>
  <c r="AG109" i="28"/>
  <c r="AF109" i="28"/>
  <c r="AE109" i="28"/>
  <c r="AD109" i="28"/>
  <c r="AC109" i="28"/>
  <c r="AB109" i="28"/>
  <c r="AA109" i="28"/>
  <c r="Z109" i="28"/>
  <c r="AL87" i="28"/>
  <c r="AK87" i="28"/>
  <c r="AJ87" i="28"/>
  <c r="AI87" i="28"/>
  <c r="AH87" i="28"/>
  <c r="AG87" i="28"/>
  <c r="AF87" i="28"/>
  <c r="AE87" i="28"/>
  <c r="AD87" i="28"/>
  <c r="AC87" i="28"/>
  <c r="AB87" i="28"/>
  <c r="AA87" i="28"/>
  <c r="Z87" i="28"/>
  <c r="AL86" i="28"/>
  <c r="AK86" i="28"/>
  <c r="AJ86" i="28"/>
  <c r="AI86" i="28"/>
  <c r="AH86" i="28"/>
  <c r="AG86" i="28"/>
  <c r="AF86" i="28"/>
  <c r="AE86" i="28"/>
  <c r="AD86" i="28"/>
  <c r="AC86" i="28"/>
  <c r="AB86" i="28"/>
  <c r="AA86" i="28"/>
  <c r="Z86" i="28"/>
  <c r="Y86" i="28"/>
  <c r="X86" i="28"/>
  <c r="W86" i="28"/>
  <c r="V86" i="28"/>
  <c r="U86" i="28"/>
  <c r="T86" i="28"/>
  <c r="AL85" i="28"/>
  <c r="AK85" i="28"/>
  <c r="AJ85" i="28"/>
  <c r="AI85" i="28"/>
  <c r="AH85" i="28"/>
  <c r="AG85" i="28"/>
  <c r="AF85" i="28"/>
  <c r="AE85" i="28"/>
  <c r="AD85" i="28"/>
  <c r="AC85" i="28"/>
  <c r="AB85" i="28"/>
  <c r="AA85" i="28"/>
  <c r="Z85" i="28"/>
  <c r="Y85" i="28"/>
  <c r="AL79" i="28"/>
  <c r="AK79" i="28"/>
  <c r="AJ79" i="28"/>
  <c r="AI79" i="28"/>
  <c r="AH79" i="28"/>
  <c r="AG79" i="28"/>
  <c r="AF79" i="28"/>
  <c r="AE79" i="28"/>
  <c r="AD79" i="28"/>
  <c r="AC79" i="28"/>
  <c r="AB79" i="28"/>
  <c r="AA79" i="28"/>
  <c r="Z79" i="28"/>
  <c r="Y79" i="28"/>
  <c r="K53" i="28"/>
  <c r="J53" i="28"/>
  <c r="I53" i="28"/>
  <c r="H53" i="28"/>
  <c r="G53" i="28"/>
  <c r="F53" i="28"/>
  <c r="K52" i="28"/>
  <c r="J52" i="28"/>
  <c r="I52" i="28"/>
  <c r="H52" i="28"/>
  <c r="G52" i="28"/>
  <c r="F52" i="28"/>
  <c r="K51" i="28"/>
  <c r="J51" i="28"/>
  <c r="I51" i="28"/>
  <c r="H51" i="28"/>
  <c r="G51" i="28"/>
  <c r="F51" i="28"/>
  <c r="K50" i="28"/>
  <c r="J50" i="28"/>
  <c r="I50" i="28"/>
  <c r="H50" i="28"/>
  <c r="G50" i="28"/>
  <c r="F50" i="28"/>
  <c r="K25" i="28"/>
  <c r="J25" i="28"/>
  <c r="I25" i="28"/>
  <c r="H25" i="28"/>
  <c r="G25" i="28"/>
  <c r="F25" i="28"/>
  <c r="K24" i="28"/>
  <c r="J24" i="28"/>
  <c r="I24" i="28"/>
  <c r="H24" i="28"/>
  <c r="G24" i="28"/>
  <c r="F24" i="28"/>
  <c r="K23" i="28"/>
  <c r="J23" i="28"/>
  <c r="V79" i="28" s="1"/>
  <c r="I23" i="28"/>
  <c r="I30" i="28" s="1"/>
  <c r="H23" i="28"/>
  <c r="T79" i="28" s="1"/>
  <c r="G23" i="28"/>
  <c r="G30" i="28" s="1"/>
  <c r="F23" i="28"/>
  <c r="S79" i="28" s="1"/>
  <c r="K22" i="28"/>
  <c r="J22" i="28"/>
  <c r="I22" i="28"/>
  <c r="H22" i="28"/>
  <c r="G22" i="28"/>
  <c r="F22" i="28"/>
  <c r="AN18" i="28"/>
  <c r="AM18" i="28"/>
  <c r="AL18" i="28"/>
  <c r="AK18" i="28"/>
  <c r="AJ18" i="28"/>
  <c r="AI18" i="28"/>
  <c r="AH18" i="28"/>
  <c r="AG18" i="28"/>
  <c r="AF18" i="28"/>
  <c r="AE18" i="28"/>
  <c r="AD18" i="28"/>
  <c r="AC18" i="28"/>
  <c r="AB18" i="28"/>
  <c r="AA18" i="28"/>
  <c r="Z18" i="28"/>
  <c r="Y18" i="28"/>
  <c r="X18" i="28"/>
  <c r="W18" i="28"/>
  <c r="V18" i="28"/>
  <c r="U18" i="28"/>
  <c r="T18" i="28"/>
  <c r="S18" i="28"/>
  <c r="R18" i="28"/>
  <c r="Q18" i="28"/>
  <c r="P18" i="28"/>
  <c r="L17" i="28"/>
  <c r="O16" i="28"/>
  <c r="K16" i="28"/>
  <c r="J16" i="28"/>
  <c r="I15" i="28"/>
  <c r="N14" i="28"/>
  <c r="C8" i="28"/>
  <c r="C7" i="28"/>
  <c r="C6" i="28"/>
  <c r="O5" i="28"/>
  <c r="O4" i="28"/>
  <c r="O3" i="28"/>
  <c r="O2" i="28"/>
  <c r="H31" i="29" l="1"/>
  <c r="H36" i="29" s="1"/>
  <c r="H40" i="29" s="1"/>
  <c r="K92" i="29"/>
  <c r="K95" i="29" s="1"/>
  <c r="K99" i="29" s="1"/>
  <c r="G94" i="29"/>
  <c r="G98" i="29" s="1"/>
  <c r="F33" i="29"/>
  <c r="F37" i="29" s="1"/>
  <c r="F92" i="29"/>
  <c r="H33" i="29"/>
  <c r="H37" i="29" s="1"/>
  <c r="I96" i="29"/>
  <c r="I100" i="29" s="1"/>
  <c r="G88" i="29"/>
  <c r="I92" i="29"/>
  <c r="I97" i="29" s="1"/>
  <c r="I101" i="29" s="1"/>
  <c r="K35" i="29"/>
  <c r="K39" i="29" s="1"/>
  <c r="K31" i="29"/>
  <c r="K36" i="29" s="1"/>
  <c r="K40" i="29" s="1"/>
  <c r="G33" i="29"/>
  <c r="G37" i="29" s="1"/>
  <c r="I94" i="29"/>
  <c r="I98" i="29" s="1"/>
  <c r="J92" i="29"/>
  <c r="K96" i="29"/>
  <c r="K100" i="29" s="1"/>
  <c r="J96" i="29"/>
  <c r="J100" i="29" s="1"/>
  <c r="J88" i="29"/>
  <c r="K33" i="29"/>
  <c r="K37" i="29" s="1"/>
  <c r="J94" i="29"/>
  <c r="J98" i="29" s="1"/>
  <c r="F35" i="29"/>
  <c r="F39" i="29" s="1"/>
  <c r="F31" i="29"/>
  <c r="F96" i="29"/>
  <c r="F100" i="29" s="1"/>
  <c r="F88" i="29"/>
  <c r="G31" i="29"/>
  <c r="G36" i="29" s="1"/>
  <c r="G40" i="29" s="1"/>
  <c r="G35" i="29"/>
  <c r="G39" i="29" s="1"/>
  <c r="H94" i="29"/>
  <c r="H98" i="29" s="1"/>
  <c r="J35" i="29"/>
  <c r="J39" i="29" s="1"/>
  <c r="J31" i="29"/>
  <c r="F94" i="29"/>
  <c r="F98" i="29" s="1"/>
  <c r="J33" i="29"/>
  <c r="J37" i="29" s="1"/>
  <c r="G92" i="29"/>
  <c r="I33" i="29"/>
  <c r="I37" i="29" s="1"/>
  <c r="H92" i="29"/>
  <c r="H97" i="29" s="1"/>
  <c r="H101" i="29" s="1"/>
  <c r="I35" i="29"/>
  <c r="I39" i="29" s="1"/>
  <c r="I31" i="29"/>
  <c r="I36" i="29" s="1"/>
  <c r="I40" i="29" s="1"/>
  <c r="G96" i="29"/>
  <c r="G100" i="29" s="1"/>
  <c r="K94" i="29"/>
  <c r="K98" i="29" s="1"/>
  <c r="H96" i="29"/>
  <c r="H100" i="29" s="1"/>
  <c r="AF90" i="28"/>
  <c r="Z90" i="28"/>
  <c r="I26" i="28"/>
  <c r="V85" i="28" s="1"/>
  <c r="V89" i="28" s="1"/>
  <c r="K33" i="28"/>
  <c r="K28" i="28" s="1"/>
  <c r="K35" i="28" s="1"/>
  <c r="Y89" i="28"/>
  <c r="AC89" i="28"/>
  <c r="AG89" i="28"/>
  <c r="AK89" i="28"/>
  <c r="H54" i="28"/>
  <c r="F61" i="28"/>
  <c r="F56" i="28" s="1"/>
  <c r="F26" i="28"/>
  <c r="T85" i="28" s="1"/>
  <c r="T89" i="28" s="1"/>
  <c r="J31" i="28"/>
  <c r="J27" i="28" s="1"/>
  <c r="J30" i="28"/>
  <c r="H59" i="28"/>
  <c r="H65" i="28" s="1"/>
  <c r="U79" i="28"/>
  <c r="AA89" i="28"/>
  <c r="AE89" i="28"/>
  <c r="AI89" i="28"/>
  <c r="AH90" i="28"/>
  <c r="J26" i="28"/>
  <c r="W85" i="28" s="1"/>
  <c r="W89" i="28" s="1"/>
  <c r="F33" i="28"/>
  <c r="H30" i="28"/>
  <c r="AB90" i="28"/>
  <c r="AJ90" i="28"/>
  <c r="G54" i="28"/>
  <c r="K54" i="28"/>
  <c r="Z89" i="28"/>
  <c r="AD89" i="28"/>
  <c r="AH89" i="28"/>
  <c r="AL89" i="28"/>
  <c r="G31" i="28"/>
  <c r="G32" i="28" s="1"/>
  <c r="I61" i="28"/>
  <c r="I59" i="28"/>
  <c r="I58" i="28"/>
  <c r="H31" i="28"/>
  <c r="H27" i="28" s="1"/>
  <c r="G33" i="28"/>
  <c r="G26" i="28"/>
  <c r="K26" i="28"/>
  <c r="X85" i="28" s="1"/>
  <c r="X89" i="28" s="1"/>
  <c r="I33" i="28"/>
  <c r="H26" i="28"/>
  <c r="U85" i="28" s="1"/>
  <c r="U89" i="28" s="1"/>
  <c r="H33" i="28"/>
  <c r="I54" i="28"/>
  <c r="F58" i="28"/>
  <c r="AD90" i="28"/>
  <c r="AL90" i="28"/>
  <c r="X79" i="28"/>
  <c r="W79" i="28"/>
  <c r="K30" i="28"/>
  <c r="J58" i="28"/>
  <c r="J59" i="28"/>
  <c r="F30" i="28"/>
  <c r="F31" i="28"/>
  <c r="K31" i="28"/>
  <c r="J33" i="28"/>
  <c r="F54" i="28"/>
  <c r="J54" i="28"/>
  <c r="H61" i="28"/>
  <c r="H58" i="28"/>
  <c r="F59" i="28"/>
  <c r="J61" i="28"/>
  <c r="AA90" i="28"/>
  <c r="AE90" i="28"/>
  <c r="AI90" i="28"/>
  <c r="I31" i="28"/>
  <c r="I32" i="28" s="1"/>
  <c r="G58" i="28"/>
  <c r="G61" i="28"/>
  <c r="G59" i="28"/>
  <c r="K58" i="28"/>
  <c r="K61" i="28"/>
  <c r="K59" i="28"/>
  <c r="AB89" i="28"/>
  <c r="AF89" i="28"/>
  <c r="AJ89" i="28"/>
  <c r="AC90" i="28"/>
  <c r="AG90" i="28"/>
  <c r="AK90" i="28"/>
  <c r="O40" i="5"/>
  <c r="O42" i="5" s="1"/>
  <c r="N40" i="5"/>
  <c r="N42" i="5" s="1"/>
  <c r="H34" i="29" l="1"/>
  <c r="H38" i="29" s="1"/>
  <c r="K97" i="29"/>
  <c r="K101" i="29" s="1"/>
  <c r="G97" i="29"/>
  <c r="G101" i="29" s="1"/>
  <c r="Z92" i="28"/>
  <c r="Z95" i="28" s="1"/>
  <c r="Z98" i="28" s="1"/>
  <c r="Z101" i="28" s="1"/>
  <c r="Z104" i="28" s="1"/>
  <c r="Z108" i="28" s="1"/>
  <c r="H95" i="29"/>
  <c r="H99" i="29" s="1"/>
  <c r="I95" i="29"/>
  <c r="I99" i="29" s="1"/>
  <c r="F97" i="29"/>
  <c r="F101" i="29" s="1"/>
  <c r="F95" i="29"/>
  <c r="F99" i="29" s="1"/>
  <c r="J97" i="29"/>
  <c r="J101" i="29" s="1"/>
  <c r="J95" i="29"/>
  <c r="J99" i="29" s="1"/>
  <c r="I34" i="29"/>
  <c r="I38" i="29" s="1"/>
  <c r="G95" i="29"/>
  <c r="G99" i="29" s="1"/>
  <c r="J36" i="29"/>
  <c r="J40" i="29" s="1"/>
  <c r="J34" i="29"/>
  <c r="J38" i="29" s="1"/>
  <c r="F36" i="29"/>
  <c r="F40" i="29" s="1"/>
  <c r="F34" i="29"/>
  <c r="F38" i="29" s="1"/>
  <c r="K34" i="29"/>
  <c r="K38" i="29" s="1"/>
  <c r="G34" i="29"/>
  <c r="G38" i="29" s="1"/>
  <c r="J32" i="28"/>
  <c r="J38" i="28" s="1"/>
  <c r="F32" i="28"/>
  <c r="F38" i="28" s="1"/>
  <c r="F66" i="28"/>
  <c r="F63" i="28"/>
  <c r="H55" i="28"/>
  <c r="H64" i="28" s="1"/>
  <c r="AB92" i="28"/>
  <c r="AB95" i="28" s="1"/>
  <c r="AB98" i="28" s="1"/>
  <c r="AB101" i="28" s="1"/>
  <c r="AB104" i="28" s="1"/>
  <c r="AB108" i="28" s="1"/>
  <c r="AH92" i="28"/>
  <c r="AH95" i="28" s="1"/>
  <c r="AH98" i="28" s="1"/>
  <c r="AH101" i="28" s="1"/>
  <c r="AH104" i="28" s="1"/>
  <c r="AH108" i="28" s="1"/>
  <c r="I27" i="28"/>
  <c r="V111" i="28" s="1"/>
  <c r="AJ92" i="28"/>
  <c r="AJ95" i="28" s="1"/>
  <c r="AJ98" i="28" s="1"/>
  <c r="AJ101" i="28" s="1"/>
  <c r="AJ104" i="28" s="1"/>
  <c r="AJ108" i="28" s="1"/>
  <c r="H60" i="28"/>
  <c r="AB93" i="28"/>
  <c r="AB96" i="28" s="1"/>
  <c r="AB99" i="28" s="1"/>
  <c r="AB102" i="28" s="1"/>
  <c r="AB105" i="28" s="1"/>
  <c r="Z93" i="28"/>
  <c r="Z96" i="28" s="1"/>
  <c r="Z99" i="28" s="1"/>
  <c r="Z102" i="28" s="1"/>
  <c r="Z105" i="28" s="1"/>
  <c r="AH93" i="28"/>
  <c r="AH96" i="28" s="1"/>
  <c r="AH99" i="28" s="1"/>
  <c r="AH102" i="28" s="1"/>
  <c r="AH105" i="28" s="1"/>
  <c r="K32" i="28"/>
  <c r="K38" i="28" s="1"/>
  <c r="F28" i="28"/>
  <c r="F35" i="28" s="1"/>
  <c r="H32" i="28"/>
  <c r="H29" i="28" s="1"/>
  <c r="G60" i="28"/>
  <c r="G65" i="28"/>
  <c r="G55" i="28"/>
  <c r="AE93" i="28"/>
  <c r="AE96" i="28" s="1"/>
  <c r="AE99" i="28" s="1"/>
  <c r="AE102" i="28" s="1"/>
  <c r="AE105" i="28" s="1"/>
  <c r="AE92" i="28"/>
  <c r="AE95" i="28" s="1"/>
  <c r="AE98" i="28" s="1"/>
  <c r="AE101" i="28" s="1"/>
  <c r="AE104" i="28" s="1"/>
  <c r="AE108" i="28" s="1"/>
  <c r="H28" i="28"/>
  <c r="H35" i="28" s="1"/>
  <c r="I28" i="28"/>
  <c r="I35" i="28" s="1"/>
  <c r="I66" i="28"/>
  <c r="I56" i="28"/>
  <c r="I63" i="28" s="1"/>
  <c r="AK93" i="28"/>
  <c r="AK96" i="28" s="1"/>
  <c r="AK99" i="28" s="1"/>
  <c r="AK102" i="28" s="1"/>
  <c r="AK105" i="28" s="1"/>
  <c r="AK92" i="28"/>
  <c r="AK95" i="28" s="1"/>
  <c r="AK98" i="28" s="1"/>
  <c r="AK101" i="28" s="1"/>
  <c r="AK104" i="28" s="1"/>
  <c r="AK108" i="28" s="1"/>
  <c r="K60" i="28"/>
  <c r="K65" i="28"/>
  <c r="K55" i="28"/>
  <c r="G66" i="28"/>
  <c r="G56" i="28"/>
  <c r="G63" i="28" s="1"/>
  <c r="AA93" i="28"/>
  <c r="AA96" i="28" s="1"/>
  <c r="AA99" i="28" s="1"/>
  <c r="AA102" i="28" s="1"/>
  <c r="AA105" i="28" s="1"/>
  <c r="AA92" i="28"/>
  <c r="AA95" i="28" s="1"/>
  <c r="AA98" i="28" s="1"/>
  <c r="AA101" i="28" s="1"/>
  <c r="AA104" i="28" s="1"/>
  <c r="AA108" i="28" s="1"/>
  <c r="F60" i="28"/>
  <c r="F65" i="28"/>
  <c r="F55" i="28"/>
  <c r="AF93" i="28"/>
  <c r="AF96" i="28" s="1"/>
  <c r="AF99" i="28" s="1"/>
  <c r="AF102" i="28" s="1"/>
  <c r="AF105" i="28" s="1"/>
  <c r="G38" i="28"/>
  <c r="U111" i="28"/>
  <c r="U87" i="28"/>
  <c r="U90" i="28" s="1"/>
  <c r="U109" i="28"/>
  <c r="H37" i="28"/>
  <c r="U110" i="28"/>
  <c r="AG93" i="28"/>
  <c r="AG96" i="28" s="1"/>
  <c r="AG99" i="28" s="1"/>
  <c r="AG102" i="28" s="1"/>
  <c r="AG105" i="28" s="1"/>
  <c r="AG92" i="28"/>
  <c r="AG95" i="28" s="1"/>
  <c r="AG98" i="28" s="1"/>
  <c r="AG101" i="28" s="1"/>
  <c r="AG104" i="28" s="1"/>
  <c r="AG108" i="28" s="1"/>
  <c r="K66" i="28"/>
  <c r="K56" i="28"/>
  <c r="K63" i="28" s="1"/>
  <c r="J28" i="28"/>
  <c r="J35" i="28" s="1"/>
  <c r="K27" i="28"/>
  <c r="AF92" i="28"/>
  <c r="AF95" i="28" s="1"/>
  <c r="AF98" i="28" s="1"/>
  <c r="AF101" i="28" s="1"/>
  <c r="AF104" i="28" s="1"/>
  <c r="AF108" i="28" s="1"/>
  <c r="G27" i="28"/>
  <c r="G34" i="28" s="1"/>
  <c r="G39" i="28" s="1"/>
  <c r="G28" i="28"/>
  <c r="G35" i="28" s="1"/>
  <c r="F27" i="28"/>
  <c r="W109" i="28"/>
  <c r="W111" i="28"/>
  <c r="W87" i="28"/>
  <c r="W90" i="28" s="1"/>
  <c r="W110" i="28"/>
  <c r="J37" i="28"/>
  <c r="J66" i="28"/>
  <c r="J56" i="28"/>
  <c r="J63" i="28" s="1"/>
  <c r="AD92" i="28"/>
  <c r="AD95" i="28" s="1"/>
  <c r="AD98" i="28" s="1"/>
  <c r="AD101" i="28" s="1"/>
  <c r="AD104" i="28" s="1"/>
  <c r="AD108" i="28" s="1"/>
  <c r="AD93" i="28"/>
  <c r="AD96" i="28" s="1"/>
  <c r="AD99" i="28" s="1"/>
  <c r="AD102" i="28" s="1"/>
  <c r="AD105" i="28" s="1"/>
  <c r="AC93" i="28"/>
  <c r="AC96" i="28" s="1"/>
  <c r="AC99" i="28" s="1"/>
  <c r="AC102" i="28" s="1"/>
  <c r="AC105" i="28" s="1"/>
  <c r="AC92" i="28"/>
  <c r="AC95" i="28" s="1"/>
  <c r="AC98" i="28" s="1"/>
  <c r="AC101" i="28" s="1"/>
  <c r="AC104" i="28" s="1"/>
  <c r="AC108" i="28" s="1"/>
  <c r="I38" i="28"/>
  <c r="AI93" i="28"/>
  <c r="AI96" i="28" s="1"/>
  <c r="AI99" i="28" s="1"/>
  <c r="AI102" i="28" s="1"/>
  <c r="AI105" i="28" s="1"/>
  <c r="AI92" i="28"/>
  <c r="AI95" i="28" s="1"/>
  <c r="AI98" i="28" s="1"/>
  <c r="AI101" i="28" s="1"/>
  <c r="AI104" i="28" s="1"/>
  <c r="AI108" i="28" s="1"/>
  <c r="H66" i="28"/>
  <c r="H56" i="28"/>
  <c r="H63" i="28" s="1"/>
  <c r="J60" i="28"/>
  <c r="J65" i="28"/>
  <c r="J55" i="28"/>
  <c r="AL92" i="28"/>
  <c r="AL95" i="28" s="1"/>
  <c r="AL98" i="28" s="1"/>
  <c r="AL101" i="28" s="1"/>
  <c r="AL104" i="28" s="1"/>
  <c r="AL108" i="28" s="1"/>
  <c r="AL93" i="28"/>
  <c r="AL96" i="28" s="1"/>
  <c r="AL99" i="28" s="1"/>
  <c r="AL102" i="28" s="1"/>
  <c r="AL105" i="28" s="1"/>
  <c r="AJ93" i="28"/>
  <c r="AJ96" i="28" s="1"/>
  <c r="AJ99" i="28" s="1"/>
  <c r="AJ102" i="28" s="1"/>
  <c r="AJ105" i="28" s="1"/>
  <c r="I65" i="28"/>
  <c r="I60" i="28"/>
  <c r="I55" i="28"/>
  <c r="V110" i="28" l="1"/>
  <c r="J29" i="28"/>
  <c r="J34" i="28"/>
  <c r="J39" i="28" s="1"/>
  <c r="E52" i="2" s="1"/>
  <c r="F34" i="28"/>
  <c r="F39" i="28" s="1"/>
  <c r="E39" i="2" s="1"/>
  <c r="V87" i="28"/>
  <c r="V90" i="28" s="1"/>
  <c r="V92" i="28" s="1"/>
  <c r="V95" i="28" s="1"/>
  <c r="V98" i="28" s="1"/>
  <c r="V101" i="28" s="1"/>
  <c r="V104" i="28" s="1"/>
  <c r="V108" i="28" s="1"/>
  <c r="I37" i="28"/>
  <c r="I34" i="28"/>
  <c r="I39" i="28" s="1"/>
  <c r="E48" i="2" s="1"/>
  <c r="V109" i="28"/>
  <c r="I29" i="28"/>
  <c r="H57" i="28"/>
  <c r="H62" i="28"/>
  <c r="H38" i="28"/>
  <c r="H34" i="28"/>
  <c r="H39" i="28" s="1"/>
  <c r="E41" i="2" s="1"/>
  <c r="K34" i="28"/>
  <c r="K39" i="28" s="1"/>
  <c r="G62" i="28"/>
  <c r="J57" i="28"/>
  <c r="J64" i="28"/>
  <c r="F64" i="28"/>
  <c r="F57" i="28"/>
  <c r="K64" i="28"/>
  <c r="K57" i="28"/>
  <c r="I62" i="28"/>
  <c r="T110" i="28"/>
  <c r="T111" i="28"/>
  <c r="T109" i="28"/>
  <c r="F37" i="28"/>
  <c r="F29" i="28"/>
  <c r="T87" i="28"/>
  <c r="T90" i="28" s="1"/>
  <c r="I64" i="28"/>
  <c r="I57" i="28"/>
  <c r="G37" i="28"/>
  <c r="G29" i="28"/>
  <c r="J62" i="28"/>
  <c r="W93" i="28"/>
  <c r="W96" i="28" s="1"/>
  <c r="W99" i="28" s="1"/>
  <c r="W102" i="28" s="1"/>
  <c r="W105" i="28" s="1"/>
  <c r="W92" i="28"/>
  <c r="W95" i="28" s="1"/>
  <c r="W98" i="28" s="1"/>
  <c r="W101" i="28" s="1"/>
  <c r="W104" i="28" s="1"/>
  <c r="Y111" i="28"/>
  <c r="X110" i="28"/>
  <c r="Y87" i="28"/>
  <c r="Y90" i="28" s="1"/>
  <c r="Y109" i="28"/>
  <c r="X87" i="28"/>
  <c r="X90" i="28" s="1"/>
  <c r="X111" i="28"/>
  <c r="Y110" i="28"/>
  <c r="X109" i="28"/>
  <c r="K37" i="28"/>
  <c r="K29" i="28"/>
  <c r="U93" i="28"/>
  <c r="U96" i="28" s="1"/>
  <c r="U99" i="28" s="1"/>
  <c r="U102" i="28" s="1"/>
  <c r="U105" i="28" s="1"/>
  <c r="U92" i="28"/>
  <c r="U95" i="28" s="1"/>
  <c r="U98" i="28" s="1"/>
  <c r="U101" i="28" s="1"/>
  <c r="U104" i="28" s="1"/>
  <c r="F62" i="28"/>
  <c r="K62" i="28"/>
  <c r="G64" i="28"/>
  <c r="G57" i="28"/>
  <c r="V93" i="28" l="1"/>
  <c r="V96" i="28" s="1"/>
  <c r="V99" i="28" s="1"/>
  <c r="V102" i="28" s="1"/>
  <c r="V105" i="28" s="1"/>
  <c r="U108" i="28"/>
  <c r="W108" i="28"/>
  <c r="T92" i="28"/>
  <c r="T95" i="28" s="1"/>
  <c r="T98" i="28" s="1"/>
  <c r="T101" i="28" s="1"/>
  <c r="T104" i="28" s="1"/>
  <c r="T108" i="28" s="1"/>
  <c r="T93" i="28"/>
  <c r="T96" i="28" s="1"/>
  <c r="T99" i="28" s="1"/>
  <c r="T102" i="28" s="1"/>
  <c r="T105" i="28" s="1"/>
  <c r="Y93" i="28"/>
  <c r="Y96" i="28" s="1"/>
  <c r="Y99" i="28" s="1"/>
  <c r="Y102" i="28" s="1"/>
  <c r="Y105" i="28" s="1"/>
  <c r="Y92" i="28"/>
  <c r="Y95" i="28" s="1"/>
  <c r="Y98" i="28" s="1"/>
  <c r="Y101" i="28" s="1"/>
  <c r="Y104" i="28" s="1"/>
  <c r="Y108" i="28" s="1"/>
  <c r="X92" i="28"/>
  <c r="X95" i="28" s="1"/>
  <c r="X98" i="28" s="1"/>
  <c r="X101" i="28" s="1"/>
  <c r="X104" i="28" s="1"/>
  <c r="X93" i="28"/>
  <c r="X96" i="28" s="1"/>
  <c r="X99" i="28" s="1"/>
  <c r="X102" i="28" s="1"/>
  <c r="X105" i="28" s="1"/>
  <c r="AO13" i="24"/>
  <c r="AP13" i="24"/>
  <c r="AO14" i="24"/>
  <c r="AP14" i="24"/>
  <c r="AO15" i="24"/>
  <c r="AP15" i="24"/>
  <c r="AO17" i="24"/>
  <c r="AP17" i="24"/>
  <c r="AO18" i="24"/>
  <c r="AP18" i="24"/>
  <c r="AO22" i="24"/>
  <c r="AP22" i="24"/>
  <c r="AO23" i="24"/>
  <c r="AP23" i="24"/>
  <c r="AO24" i="24"/>
  <c r="AP24" i="24"/>
  <c r="AO26" i="24"/>
  <c r="AP26" i="24"/>
  <c r="AO27" i="24"/>
  <c r="AP27" i="24"/>
  <c r="AN27" i="24"/>
  <c r="AN26" i="24"/>
  <c r="AN24" i="24"/>
  <c r="AN23" i="24"/>
  <c r="AN22" i="24"/>
  <c r="AN18" i="24"/>
  <c r="AN17" i="24"/>
  <c r="AN15" i="24"/>
  <c r="AN14" i="24"/>
  <c r="AN13" i="24"/>
  <c r="AP44" i="24"/>
  <c r="AP48" i="24" s="1"/>
  <c r="AP35" i="24"/>
  <c r="AP39" i="24" s="1"/>
  <c r="AO44" i="24"/>
  <c r="AO47" i="24" s="1"/>
  <c r="AO35" i="24"/>
  <c r="AO39" i="24" s="1"/>
  <c r="O25" i="24"/>
  <c r="O28" i="24" s="1"/>
  <c r="P25" i="24"/>
  <c r="P29" i="24" s="1"/>
  <c r="O16" i="24"/>
  <c r="O19" i="24" s="1"/>
  <c r="P16" i="24"/>
  <c r="P20" i="24" s="1"/>
  <c r="AN44" i="24"/>
  <c r="AN48" i="24" s="1"/>
  <c r="AN35" i="24"/>
  <c r="AN39" i="24" s="1"/>
  <c r="X30" i="6"/>
  <c r="P19" i="24" l="1"/>
  <c r="P28" i="24"/>
  <c r="O20" i="24"/>
  <c r="X108" i="28"/>
  <c r="P31" i="24"/>
  <c r="AO48" i="24"/>
  <c r="AN25" i="24"/>
  <c r="AN28" i="24" s="1"/>
  <c r="AO16" i="24"/>
  <c r="AO19" i="24" s="1"/>
  <c r="O34" i="24"/>
  <c r="AP25" i="24"/>
  <c r="AP29" i="24" s="1"/>
  <c r="O29" i="24"/>
  <c r="O31" i="24" s="1"/>
  <c r="AO25" i="24"/>
  <c r="AO28" i="24" s="1"/>
  <c r="AN16" i="24"/>
  <c r="AN20" i="24" s="1"/>
  <c r="AP16" i="24"/>
  <c r="AP19" i="24" s="1"/>
  <c r="AP47" i="24"/>
  <c r="AP38" i="24"/>
  <c r="AO38" i="24"/>
  <c r="AN47" i="24"/>
  <c r="AN38" i="24"/>
  <c r="P34" i="24" l="1"/>
  <c r="AP28" i="24"/>
  <c r="AO20" i="24"/>
  <c r="AP20" i="24"/>
  <c r="AN29" i="24"/>
  <c r="AN19" i="24"/>
  <c r="AO29" i="24"/>
  <c r="B8" i="15"/>
  <c r="B7" i="15"/>
  <c r="B6" i="15"/>
  <c r="L5" i="15"/>
  <c r="L4" i="15"/>
  <c r="L3" i="15"/>
  <c r="L2" i="15"/>
  <c r="B8" i="12"/>
  <c r="B7" i="12"/>
  <c r="B6" i="12"/>
  <c r="L5" i="12"/>
  <c r="L4" i="12"/>
  <c r="L3" i="12"/>
  <c r="L2" i="12"/>
  <c r="D8" i="2" l="1"/>
  <c r="D7" i="2"/>
  <c r="N8" i="2"/>
  <c r="N7" i="2"/>
  <c r="N6" i="2"/>
  <c r="D6" i="2"/>
  <c r="U5" i="2"/>
  <c r="U4" i="2"/>
  <c r="U3" i="2"/>
  <c r="U2" i="2"/>
  <c r="M8" i="3"/>
  <c r="E8" i="3"/>
  <c r="M7" i="3"/>
  <c r="E7" i="3"/>
  <c r="M6" i="3"/>
  <c r="E6" i="3"/>
  <c r="R5" i="3"/>
  <c r="R4" i="3"/>
  <c r="R3" i="3"/>
  <c r="R2" i="3"/>
  <c r="M8" i="16" l="1"/>
  <c r="E8" i="16"/>
  <c r="M7" i="16"/>
  <c r="E7" i="16"/>
  <c r="M6" i="16"/>
  <c r="E6" i="16"/>
  <c r="R5" i="16"/>
  <c r="R4" i="16"/>
  <c r="R3" i="16"/>
  <c r="R2" i="16"/>
  <c r="M8" i="6"/>
  <c r="E8" i="6"/>
  <c r="M7" i="6"/>
  <c r="E7" i="6"/>
  <c r="M6" i="6"/>
  <c r="E6" i="6"/>
  <c r="R5" i="6"/>
  <c r="R4" i="6"/>
  <c r="R3" i="6"/>
  <c r="R2" i="6"/>
  <c r="M8" i="5"/>
  <c r="E8" i="5"/>
  <c r="M7" i="5"/>
  <c r="E7" i="5"/>
  <c r="M6" i="5"/>
  <c r="E6" i="5"/>
  <c r="R5" i="5"/>
  <c r="R4" i="5"/>
  <c r="R3" i="5"/>
  <c r="R2" i="5"/>
  <c r="M7" i="24" l="1"/>
  <c r="M6" i="24"/>
  <c r="HZ9" i="17"/>
  <c r="HH9" i="17"/>
  <c r="GP9" i="17"/>
  <c r="FX9" i="17"/>
  <c r="FF9" i="17"/>
  <c r="EN9" i="17"/>
  <c r="DV9" i="17"/>
  <c r="DD9" i="17"/>
  <c r="CL9" i="17"/>
  <c r="BT9" i="17"/>
  <c r="BB9" i="17"/>
  <c r="AJ9" i="17"/>
  <c r="R9" i="17"/>
  <c r="AL6" i="21"/>
  <c r="R2" i="24"/>
  <c r="R3" i="24"/>
  <c r="R4" i="24"/>
  <c r="R5" i="24"/>
  <c r="E6" i="24"/>
  <c r="E7" i="24"/>
  <c r="E8" i="24"/>
  <c r="M8" i="24"/>
  <c r="N16" i="24"/>
  <c r="N19" i="24" s="1"/>
  <c r="N25" i="24"/>
  <c r="N29" i="24" s="1"/>
  <c r="GX11" i="17"/>
  <c r="GF11" i="17"/>
  <c r="FN11" i="17"/>
  <c r="EV11" i="17"/>
  <c r="ED11" i="17"/>
  <c r="DL11" i="17"/>
  <c r="CT11" i="17"/>
  <c r="CB11" i="17"/>
  <c r="BJ11" i="17"/>
  <c r="AR11" i="17"/>
  <c r="Z11" i="17"/>
  <c r="H11" i="17"/>
  <c r="GX10" i="17"/>
  <c r="GF10" i="17"/>
  <c r="FN10" i="17"/>
  <c r="EV10" i="17"/>
  <c r="ED10" i="17"/>
  <c r="DL10" i="17"/>
  <c r="CT10" i="17"/>
  <c r="CB10" i="17"/>
  <c r="BJ10" i="17"/>
  <c r="AR10" i="17"/>
  <c r="Z10" i="17"/>
  <c r="H10" i="17"/>
  <c r="GX9" i="17"/>
  <c r="GF9" i="17"/>
  <c r="FN9" i="17"/>
  <c r="EV9" i="17"/>
  <c r="ED9" i="17"/>
  <c r="DL9" i="17"/>
  <c r="CT9" i="17"/>
  <c r="CB9" i="17"/>
  <c r="BJ9" i="17"/>
  <c r="AR9" i="17"/>
  <c r="Z9" i="17"/>
  <c r="H9" i="17"/>
  <c r="I8" i="21"/>
  <c r="I7" i="21"/>
  <c r="I6" i="21"/>
  <c r="AB8" i="21"/>
  <c r="AA8" i="21"/>
  <c r="Z8" i="21"/>
  <c r="Y8" i="21"/>
  <c r="X8" i="21"/>
  <c r="W8" i="21"/>
  <c r="V8" i="21"/>
  <c r="U8" i="21"/>
  <c r="T8" i="21"/>
  <c r="S8" i="21"/>
  <c r="R8" i="21"/>
  <c r="Q8" i="21"/>
  <c r="P8" i="21"/>
  <c r="O8" i="21"/>
  <c r="N8" i="21"/>
  <c r="M8" i="21"/>
  <c r="L8" i="21"/>
  <c r="K8" i="21"/>
  <c r="J8" i="21"/>
  <c r="AB7" i="21"/>
  <c r="AA7" i="21"/>
  <c r="Z7" i="21"/>
  <c r="Y7" i="21"/>
  <c r="X7" i="21"/>
  <c r="W7" i="21"/>
  <c r="V7" i="21"/>
  <c r="U7" i="21"/>
  <c r="T7" i="21"/>
  <c r="S7" i="21"/>
  <c r="R7" i="21"/>
  <c r="Q7" i="21"/>
  <c r="P7" i="21"/>
  <c r="O7" i="21"/>
  <c r="N7" i="21"/>
  <c r="M7" i="21"/>
  <c r="L7" i="21"/>
  <c r="K7" i="21"/>
  <c r="J7" i="21"/>
  <c r="AB6" i="21"/>
  <c r="AA6" i="21"/>
  <c r="Z6" i="21"/>
  <c r="Y6" i="21"/>
  <c r="X6" i="21"/>
  <c r="W6" i="21"/>
  <c r="V6" i="21"/>
  <c r="U6" i="21"/>
  <c r="T6" i="21"/>
  <c r="S6" i="21"/>
  <c r="R6" i="21"/>
  <c r="Q6" i="21"/>
  <c r="P6" i="21"/>
  <c r="O6" i="21"/>
  <c r="N6" i="21"/>
  <c r="M6" i="21"/>
  <c r="L6" i="21"/>
  <c r="K6" i="21"/>
  <c r="J6" i="21"/>
  <c r="HP11" i="17"/>
  <c r="HP10" i="17"/>
  <c r="HP9" i="17"/>
  <c r="AL8" i="21"/>
  <c r="AL7" i="21"/>
  <c r="BB4" i="21"/>
  <c r="BB3" i="21"/>
  <c r="BB2" i="21"/>
  <c r="HZ11" i="17"/>
  <c r="HZ10" i="17"/>
  <c r="IH7" i="17"/>
  <c r="IH6" i="17"/>
  <c r="IH5" i="17"/>
  <c r="HH11" i="17"/>
  <c r="HH10" i="17"/>
  <c r="HO7" i="17"/>
  <c r="HO6" i="17"/>
  <c r="HO5" i="17"/>
  <c r="GP11" i="17"/>
  <c r="GP10" i="17"/>
  <c r="GW7" i="17"/>
  <c r="GW6" i="17"/>
  <c r="GW5" i="17"/>
  <c r="FX11" i="17"/>
  <c r="FX10" i="17"/>
  <c r="GE7" i="17"/>
  <c r="GE6" i="17"/>
  <c r="GE5" i="17"/>
  <c r="FF11" i="17"/>
  <c r="FF10" i="17"/>
  <c r="FM7" i="17"/>
  <c r="FM6" i="17"/>
  <c r="FM5" i="17"/>
  <c r="EN11" i="17"/>
  <c r="EN10" i="17"/>
  <c r="EU7" i="17"/>
  <c r="EU6" i="17"/>
  <c r="EU5" i="17"/>
  <c r="DV11" i="17"/>
  <c r="DV10" i="17"/>
  <c r="EC7" i="17"/>
  <c r="EC6" i="17"/>
  <c r="EC5" i="17"/>
  <c r="DD11" i="17"/>
  <c r="DD10" i="17"/>
  <c r="DK7" i="17"/>
  <c r="DK6" i="17"/>
  <c r="DK5" i="17"/>
  <c r="CL11" i="17"/>
  <c r="CL10" i="17"/>
  <c r="CS7" i="17"/>
  <c r="CS6" i="17"/>
  <c r="CS5" i="17"/>
  <c r="BT11" i="17"/>
  <c r="BT10" i="17"/>
  <c r="CA7" i="17"/>
  <c r="CA6" i="17"/>
  <c r="CA5" i="17"/>
  <c r="BB11" i="17"/>
  <c r="BB10" i="17"/>
  <c r="BI7" i="17"/>
  <c r="BI6" i="17"/>
  <c r="BI5" i="17"/>
  <c r="AJ11" i="17"/>
  <c r="AJ10" i="17"/>
  <c r="AQ7" i="17"/>
  <c r="AQ6" i="17"/>
  <c r="AQ5" i="17"/>
  <c r="Y7" i="17"/>
  <c r="Y6" i="17"/>
  <c r="Y5" i="17"/>
  <c r="Y4" i="17"/>
  <c r="AQ4" i="17" s="1"/>
  <c r="BI4" i="17" s="1"/>
  <c r="CA4" i="17" s="1"/>
  <c r="CS4" i="17" s="1"/>
  <c r="DK4" i="17" s="1"/>
  <c r="EC4" i="17" s="1"/>
  <c r="EU4" i="17" s="1"/>
  <c r="FM4" i="17" s="1"/>
  <c r="GE4" i="17" s="1"/>
  <c r="GW4" i="17" s="1"/>
  <c r="HO4" i="17" s="1"/>
  <c r="IH4" i="17" s="1"/>
  <c r="BB1" i="21" s="1"/>
  <c r="R11" i="17"/>
  <c r="R10" i="17"/>
  <c r="R1" i="24" l="1"/>
  <c r="N28" i="24"/>
  <c r="N34" i="24" s="1"/>
  <c r="N20" i="24"/>
  <c r="N31" i="24" s="1"/>
  <c r="R1" i="5" l="1"/>
  <c r="R1" i="6" s="1"/>
  <c r="O1" i="28" s="1"/>
  <c r="O1" i="29"/>
  <c r="R1" i="16"/>
  <c r="R1" i="3" s="1"/>
  <c r="U1" i="2" s="1"/>
  <c r="L1" i="12" s="1"/>
  <c r="L1" i="15" s="1"/>
  <c r="G7" i="27"/>
  <c r="B6" i="27"/>
  <c r="B7" i="27" l="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G8" i="27"/>
  <c r="G9" i="27" s="1"/>
  <c r="G10" i="27" s="1"/>
  <c r="G11" i="27" s="1"/>
  <c r="G12" i="27" s="1"/>
  <c r="G13" i="27" s="1"/>
  <c r="G14" i="27" s="1"/>
  <c r="G15" i="27" s="1"/>
  <c r="G16" i="27" s="1"/>
  <c r="G17" i="27" s="1"/>
  <c r="G18" i="27" s="1"/>
  <c r="G19" i="27" s="1"/>
  <c r="G20" i="27" s="1"/>
  <c r="G21" i="27" s="1"/>
  <c r="G22" i="27" s="1"/>
  <c r="G23" i="27" s="1"/>
  <c r="G24" i="27" s="1"/>
  <c r="G25" i="27" s="1"/>
  <c r="G26" i="27" s="1"/>
  <c r="G27" i="27" s="1"/>
  <c r="G28" i="27" s="1"/>
  <c r="G29" i="27" s="1"/>
  <c r="G30" i="27" s="1"/>
  <c r="G31" i="27" s="1"/>
  <c r="G32" i="27" s="1"/>
  <c r="G33" i="27" s="1"/>
  <c r="G34" i="27" s="1"/>
  <c r="G35" i="27" s="1"/>
  <c r="G36" i="27" s="1"/>
  <c r="G37" i="27" s="1"/>
  <c r="G38" i="27" s="1"/>
  <c r="G39" i="27" s="1"/>
  <c r="G40" i="27" s="1"/>
  <c r="G41" i="27" s="1"/>
  <c r="G42" i="27" s="1"/>
  <c r="G43" i="27" s="1"/>
  <c r="G44" i="27" s="1"/>
  <c r="G45" i="27" s="1"/>
  <c r="G46" i="27" s="1"/>
  <c r="G47" i="27" s="1"/>
  <c r="G48" i="27" s="1"/>
  <c r="G49" i="27" s="1"/>
  <c r="G50" i="27" s="1"/>
  <c r="G51" i="27" s="1"/>
  <c r="G52" i="27" s="1"/>
  <c r="G53" i="27" s="1"/>
  <c r="G54" i="27" s="1"/>
  <c r="G55" i="27" s="1"/>
  <c r="G56" i="27" s="1"/>
  <c r="G57" i="27" s="1"/>
  <c r="G58" i="27" s="1"/>
  <c r="G59" i="27" s="1"/>
  <c r="G60" i="27" s="1"/>
  <c r="G61" i="27" s="1"/>
  <c r="G62" i="27" s="1"/>
  <c r="G63" i="27" s="1"/>
  <c r="G64" i="27" s="1"/>
  <c r="G65" i="27" s="1"/>
  <c r="G66" i="27" s="1"/>
  <c r="G67" i="27" s="1"/>
  <c r="G68" i="27" s="1"/>
  <c r="G69" i="27" s="1"/>
  <c r="G70" i="27" s="1"/>
  <c r="G71" i="27" s="1"/>
  <c r="G72" i="27" s="1"/>
  <c r="G73" i="27" s="1"/>
  <c r="G74" i="27" s="1"/>
  <c r="G75" i="27" s="1"/>
  <c r="G76" i="27" s="1"/>
  <c r="G77" i="27" s="1"/>
  <c r="G78" i="27" s="1"/>
  <c r="G79" i="27" s="1"/>
  <c r="G80" i="27" s="1"/>
  <c r="G81" i="27" s="1"/>
  <c r="G82" i="27" s="1"/>
  <c r="G83" i="27" s="1"/>
  <c r="G84" i="27" s="1"/>
  <c r="G85" i="27" s="1"/>
  <c r="G86" i="27" s="1"/>
  <c r="G87" i="27" s="1"/>
  <c r="G88" i="27" s="1"/>
  <c r="G89" i="27" s="1"/>
  <c r="G90" i="27" s="1"/>
  <c r="G91" i="27" s="1"/>
  <c r="G92" i="27" s="1"/>
  <c r="G93" i="27" s="1"/>
  <c r="G94" i="27" s="1"/>
  <c r="G95" i="27" s="1"/>
  <c r="G96" i="27" s="1"/>
  <c r="G97" i="27" s="1"/>
  <c r="G98" i="27" s="1"/>
  <c r="G99" i="27" s="1"/>
  <c r="G100" i="27" s="1"/>
  <c r="G101" i="27" s="1"/>
  <c r="G102" i="27" s="1"/>
  <c r="G103" i="27" s="1"/>
  <c r="G104" i="27" s="1"/>
  <c r="G105" i="27" s="1"/>
  <c r="G106" i="27" s="1"/>
  <c r="G107" i="27" s="1"/>
  <c r="G108" i="27" s="1"/>
  <c r="G109" i="27" s="1"/>
  <c r="G110" i="27" s="1"/>
  <c r="G111" i="27" s="1"/>
  <c r="G112" i="27" s="1"/>
  <c r="G113" i="27" s="1"/>
  <c r="G114" i="27" s="1"/>
  <c r="G115" i="27" s="1"/>
  <c r="G116" i="27" s="1"/>
  <c r="G117" i="27" s="1"/>
  <c r="G118" i="27" s="1"/>
  <c r="G119" i="27" s="1"/>
  <c r="G120" i="27" s="1"/>
  <c r="G121" i="27" s="1"/>
  <c r="G122" i="27" s="1"/>
  <c r="G123" i="27" s="1"/>
  <c r="G124" i="27" s="1"/>
  <c r="G125" i="27" s="1"/>
  <c r="G126" i="27" s="1"/>
  <c r="G127" i="27" s="1"/>
  <c r="G128" i="27" s="1"/>
  <c r="G129" i="27" s="1"/>
  <c r="G130" i="27" s="1"/>
  <c r="G131" i="27" s="1"/>
  <c r="G132" i="27" s="1"/>
  <c r="G133" i="27" s="1"/>
  <c r="G134" i="27" s="1"/>
  <c r="G135" i="27" s="1"/>
  <c r="G136" i="27" s="1"/>
  <c r="G137" i="27" s="1"/>
  <c r="G138" i="27" s="1"/>
  <c r="G139" i="27" s="1"/>
  <c r="G140" i="27" s="1"/>
  <c r="G141" i="27" s="1"/>
  <c r="G142" i="27" s="1"/>
  <c r="G143" i="27" s="1"/>
  <c r="G144" i="27" s="1"/>
  <c r="G145" i="27" s="1"/>
  <c r="G146" i="27" s="1"/>
  <c r="G147" i="27" s="1"/>
  <c r="G148" i="27" s="1"/>
  <c r="G149" i="27" s="1"/>
  <c r="G150" i="27" s="1"/>
  <c r="G151" i="27" s="1"/>
  <c r="G152" i="27" s="1"/>
  <c r="G153" i="27" s="1"/>
  <c r="G154" i="27" s="1"/>
  <c r="G155" i="27" s="1"/>
  <c r="G156" i="27" s="1"/>
  <c r="G157" i="27" s="1"/>
  <c r="G158" i="27" s="1"/>
  <c r="G159" i="27" s="1"/>
  <c r="G160" i="27" s="1"/>
  <c r="G161" i="27" s="1"/>
  <c r="G162" i="27" s="1"/>
  <c r="G163" i="27" s="1"/>
  <c r="G164" i="27" s="1"/>
  <c r="G165" i="27" s="1"/>
  <c r="G166" i="27" s="1"/>
  <c r="G167" i="27" s="1"/>
  <c r="G168" i="27" s="1"/>
  <c r="G169" i="27" s="1"/>
  <c r="G170" i="27" s="1"/>
  <c r="G171" i="27" s="1"/>
  <c r="G172" i="27" s="1"/>
  <c r="G173" i="27" s="1"/>
  <c r="G174" i="27" s="1"/>
  <c r="G175" i="27" s="1"/>
  <c r="G176" i="27" s="1"/>
  <c r="G177" i="27" s="1"/>
  <c r="G178" i="27" s="1"/>
  <c r="G179" i="27" s="1"/>
  <c r="G180" i="27" s="1"/>
  <c r="G181" i="27" s="1"/>
  <c r="G182" i="27" s="1"/>
  <c r="G183" i="27" s="1"/>
  <c r="G184" i="27" s="1"/>
  <c r="G185" i="27" s="1"/>
  <c r="G186" i="27" s="1"/>
  <c r="G187" i="27" s="1"/>
  <c r="G188" i="27" s="1"/>
  <c r="G189" i="27" s="1"/>
  <c r="G190" i="27" s="1"/>
  <c r="G191" i="27" s="1"/>
  <c r="G192" i="27" s="1"/>
  <c r="G193" i="27" s="1"/>
  <c r="G194" i="27" s="1"/>
  <c r="G195" i="27" s="1"/>
  <c r="G196" i="27" s="1"/>
  <c r="G197" i="27" s="1"/>
  <c r="G198" i="27" s="1"/>
  <c r="G199" i="27" s="1"/>
  <c r="G200" i="27" s="1"/>
  <c r="G201" i="27" s="1"/>
  <c r="G202" i="27" s="1"/>
  <c r="G203" i="27" s="1"/>
  <c r="G204" i="27" s="1"/>
  <c r="G205" i="27" s="1"/>
  <c r="G206" i="27" s="1"/>
  <c r="G207" i="27" s="1"/>
  <c r="G208" i="27" s="1"/>
  <c r="G209" i="27" s="1"/>
  <c r="G210" i="27" s="1"/>
  <c r="G211" i="27" s="1"/>
  <c r="G212" i="27" s="1"/>
  <c r="G213" i="27" s="1"/>
  <c r="G214" i="27" s="1"/>
  <c r="G215" i="27" s="1"/>
  <c r="G216" i="27" s="1"/>
  <c r="G217" i="27" s="1"/>
  <c r="G218" i="27" s="1"/>
  <c r="G219" i="27" s="1"/>
  <c r="G220" i="27" s="1"/>
  <c r="G221" i="27" s="1"/>
  <c r="G222" i="27" s="1"/>
  <c r="G223" i="27" s="1"/>
  <c r="G224" i="27" s="1"/>
  <c r="G225" i="27" s="1"/>
  <c r="G226" i="27" s="1"/>
  <c r="G227" i="27" s="1"/>
  <c r="G228" i="27" s="1"/>
  <c r="G229" i="27" s="1"/>
  <c r="G230" i="27" s="1"/>
  <c r="G231" i="27" s="1"/>
  <c r="G232" i="27" s="1"/>
  <c r="G233" i="27" s="1"/>
  <c r="G234" i="27" s="1"/>
  <c r="G235" i="27" s="1"/>
  <c r="G236" i="27" s="1"/>
  <c r="G237" i="27" s="1"/>
  <c r="G238" i="27" s="1"/>
  <c r="G239" i="27" s="1"/>
  <c r="G240" i="27" s="1"/>
  <c r="G241" i="27" s="1"/>
  <c r="G242" i="27" s="1"/>
  <c r="G243" i="27" s="1"/>
  <c r="G244" i="27" s="1"/>
  <c r="G245" i="27" s="1"/>
  <c r="G246" i="27" s="1"/>
  <c r="G247" i="27" s="1"/>
  <c r="G248" i="27" s="1"/>
  <c r="G249" i="27" s="1"/>
  <c r="G250" i="27" s="1"/>
  <c r="G251" i="27" s="1"/>
  <c r="G252" i="27" s="1"/>
  <c r="G253" i="27" s="1"/>
  <c r="G254" i="27" s="1"/>
  <c r="G255" i="27" s="1"/>
  <c r="G256" i="27" s="1"/>
  <c r="G257" i="27" s="1"/>
  <c r="G258" i="27" s="1"/>
  <c r="G259" i="27" s="1"/>
  <c r="G260" i="27" s="1"/>
  <c r="G261" i="27" s="1"/>
  <c r="G262" i="27" s="1"/>
  <c r="G263" i="27" s="1"/>
  <c r="G264" i="27" s="1"/>
  <c r="G265" i="27" s="1"/>
  <c r="G266" i="27" s="1"/>
  <c r="G267" i="27" s="1"/>
  <c r="G268" i="27" s="1"/>
  <c r="G269" i="27" s="1"/>
  <c r="G270" i="27" s="1"/>
  <c r="G271" i="27" s="1"/>
  <c r="G272" i="27" s="1"/>
  <c r="G273" i="27" s="1"/>
  <c r="G274" i="27" s="1"/>
  <c r="G275" i="27" s="1"/>
  <c r="G276" i="27" s="1"/>
  <c r="G277" i="27" s="1"/>
  <c r="G278" i="27" s="1"/>
  <c r="G279" i="27" s="1"/>
  <c r="G280" i="27" s="1"/>
  <c r="G281" i="27" s="1"/>
  <c r="G282" i="27" s="1"/>
  <c r="G283" i="27" s="1"/>
  <c r="G284" i="27" s="1"/>
  <c r="G285" i="27" s="1"/>
  <c r="G286" i="27" s="1"/>
  <c r="G287" i="27" s="1"/>
  <c r="G288" i="27" s="1"/>
  <c r="G289" i="27" s="1"/>
  <c r="G290" i="27" s="1"/>
  <c r="G291" i="27" s="1"/>
  <c r="G292" i="27" s="1"/>
  <c r="G293" i="27" s="1"/>
  <c r="G294" i="27" s="1"/>
  <c r="G295" i="27" s="1"/>
  <c r="G296" i="27" s="1"/>
  <c r="G297" i="27" s="1"/>
  <c r="G298" i="27" s="1"/>
  <c r="G299" i="27" s="1"/>
  <c r="G300" i="27" s="1"/>
  <c r="G301" i="27" s="1"/>
  <c r="G302" i="27" s="1"/>
  <c r="G303" i="27" s="1"/>
  <c r="G304" i="27" s="1"/>
  <c r="G305" i="27" s="1"/>
  <c r="G306" i="27" s="1"/>
  <c r="G307" i="27" s="1"/>
  <c r="G308" i="27" s="1"/>
  <c r="G309" i="27" s="1"/>
  <c r="G310" i="27" s="1"/>
  <c r="G311" i="27" s="1"/>
  <c r="G312" i="27" s="1"/>
  <c r="G313" i="27" s="1"/>
  <c r="G314" i="27" s="1"/>
  <c r="G315" i="27" s="1"/>
  <c r="G316" i="27" s="1"/>
  <c r="G317" i="27" s="1"/>
  <c r="G318" i="27" s="1"/>
  <c r="G319" i="27" s="1"/>
  <c r="G320" i="27" s="1"/>
  <c r="G321" i="27" s="1"/>
  <c r="G322" i="27" s="1"/>
  <c r="G323" i="27" s="1"/>
  <c r="G324" i="27" s="1"/>
  <c r="G325" i="27" s="1"/>
  <c r="G326" i="27" s="1"/>
  <c r="G327" i="27" s="1"/>
  <c r="G328" i="27" s="1"/>
  <c r="G329" i="27" s="1"/>
  <c r="G330" i="27" s="1"/>
  <c r="G331" i="27" s="1"/>
  <c r="G332" i="27" s="1"/>
  <c r="G333" i="27" s="1"/>
  <c r="G334" i="27" s="1"/>
  <c r="G335" i="27" s="1"/>
  <c r="G336" i="27" s="1"/>
  <c r="G337" i="27" s="1"/>
  <c r="G338" i="27" s="1"/>
  <c r="G339" i="27" s="1"/>
  <c r="G340" i="27" s="1"/>
  <c r="G341" i="27" s="1"/>
  <c r="G342" i="27" s="1"/>
  <c r="G343" i="27" s="1"/>
  <c r="G344" i="27" s="1"/>
  <c r="G345" i="27" s="1"/>
  <c r="G346" i="27" s="1"/>
  <c r="G347" i="27" s="1"/>
  <c r="G348" i="27" s="1"/>
  <c r="G349" i="27" s="1"/>
  <c r="G350" i="27" s="1"/>
  <c r="G351" i="27" s="1"/>
  <c r="G352" i="27" s="1"/>
  <c r="G353" i="27" s="1"/>
  <c r="G354" i="27" s="1"/>
  <c r="G355" i="27" s="1"/>
  <c r="G356" i="27" s="1"/>
  <c r="G357" i="27" s="1"/>
  <c r="G358" i="27" s="1"/>
  <c r="G359" i="27" s="1"/>
  <c r="G360" i="27" s="1"/>
  <c r="G361" i="27" s="1"/>
  <c r="G362" i="27" s="1"/>
  <c r="G363" i="27" s="1"/>
  <c r="G364" i="27" s="1"/>
  <c r="G365" i="27" s="1"/>
  <c r="G366" i="27" s="1"/>
  <c r="G367" i="27" s="1"/>
  <c r="G368" i="27" s="1"/>
  <c r="G369" i="27" s="1"/>
  <c r="G370" i="27" s="1"/>
  <c r="G371" i="27" s="1"/>
  <c r="G372" i="27" s="1"/>
  <c r="G373" i="27" s="1"/>
  <c r="G374" i="27" s="1"/>
  <c r="G375" i="27" s="1"/>
  <c r="G376" i="27" s="1"/>
  <c r="G377" i="27" s="1"/>
  <c r="G378" i="27" s="1"/>
  <c r="G379" i="27" s="1"/>
  <c r="G380" i="27" s="1"/>
  <c r="G381" i="27" s="1"/>
  <c r="G382" i="27" s="1"/>
  <c r="G383" i="27" s="1"/>
  <c r="G384" i="27" s="1"/>
  <c r="G385" i="27" s="1"/>
  <c r="G386" i="27" s="1"/>
  <c r="G387" i="27" s="1"/>
  <c r="G388" i="27" s="1"/>
  <c r="G389" i="27" s="1"/>
  <c r="G390" i="27" s="1"/>
  <c r="G391" i="27" s="1"/>
  <c r="G392" i="27" s="1"/>
  <c r="G393" i="27" s="1"/>
  <c r="G394" i="27" s="1"/>
  <c r="G395" i="27" s="1"/>
  <c r="G396" i="27" s="1"/>
  <c r="G397" i="27" s="1"/>
  <c r="G398" i="27" s="1"/>
  <c r="G399" i="27" s="1"/>
  <c r="G400" i="27" s="1"/>
  <c r="G401" i="27" s="1"/>
  <c r="G402" i="27" s="1"/>
  <c r="G403" i="27" s="1"/>
  <c r="G404" i="27" s="1"/>
  <c r="G405" i="27" s="1"/>
  <c r="G406" i="27" s="1"/>
  <c r="G407" i="27" s="1"/>
  <c r="G408" i="27" s="1"/>
  <c r="G409" i="27" s="1"/>
  <c r="G410" i="27" s="1"/>
  <c r="G411" i="27" s="1"/>
  <c r="G412" i="27" s="1"/>
  <c r="G413" i="27" s="1"/>
  <c r="G414" i="27" s="1"/>
  <c r="G415" i="27" s="1"/>
  <c r="G416" i="27" s="1"/>
  <c r="G417" i="27" s="1"/>
  <c r="G418" i="27" s="1"/>
  <c r="G419" i="27" s="1"/>
  <c r="G420" i="27" s="1"/>
  <c r="G421" i="27" s="1"/>
  <c r="G422" i="27" s="1"/>
  <c r="G423" i="27" s="1"/>
  <c r="G424" i="27" s="1"/>
  <c r="G425" i="27" s="1"/>
  <c r="G426" i="27" s="1"/>
  <c r="G427" i="27" s="1"/>
  <c r="G428" i="27" s="1"/>
  <c r="G429" i="27" s="1"/>
  <c r="G430" i="27" s="1"/>
  <c r="G431" i="27" s="1"/>
  <c r="G432" i="27" s="1"/>
  <c r="G433" i="27" s="1"/>
  <c r="G434" i="27" s="1"/>
  <c r="G435" i="27" s="1"/>
  <c r="G436" i="27" s="1"/>
  <c r="G437" i="27" s="1"/>
  <c r="G438" i="27" s="1"/>
  <c r="G439" i="27" s="1"/>
  <c r="G440" i="27" s="1"/>
  <c r="G441" i="27" s="1"/>
  <c r="G442" i="27" s="1"/>
  <c r="G443" i="27" s="1"/>
  <c r="G444" i="27" s="1"/>
  <c r="G445" i="27" s="1"/>
  <c r="G446" i="27" s="1"/>
  <c r="G447" i="27" s="1"/>
  <c r="G448" i="27" s="1"/>
  <c r="G449" i="27" s="1"/>
  <c r="G450" i="27" s="1"/>
  <c r="G451" i="27" s="1"/>
  <c r="G452" i="27" s="1"/>
  <c r="G453" i="27" s="1"/>
  <c r="G454" i="27" s="1"/>
  <c r="G455" i="27" s="1"/>
  <c r="G456" i="27" s="1"/>
  <c r="G457" i="27" s="1"/>
  <c r="G458" i="27" s="1"/>
  <c r="G459" i="27" s="1"/>
  <c r="G460" i="27" s="1"/>
  <c r="G461" i="27" s="1"/>
  <c r="G462" i="27" s="1"/>
  <c r="G463" i="27" s="1"/>
  <c r="G464" i="27" s="1"/>
  <c r="G465" i="27" s="1"/>
  <c r="G466" i="27" s="1"/>
  <c r="G467" i="27" s="1"/>
  <c r="G468" i="27" s="1"/>
  <c r="G469" i="27" s="1"/>
  <c r="G470" i="27" s="1"/>
  <c r="G471" i="27" s="1"/>
  <c r="G472" i="27" s="1"/>
  <c r="G473" i="27" s="1"/>
  <c r="G474" i="27" s="1"/>
  <c r="G475" i="27" s="1"/>
  <c r="G476" i="27" s="1"/>
  <c r="G477" i="27" s="1"/>
  <c r="G478" i="27" s="1"/>
  <c r="G479" i="27" s="1"/>
  <c r="G480" i="27" s="1"/>
  <c r="G481" i="27" s="1"/>
  <c r="G482" i="27" s="1"/>
  <c r="G483" i="27" s="1"/>
  <c r="G484" i="27" s="1"/>
  <c r="G485" i="27" s="1"/>
  <c r="G486" i="27" s="1"/>
  <c r="G487" i="27" s="1"/>
  <c r="G488" i="27" s="1"/>
  <c r="G489" i="27" s="1"/>
  <c r="G490" i="27" s="1"/>
  <c r="G491" i="27" s="1"/>
  <c r="G492" i="27" s="1"/>
  <c r="G493" i="27" s="1"/>
  <c r="G494" i="27" s="1"/>
  <c r="G495" i="27" s="1"/>
  <c r="G496" i="27" s="1"/>
  <c r="G497" i="27" s="1"/>
  <c r="G498" i="27" s="1"/>
  <c r="G499" i="27" s="1"/>
  <c r="G500" i="27" s="1"/>
  <c r="G501" i="27" s="1"/>
  <c r="G502" i="27" s="1"/>
  <c r="G503" i="27" s="1"/>
  <c r="G504" i="27" s="1"/>
  <c r="G505" i="27" s="1"/>
  <c r="G506" i="27" s="1"/>
  <c r="G507" i="27" s="1"/>
  <c r="G508" i="27" s="1"/>
  <c r="G509" i="27" s="1"/>
  <c r="G510" i="27" s="1"/>
  <c r="G511" i="27" s="1"/>
  <c r="G512" i="27" s="1"/>
  <c r="G513" i="27" s="1"/>
  <c r="G514" i="27" s="1"/>
  <c r="G515" i="27" s="1"/>
  <c r="G516" i="27" s="1"/>
  <c r="G517" i="27" s="1"/>
  <c r="G518" i="27" s="1"/>
  <c r="G519" i="27" s="1"/>
  <c r="G520" i="27" s="1"/>
  <c r="G521" i="27" s="1"/>
  <c r="G522" i="27" s="1"/>
  <c r="G523" i="27" s="1"/>
  <c r="G524" i="27" s="1"/>
  <c r="G525" i="27" s="1"/>
  <c r="G526" i="27" s="1"/>
  <c r="G527" i="27" s="1"/>
  <c r="G528" i="27" s="1"/>
  <c r="G529" i="27" s="1"/>
  <c r="G530" i="27" s="1"/>
  <c r="G531" i="27" s="1"/>
  <c r="G532" i="27" s="1"/>
  <c r="G533" i="27" s="1"/>
  <c r="G534" i="27" s="1"/>
  <c r="G535" i="27" s="1"/>
  <c r="G536" i="27" s="1"/>
  <c r="G537" i="27" s="1"/>
  <c r="G538" i="27" s="1"/>
  <c r="G539" i="27" s="1"/>
  <c r="G540" i="27" s="1"/>
  <c r="G541" i="27" s="1"/>
  <c r="G542" i="27" s="1"/>
  <c r="G543" i="27" s="1"/>
  <c r="G544" i="27" s="1"/>
  <c r="G545" i="27" s="1"/>
  <c r="G546" i="27" s="1"/>
  <c r="G547" i="27" s="1"/>
  <c r="G548" i="27" s="1"/>
  <c r="G549" i="27" s="1"/>
  <c r="G550" i="27" s="1"/>
  <c r="G551" i="27" s="1"/>
  <c r="G552" i="27" s="1"/>
  <c r="G553" i="27" s="1"/>
  <c r="G554" i="27" s="1"/>
  <c r="G555" i="27" s="1"/>
  <c r="G556" i="27" s="1"/>
  <c r="G557" i="27" s="1"/>
  <c r="G558" i="27" s="1"/>
  <c r="G559" i="27" s="1"/>
  <c r="G560" i="27" s="1"/>
  <c r="G561" i="27" s="1"/>
  <c r="G562" i="27" s="1"/>
  <c r="G563" i="27" s="1"/>
  <c r="G564" i="27" s="1"/>
  <c r="G565" i="27" s="1"/>
  <c r="G566" i="27" s="1"/>
  <c r="G567" i="27" s="1"/>
  <c r="G568" i="27" s="1"/>
  <c r="G569" i="27" s="1"/>
  <c r="G570" i="27" s="1"/>
  <c r="G571" i="27" s="1"/>
  <c r="G572" i="27" s="1"/>
  <c r="G573" i="27" s="1"/>
  <c r="G574" i="27" s="1"/>
  <c r="G575" i="27" s="1"/>
  <c r="G576" i="27" s="1"/>
  <c r="G577" i="27" s="1"/>
  <c r="G578" i="27" s="1"/>
  <c r="G579" i="27" s="1"/>
  <c r="G580" i="27" s="1"/>
  <c r="G581" i="27" s="1"/>
  <c r="G582" i="27" s="1"/>
  <c r="G583" i="27" s="1"/>
  <c r="G584" i="27" s="1"/>
  <c r="G585" i="27" s="1"/>
  <c r="G586" i="27" s="1"/>
  <c r="G587" i="27" s="1"/>
  <c r="G588" i="27" s="1"/>
  <c r="G589" i="27" s="1"/>
  <c r="G590" i="27" s="1"/>
  <c r="G591" i="27" s="1"/>
  <c r="G592" i="27" s="1"/>
  <c r="G593" i="27" s="1"/>
  <c r="G594" i="27" s="1"/>
  <c r="G595" i="27" s="1"/>
  <c r="G596" i="27" s="1"/>
  <c r="G597" i="27" s="1"/>
  <c r="G598" i="27" s="1"/>
  <c r="G599" i="27" s="1"/>
  <c r="G600" i="27" s="1"/>
  <c r="G601" i="27" s="1"/>
  <c r="G602" i="27" s="1"/>
  <c r="G603" i="27" s="1"/>
  <c r="G604" i="27" s="1"/>
  <c r="G605" i="27" s="1"/>
  <c r="G606" i="27" s="1"/>
  <c r="G607" i="27" s="1"/>
  <c r="G608" i="27" s="1"/>
  <c r="G609" i="27" s="1"/>
  <c r="G610" i="27" s="1"/>
  <c r="G611" i="27" s="1"/>
  <c r="G612" i="27" s="1"/>
  <c r="G613" i="27" s="1"/>
  <c r="G614" i="27" s="1"/>
  <c r="G615" i="27" s="1"/>
  <c r="BL11" i="26"/>
  <c r="BL10" i="26"/>
  <c r="BX9" i="26"/>
  <c r="BB9" i="26"/>
  <c r="AT9" i="26"/>
  <c r="AR9" i="26"/>
  <c r="BX8" i="26"/>
  <c r="BL8" i="26"/>
  <c r="BL9" i="26" s="1"/>
  <c r="BH8" i="26"/>
  <c r="CB7" i="26"/>
  <c r="BZ7" i="26"/>
  <c r="BZ10" i="26" s="1"/>
  <c r="BX7" i="26"/>
  <c r="BT7" i="26"/>
  <c r="BP7" i="26"/>
  <c r="AJ7" i="26"/>
  <c r="BX6" i="26"/>
  <c r="BP6" i="26"/>
  <c r="BN6" i="26"/>
  <c r="BN7" i="26" s="1"/>
  <c r="BH6" i="26"/>
  <c r="BH7" i="26" s="1"/>
  <c r="AT6" i="26"/>
  <c r="AT7" i="26" s="1"/>
  <c r="AR6" i="26"/>
  <c r="AR8" i="26" s="1"/>
  <c r="AP6" i="26"/>
  <c r="AP7" i="26" s="1"/>
  <c r="AN6" i="26"/>
  <c r="AN7" i="26" s="1"/>
  <c r="AL6" i="26"/>
  <c r="AJ6" i="26"/>
  <c r="AB6" i="26"/>
  <c r="BU3" i="26"/>
  <c r="AC3" i="26"/>
  <c r="AA3" i="26"/>
  <c r="AB4" i="26" s="1"/>
  <c r="BT4" i="26"/>
  <c r="BG3" i="26"/>
  <c r="BL4" i="26"/>
  <c r="BI3" i="26"/>
  <c r="BB4" i="26"/>
  <c r="CA3" i="26"/>
  <c r="AT4" i="26"/>
  <c r="AQ3" i="26"/>
  <c r="CB4" i="26"/>
  <c r="BZ4" i="26"/>
  <c r="BH4" i="26"/>
  <c r="AI3" i="26"/>
  <c r="AO3" i="26"/>
  <c r="AD3" i="26"/>
  <c r="AY3" i="26"/>
  <c r="BV4" i="26"/>
  <c r="AR4" i="26"/>
  <c r="BS3" i="26"/>
  <c r="AG3" i="26"/>
  <c r="AX4" i="26"/>
  <c r="AN4" i="26"/>
  <c r="AH4" i="26"/>
  <c r="BP4" i="26"/>
  <c r="BA3" i="26"/>
  <c r="AZ4" i="26"/>
  <c r="BF4" i="26"/>
  <c r="AS3" i="26"/>
  <c r="AJ4" i="26"/>
  <c r="AK3" i="26"/>
  <c r="BJ4" i="26"/>
  <c r="BK3" i="26"/>
  <c r="BO3" i="26"/>
  <c r="BM3" i="26"/>
  <c r="AU3" i="26"/>
  <c r="AW3" i="26"/>
  <c r="AP4" i="26"/>
  <c r="AL4" i="26"/>
  <c r="BN4" i="26"/>
  <c r="AV4" i="26"/>
  <c r="BY3" i="26"/>
  <c r="AM3" i="26"/>
  <c r="BE3" i="26"/>
  <c r="AE3" i="26"/>
  <c r="AF4" i="26"/>
  <c r="BZ8" i="26" l="1"/>
  <c r="BZ11" i="26" s="1"/>
  <c r="AT8" i="26"/>
  <c r="AR7" i="26"/>
  <c r="J1" i="27"/>
  <c r="BZ9" i="26" l="1"/>
  <c r="BZ12" i="26" s="1"/>
  <c r="O15" i="5" l="1"/>
  <c r="N15" i="5"/>
  <c r="N22" i="5" s="1"/>
  <c r="E24" i="2" s="1"/>
  <c r="N18" i="5" l="1"/>
  <c r="N27" i="5" s="1"/>
  <c r="N24" i="5"/>
  <c r="E31" i="12"/>
  <c r="E30" i="12"/>
  <c r="E29" i="12"/>
  <c r="E28" i="12"/>
  <c r="E27" i="12"/>
  <c r="E26" i="12"/>
  <c r="E25" i="12"/>
  <c r="E24" i="12"/>
  <c r="E23" i="12"/>
  <c r="E22" i="12"/>
  <c r="E21" i="12"/>
  <c r="G30" i="12" l="1"/>
  <c r="N26" i="5"/>
  <c r="N36" i="12"/>
  <c r="J18" i="6" l="1"/>
  <c r="K18" i="6"/>
  <c r="L18" i="6"/>
  <c r="M18" i="6"/>
  <c r="N18" i="6"/>
  <c r="O18" i="6"/>
  <c r="P18" i="6"/>
  <c r="Q18" i="6"/>
  <c r="I18" i="6"/>
  <c r="O17" i="5" l="1"/>
  <c r="J53" i="6"/>
  <c r="J56" i="6" s="1"/>
  <c r="J55" i="6" s="1"/>
  <c r="K53" i="6"/>
  <c r="K56" i="6" s="1"/>
  <c r="K55" i="6" s="1"/>
  <c r="L53" i="6"/>
  <c r="L56" i="6" s="1"/>
  <c r="L55" i="6" s="1"/>
  <c r="M53" i="6"/>
  <c r="M56" i="6" s="1"/>
  <c r="M55" i="6" s="1"/>
  <c r="N53" i="6"/>
  <c r="N56" i="6" s="1"/>
  <c r="N55" i="6" s="1"/>
  <c r="O53" i="6"/>
  <c r="O56" i="6" s="1"/>
  <c r="O55" i="6" s="1"/>
  <c r="P53" i="6"/>
  <c r="P56" i="6" s="1"/>
  <c r="P55" i="6" s="1"/>
  <c r="Q53" i="6"/>
  <c r="Q56" i="6" s="1"/>
  <c r="Q55" i="6" s="1"/>
  <c r="I53" i="6"/>
  <c r="I56" i="6" s="1"/>
  <c r="I55" i="6" s="1"/>
  <c r="I26" i="6"/>
  <c r="I27" i="6" s="1"/>
  <c r="I30" i="6" s="1"/>
  <c r="I20" i="6"/>
  <c r="I21" i="6" s="1"/>
  <c r="I24" i="6" s="1"/>
  <c r="J26" i="6"/>
  <c r="J27" i="6" s="1"/>
  <c r="J30" i="6" s="1"/>
  <c r="J29" i="6" s="1"/>
  <c r="K26" i="6"/>
  <c r="K27" i="6" s="1"/>
  <c r="K30" i="6" s="1"/>
  <c r="E21" i="2" s="1"/>
  <c r="L26" i="6"/>
  <c r="L27" i="6" s="1"/>
  <c r="L30" i="6" s="1"/>
  <c r="L29" i="6" s="1"/>
  <c r="M26" i="6"/>
  <c r="M27" i="6" s="1"/>
  <c r="M30" i="6" s="1"/>
  <c r="M29" i="6" s="1"/>
  <c r="N26" i="6"/>
  <c r="N27" i="6" s="1"/>
  <c r="N30" i="6" s="1"/>
  <c r="E46" i="2" s="1"/>
  <c r="O26" i="6"/>
  <c r="O15" i="6"/>
  <c r="P26" i="6"/>
  <c r="P27" i="6" s="1"/>
  <c r="P30" i="6" s="1"/>
  <c r="P29" i="6" s="1"/>
  <c r="Q26" i="6"/>
  <c r="Q27" i="6" s="1"/>
  <c r="Q30" i="6" s="1"/>
  <c r="Q29" i="6" s="1"/>
  <c r="J20" i="6"/>
  <c r="J21" i="6" s="1"/>
  <c r="J24" i="6" s="1"/>
  <c r="K20" i="6"/>
  <c r="K21" i="6" s="1"/>
  <c r="K24" i="6" s="1"/>
  <c r="E33" i="2" s="1"/>
  <c r="L20" i="6"/>
  <c r="L21" i="6" s="1"/>
  <c r="L24" i="6" s="1"/>
  <c r="E29" i="2" s="1"/>
  <c r="M20" i="6"/>
  <c r="M21" i="6" s="1"/>
  <c r="M24" i="6" s="1"/>
  <c r="E37" i="2" s="1"/>
  <c r="N20" i="6"/>
  <c r="N21" i="6" s="1"/>
  <c r="N24" i="6" s="1"/>
  <c r="N23" i="6" s="1"/>
  <c r="O20" i="6"/>
  <c r="P20" i="6"/>
  <c r="P21" i="6" s="1"/>
  <c r="P24" i="6" s="1"/>
  <c r="P23" i="6" s="1"/>
  <c r="Q20" i="6"/>
  <c r="Q21" i="6" s="1"/>
  <c r="Q24" i="6" s="1"/>
  <c r="Q23" i="6" s="1"/>
  <c r="O20" i="5"/>
  <c r="G19" i="12"/>
  <c r="F19" i="12"/>
  <c r="S37" i="12" s="1"/>
  <c r="G18" i="12"/>
  <c r="F18" i="12"/>
  <c r="S36" i="12" s="1"/>
  <c r="G17" i="12"/>
  <c r="F17" i="12"/>
  <c r="S35" i="12" s="1"/>
  <c r="G22" i="12"/>
  <c r="F31" i="12"/>
  <c r="S30" i="12" s="1"/>
  <c r="G21" i="12"/>
  <c r="F21" i="12"/>
  <c r="F22" i="12"/>
  <c r="F23" i="12"/>
  <c r="F24" i="12"/>
  <c r="F16" i="12"/>
  <c r="F20" i="12"/>
  <c r="P19" i="2"/>
  <c r="N111" i="16"/>
  <c r="N112" i="16" s="1"/>
  <c r="N113" i="16" s="1"/>
  <c r="N114" i="16" s="1"/>
  <c r="N115" i="16" s="1"/>
  <c r="N116" i="16" s="1"/>
  <c r="N117" i="16" s="1"/>
  <c r="N118" i="16" s="1"/>
  <c r="N119" i="16" s="1"/>
  <c r="N120" i="16" s="1"/>
  <c r="N121" i="16" s="1"/>
  <c r="N122" i="16" s="1"/>
  <c r="N123" i="16" s="1"/>
  <c r="N124" i="16" s="1"/>
  <c r="N125" i="16" s="1"/>
  <c r="N126" i="16" s="1"/>
  <c r="N127" i="16" s="1"/>
  <c r="N128" i="16" s="1"/>
  <c r="N129" i="16" s="1"/>
  <c r="L19" i="16" s="1"/>
  <c r="P14" i="2"/>
  <c r="K14" i="2" s="1"/>
  <c r="L14" i="2" s="1"/>
  <c r="P15" i="2"/>
  <c r="K15" i="2" s="1"/>
  <c r="L15" i="2" s="1"/>
  <c r="M15" i="2" s="1"/>
  <c r="N15" i="2" s="1"/>
  <c r="P16" i="2"/>
  <c r="K16" i="2" s="1"/>
  <c r="L16" i="2" s="1"/>
  <c r="M17" i="16"/>
  <c r="M18" i="16" s="1"/>
  <c r="P17" i="2"/>
  <c r="K17" i="2" s="1"/>
  <c r="L17" i="2" s="1"/>
  <c r="P18" i="2"/>
  <c r="K18" i="2" s="1"/>
  <c r="L18" i="2" s="1"/>
  <c r="P20" i="2"/>
  <c r="K20" i="2" s="1"/>
  <c r="L20" i="2" s="1"/>
  <c r="P21" i="2"/>
  <c r="K21" i="2" s="1"/>
  <c r="L21" i="2" s="1"/>
  <c r="P22" i="2"/>
  <c r="K22" i="2" s="1"/>
  <c r="L22" i="2" s="1"/>
  <c r="P23" i="2"/>
  <c r="K23" i="2" s="1"/>
  <c r="L23" i="2" s="1"/>
  <c r="P25" i="2"/>
  <c r="K25" i="2" s="1"/>
  <c r="L25" i="2" s="1"/>
  <c r="P27" i="2"/>
  <c r="K27" i="2" s="1"/>
  <c r="L27" i="2" s="1"/>
  <c r="P28" i="2"/>
  <c r="K28" i="2" s="1"/>
  <c r="L28" i="2" s="1"/>
  <c r="P29" i="2"/>
  <c r="K29" i="2" s="1"/>
  <c r="L29" i="2" s="1"/>
  <c r="P30" i="2"/>
  <c r="K30" i="2" s="1"/>
  <c r="L30" i="2" s="1"/>
  <c r="P31" i="2"/>
  <c r="K31" i="2" s="1"/>
  <c r="L31" i="2" s="1"/>
  <c r="P32" i="2"/>
  <c r="K32" i="2" s="1"/>
  <c r="L32" i="2" s="1"/>
  <c r="P33" i="2"/>
  <c r="K33" i="2" s="1"/>
  <c r="L33" i="2" s="1"/>
  <c r="P34" i="2"/>
  <c r="K34" i="2" s="1"/>
  <c r="L34" i="2" s="1"/>
  <c r="P35" i="2"/>
  <c r="K35" i="2" s="1"/>
  <c r="L35" i="2" s="1"/>
  <c r="P36" i="2"/>
  <c r="K36" i="2" s="1"/>
  <c r="L36" i="2" s="1"/>
  <c r="P37" i="2"/>
  <c r="K37" i="2" s="1"/>
  <c r="L37" i="2" s="1"/>
  <c r="P38" i="2"/>
  <c r="K38" i="2" s="1"/>
  <c r="L38" i="2" s="1"/>
  <c r="P39" i="2"/>
  <c r="K39" i="2" s="1"/>
  <c r="L39" i="2" s="1"/>
  <c r="P40" i="2"/>
  <c r="K40" i="2" s="1"/>
  <c r="L40" i="2" s="1"/>
  <c r="P41" i="2"/>
  <c r="K41" i="2" s="1"/>
  <c r="L41" i="2" s="1"/>
  <c r="P42" i="2"/>
  <c r="K42" i="2" s="1"/>
  <c r="L42" i="2" s="1"/>
  <c r="P43" i="2"/>
  <c r="P44" i="2"/>
  <c r="K44" i="2" s="1"/>
  <c r="L44" i="2" s="1"/>
  <c r="P45" i="2"/>
  <c r="K45" i="2" s="1"/>
  <c r="L45" i="2" s="1"/>
  <c r="P46" i="2"/>
  <c r="K46" i="2" s="1"/>
  <c r="L46" i="2" s="1"/>
  <c r="P47" i="2"/>
  <c r="K47" i="2" s="1"/>
  <c r="L47" i="2" s="1"/>
  <c r="P48" i="2"/>
  <c r="K48" i="2" s="1"/>
  <c r="L48" i="2" s="1"/>
  <c r="P49" i="2"/>
  <c r="K49" i="2" s="1"/>
  <c r="L49" i="2" s="1"/>
  <c r="P50" i="2"/>
  <c r="K50" i="2" s="1"/>
  <c r="L50" i="2" s="1"/>
  <c r="P51" i="2"/>
  <c r="K51" i="2" s="1"/>
  <c r="L51" i="2" s="1"/>
  <c r="P52" i="2"/>
  <c r="K52" i="2" s="1"/>
  <c r="L52" i="2" s="1"/>
  <c r="P53" i="2"/>
  <c r="P54" i="2"/>
  <c r="ES60" i="17"/>
  <c r="ES72" i="17" s="1"/>
  <c r="DU60" i="17"/>
  <c r="DU71" i="17" s="1"/>
  <c r="DQ60" i="17"/>
  <c r="DQ72" i="17" s="1"/>
  <c r="DM60" i="17"/>
  <c r="DM71" i="17" s="1"/>
  <c r="CW60" i="17"/>
  <c r="CW72" i="17" s="1"/>
  <c r="CS60" i="17"/>
  <c r="CS71" i="17" s="1"/>
  <c r="BE60" i="17"/>
  <c r="BE71" i="17" s="1"/>
  <c r="Y60" i="17"/>
  <c r="Y71" i="17" s="1"/>
  <c r="HT60" i="17"/>
  <c r="HT72" i="17" s="1"/>
  <c r="HL60" i="17"/>
  <c r="HL71" i="17" s="1"/>
  <c r="HH60" i="17"/>
  <c r="HH71" i="17" s="1"/>
  <c r="HD60" i="17"/>
  <c r="HD71" i="17" s="1"/>
  <c r="GV60" i="17"/>
  <c r="GV72" i="17" s="1"/>
  <c r="GJ60" i="17"/>
  <c r="GJ72" i="17" s="1"/>
  <c r="FP60" i="17"/>
  <c r="FP71" i="17" s="1"/>
  <c r="FL60" i="17"/>
  <c r="FL71" i="17" s="1"/>
  <c r="FH60" i="17"/>
  <c r="FH71" i="17" s="1"/>
  <c r="EM60" i="17"/>
  <c r="EM71" i="17" s="1"/>
  <c r="EI60" i="17"/>
  <c r="EI72" i="17" s="1"/>
  <c r="EE60" i="17"/>
  <c r="EE71" i="17" s="1"/>
  <c r="EA60" i="17"/>
  <c r="EA72" i="17" s="1"/>
  <c r="CE60" i="17"/>
  <c r="CE72" i="17" s="1"/>
  <c r="BG60" i="17"/>
  <c r="BG71" i="17" s="1"/>
  <c r="BC60" i="17"/>
  <c r="BC72" i="17" s="1"/>
  <c r="AU60" i="17"/>
  <c r="AU71" i="17" s="1"/>
  <c r="AE60" i="17"/>
  <c r="AE71" i="17" s="1"/>
  <c r="ID60" i="17"/>
  <c r="ID71" i="17" s="1"/>
  <c r="HR60" i="17"/>
  <c r="HR71" i="17" s="1"/>
  <c r="HN60" i="17"/>
  <c r="HN71" i="17" s="1"/>
  <c r="GD60" i="17"/>
  <c r="GD71" i="17" s="1"/>
  <c r="FV60" i="17"/>
  <c r="FV71" i="17" s="1"/>
  <c r="FN60" i="17"/>
  <c r="FN71" i="17" s="1"/>
  <c r="FJ60" i="17"/>
  <c r="FJ72" i="17" s="1"/>
  <c r="FB60" i="17"/>
  <c r="FB72" i="17" s="1"/>
  <c r="DB60" i="17"/>
  <c r="DB71" i="17" s="1"/>
  <c r="BF60" i="17"/>
  <c r="BF71" i="17" s="1"/>
  <c r="HM60" i="17"/>
  <c r="HM72" i="17" s="1"/>
  <c r="HE60" i="17"/>
  <c r="HE71" i="17" s="1"/>
  <c r="HA60" i="17"/>
  <c r="HA71" i="17" s="1"/>
  <c r="GS60" i="17"/>
  <c r="GS71" i="17" s="1"/>
  <c r="GO60" i="17"/>
  <c r="GO72" i="17" s="1"/>
  <c r="GG60" i="17"/>
  <c r="GG71" i="17" s="1"/>
  <c r="GC60" i="17"/>
  <c r="GC71" i="17" s="1"/>
  <c r="FQ60" i="17"/>
  <c r="FQ71" i="17" s="1"/>
  <c r="FI60" i="17"/>
  <c r="FI72" i="17" s="1"/>
  <c r="FA60" i="17"/>
  <c r="FA72" i="17" s="1"/>
  <c r="ER60" i="17"/>
  <c r="ER71" i="17" s="1"/>
  <c r="EN60" i="17"/>
  <c r="EN72" i="17" s="1"/>
  <c r="EJ60" i="17"/>
  <c r="EJ71" i="17" s="1"/>
  <c r="EB60" i="17"/>
  <c r="EB72" i="17" s="1"/>
  <c r="DX60" i="17"/>
  <c r="DX72" i="17" s="1"/>
  <c r="BL60" i="17"/>
  <c r="BL71" i="17" s="1"/>
  <c r="L60" i="17"/>
  <c r="L71" i="17" s="1"/>
  <c r="IE60" i="17"/>
  <c r="IE71" i="17" s="1"/>
  <c r="IA60" i="17"/>
  <c r="IA71" i="17" s="1"/>
  <c r="HO60" i="17"/>
  <c r="HO71" i="17" s="1"/>
  <c r="HK60" i="17"/>
  <c r="HK72" i="17" s="1"/>
  <c r="HC60" i="17"/>
  <c r="HC72" i="17" s="1"/>
  <c r="GQ60" i="17"/>
  <c r="GQ71" i="17" s="1"/>
  <c r="ET60" i="17"/>
  <c r="ET71" i="17" s="1"/>
  <c r="EL60" i="17"/>
  <c r="EL72" i="17" s="1"/>
  <c r="DZ60" i="17"/>
  <c r="DZ71" i="17" s="1"/>
  <c r="DV60" i="17"/>
  <c r="DV71" i="17" s="1"/>
  <c r="DN60" i="17"/>
  <c r="DN71" i="17" s="1"/>
  <c r="BH60" i="17"/>
  <c r="BH71" i="17" s="1"/>
  <c r="AZ60" i="17"/>
  <c r="AZ71" i="17" s="1"/>
  <c r="HX60" i="17"/>
  <c r="HX72" i="17" s="1"/>
  <c r="GI60" i="17"/>
  <c r="GI72" i="17" s="1"/>
  <c r="GE60" i="17"/>
  <c r="GE72" i="17" s="1"/>
  <c r="GA60" i="17"/>
  <c r="GA71" i="17" s="1"/>
  <c r="FW60" i="17"/>
  <c r="FW72" i="17" s="1"/>
  <c r="FS60" i="17"/>
  <c r="FS71" i="17" s="1"/>
  <c r="FG60" i="17"/>
  <c r="FG72" i="17" s="1"/>
  <c r="FE60" i="17"/>
  <c r="FE71" i="17" s="1"/>
  <c r="FC60" i="17"/>
  <c r="FC72" i="17" s="1"/>
  <c r="EX60" i="17"/>
  <c r="EX72" i="17" s="1"/>
  <c r="EV60" i="17"/>
  <c r="EV72" i="17" s="1"/>
  <c r="CP60" i="17"/>
  <c r="CP71" i="17" s="1"/>
  <c r="HF60" i="17"/>
  <c r="HF72" i="17" s="1"/>
  <c r="GX60" i="17"/>
  <c r="GX72" i="17" s="1"/>
  <c r="GT60" i="17"/>
  <c r="GT71" i="17" s="1"/>
  <c r="GF60" i="17"/>
  <c r="GF72" i="17" s="1"/>
  <c r="DF60" i="17"/>
  <c r="DF72" i="17" s="1"/>
  <c r="CG60" i="17"/>
  <c r="CG72" i="17" s="1"/>
  <c r="CC60" i="17"/>
  <c r="CC72" i="17" s="1"/>
  <c r="BN60" i="17"/>
  <c r="BN71" i="17" s="1"/>
  <c r="DI60" i="17"/>
  <c r="DI72" i="17" s="1"/>
  <c r="CX60" i="17"/>
  <c r="CX71" i="17" s="1"/>
  <c r="CJ60" i="17"/>
  <c r="CJ72" i="17" s="1"/>
  <c r="CB60" i="17"/>
  <c r="CB71" i="17" s="1"/>
  <c r="BW60" i="17"/>
  <c r="BW72" i="17" s="1"/>
  <c r="BR60" i="17"/>
  <c r="BR72" i="17" s="1"/>
  <c r="BM60" i="17"/>
  <c r="BM71" i="17" s="1"/>
  <c r="DT60" i="17"/>
  <c r="DT71" i="17" s="1"/>
  <c r="DO60" i="17"/>
  <c r="DO72" i="17" s="1"/>
  <c r="DJ60" i="17"/>
  <c r="DJ71" i="17" s="1"/>
  <c r="CV60" i="17"/>
  <c r="CV71" i="17" s="1"/>
  <c r="CR60" i="17"/>
  <c r="CR71" i="17" s="1"/>
  <c r="CL60" i="17"/>
  <c r="CL72" i="17" s="1"/>
  <c r="CH60" i="17"/>
  <c r="CH72" i="17" s="1"/>
  <c r="BU60" i="17"/>
  <c r="BU71" i="17" s="1"/>
  <c r="FZ60" i="17"/>
  <c r="FZ71" i="17" s="1"/>
  <c r="AG60" i="17"/>
  <c r="AG71" i="17" s="1"/>
  <c r="IH16" i="17"/>
  <c r="IG16" i="17"/>
  <c r="IF16" i="17"/>
  <c r="IE16" i="17"/>
  <c r="IC16" i="17"/>
  <c r="IB16" i="17"/>
  <c r="HZ16" i="17"/>
  <c r="HY16" i="17"/>
  <c r="HX16" i="17"/>
  <c r="HW16" i="17"/>
  <c r="HV16" i="17"/>
  <c r="HU16" i="17"/>
  <c r="HT16" i="17"/>
  <c r="HS16" i="17"/>
  <c r="HR16" i="17"/>
  <c r="HQ16" i="17"/>
  <c r="HP16" i="17"/>
  <c r="HO16" i="17"/>
  <c r="HN16" i="17"/>
  <c r="HM16" i="17"/>
  <c r="HL16" i="17"/>
  <c r="HK16" i="17"/>
  <c r="HJ16" i="17"/>
  <c r="HI16" i="17"/>
  <c r="HH16" i="17"/>
  <c r="HG16" i="17"/>
  <c r="HF16" i="17"/>
  <c r="HE16" i="17"/>
  <c r="HD16" i="17"/>
  <c r="HC16" i="17"/>
  <c r="HB16" i="17"/>
  <c r="HA16" i="17"/>
  <c r="GZ16" i="17"/>
  <c r="GY16" i="17"/>
  <c r="GW16" i="17"/>
  <c r="GV16" i="17"/>
  <c r="GU16" i="17"/>
  <c r="GT16" i="17"/>
  <c r="GS16" i="17"/>
  <c r="GR16" i="17"/>
  <c r="GQ16" i="17"/>
  <c r="GP16" i="17"/>
  <c r="GO16" i="17"/>
  <c r="GN16" i="17"/>
  <c r="GK16" i="17"/>
  <c r="GI16" i="17"/>
  <c r="GH16" i="17"/>
  <c r="GG16" i="17"/>
  <c r="GF16" i="17"/>
  <c r="GE16" i="17"/>
  <c r="GD16" i="17"/>
  <c r="GC16" i="17"/>
  <c r="GB16" i="17"/>
  <c r="GA16" i="17"/>
  <c r="FZ16" i="17"/>
  <c r="FY16" i="17"/>
  <c r="FX16" i="17"/>
  <c r="FW16" i="17"/>
  <c r="FU16" i="17"/>
  <c r="FT16" i="17"/>
  <c r="FS16" i="17"/>
  <c r="FR16" i="17"/>
  <c r="FQ16" i="17"/>
  <c r="FP16" i="17"/>
  <c r="FO16" i="17"/>
  <c r="FM16" i="17"/>
  <c r="FL16" i="17"/>
  <c r="FK16" i="17"/>
  <c r="FJ16" i="17"/>
  <c r="FI16" i="17"/>
  <c r="FH16" i="17"/>
  <c r="FG16" i="17"/>
  <c r="FF16" i="17"/>
  <c r="FE16" i="17"/>
  <c r="FD16" i="17"/>
  <c r="FC16" i="17"/>
  <c r="FB16" i="17"/>
  <c r="FA16" i="17"/>
  <c r="EZ16" i="17"/>
  <c r="EY16" i="17"/>
  <c r="EX16" i="17"/>
  <c r="EW16" i="17"/>
  <c r="EV16" i="17"/>
  <c r="EU16" i="17"/>
  <c r="ET16" i="17"/>
  <c r="ES16" i="17"/>
  <c r="ER16" i="17"/>
  <c r="EP16" i="17"/>
  <c r="EO16" i="17"/>
  <c r="EN16" i="17"/>
  <c r="EM16" i="17"/>
  <c r="EK16" i="17"/>
  <c r="EJ16" i="17"/>
  <c r="EI16" i="17"/>
  <c r="EH16" i="17"/>
  <c r="EG16" i="17"/>
  <c r="EF16" i="17"/>
  <c r="EE16" i="17"/>
  <c r="ED16" i="17"/>
  <c r="EC16" i="17"/>
  <c r="EB16" i="17"/>
  <c r="EA16" i="17"/>
  <c r="DZ16" i="17"/>
  <c r="DY16" i="17"/>
  <c r="DX16" i="17"/>
  <c r="DV16" i="17"/>
  <c r="DU16" i="17"/>
  <c r="DT16" i="17"/>
  <c r="DS16" i="17"/>
  <c r="DR16" i="17"/>
  <c r="DQ16" i="17"/>
  <c r="DP16" i="17"/>
  <c r="DO16" i="17"/>
  <c r="DN16" i="17"/>
  <c r="DM16" i="17"/>
  <c r="DL16" i="17"/>
  <c r="DK16" i="17"/>
  <c r="DJ16" i="17"/>
  <c r="DI16" i="17"/>
  <c r="DH16" i="17"/>
  <c r="DG16" i="17"/>
  <c r="DF16" i="17"/>
  <c r="DE16" i="17"/>
  <c r="DD16" i="17"/>
  <c r="DC16" i="17"/>
  <c r="DA16" i="17"/>
  <c r="CZ16" i="17"/>
  <c r="CX16" i="17"/>
  <c r="CW16" i="17"/>
  <c r="CV16" i="17"/>
  <c r="CU16" i="17"/>
  <c r="CT16" i="17"/>
  <c r="CS16" i="17"/>
  <c r="CR16" i="17"/>
  <c r="CQ16" i="17"/>
  <c r="CP16" i="17"/>
  <c r="CO16" i="17"/>
  <c r="CN16" i="17"/>
  <c r="CM16" i="17"/>
  <c r="CL16" i="17"/>
  <c r="CK16" i="17"/>
  <c r="CJ16" i="17"/>
  <c r="CI16" i="17"/>
  <c r="CH16" i="17"/>
  <c r="CG16" i="17"/>
  <c r="CF16" i="17"/>
  <c r="CD16" i="17"/>
  <c r="CC16" i="17"/>
  <c r="CB16" i="17"/>
  <c r="CA16" i="17"/>
  <c r="BZ16" i="17"/>
  <c r="BY16" i="17"/>
  <c r="BX16" i="17"/>
  <c r="BW16" i="17"/>
  <c r="BV16" i="17"/>
  <c r="BU16" i="17"/>
  <c r="BS16" i="17"/>
  <c r="BR16" i="17"/>
  <c r="BP16" i="17"/>
  <c r="BM16" i="17"/>
  <c r="BL16" i="17"/>
  <c r="BK16" i="17"/>
  <c r="BJ16" i="17"/>
  <c r="BI16" i="17"/>
  <c r="BH16" i="17"/>
  <c r="BG16" i="17"/>
  <c r="BF16" i="17"/>
  <c r="BE16" i="17"/>
  <c r="BD16" i="17"/>
  <c r="BC16" i="17"/>
  <c r="BB16" i="17"/>
  <c r="BA16" i="17"/>
  <c r="AZ16" i="17"/>
  <c r="AY16" i="17"/>
  <c r="AX16" i="17"/>
  <c r="AW16" i="17"/>
  <c r="AV16" i="17"/>
  <c r="AU16" i="17"/>
  <c r="AT16" i="17"/>
  <c r="AS16" i="17"/>
  <c r="AR16" i="17"/>
  <c r="AQ16" i="17"/>
  <c r="AP16" i="17"/>
  <c r="AO16" i="17"/>
  <c r="AN16" i="17"/>
  <c r="AM16" i="17"/>
  <c r="AJ16" i="17"/>
  <c r="AG16" i="17"/>
  <c r="AF16" i="17"/>
  <c r="AE16" i="17"/>
  <c r="AD16" i="17"/>
  <c r="AC16" i="17"/>
  <c r="AB16" i="17"/>
  <c r="AA16" i="17"/>
  <c r="Z16" i="17"/>
  <c r="Y16" i="17"/>
  <c r="X16" i="17"/>
  <c r="V16" i="17"/>
  <c r="U16" i="17"/>
  <c r="S16" i="17"/>
  <c r="R16" i="17"/>
  <c r="Q16" i="17"/>
  <c r="P16" i="17"/>
  <c r="O16" i="17"/>
  <c r="K16" i="17"/>
  <c r="P55" i="2"/>
  <c r="ID16" i="17"/>
  <c r="IA16" i="17"/>
  <c r="GX16" i="17"/>
  <c r="GM16" i="17"/>
  <c r="FV16" i="17"/>
  <c r="FN16" i="17"/>
  <c r="EQ16" i="17"/>
  <c r="EL16" i="17"/>
  <c r="DW16" i="17"/>
  <c r="DB16" i="17"/>
  <c r="CY16" i="17"/>
  <c r="CE16" i="17"/>
  <c r="AH16" i="17"/>
  <c r="W16" i="17"/>
  <c r="T16" i="17"/>
  <c r="N16" i="17"/>
  <c r="J16" i="17"/>
  <c r="O19" i="5"/>
  <c r="J57" i="6"/>
  <c r="J60" i="6" s="1"/>
  <c r="J59" i="6" s="1"/>
  <c r="K57" i="6"/>
  <c r="K60" i="6" s="1"/>
  <c r="K59" i="6" s="1"/>
  <c r="L57" i="6"/>
  <c r="L60" i="6" s="1"/>
  <c r="L59" i="6" s="1"/>
  <c r="M57" i="6"/>
  <c r="M60" i="6" s="1"/>
  <c r="M59" i="6" s="1"/>
  <c r="N57" i="6"/>
  <c r="N60" i="6" s="1"/>
  <c r="N59" i="6" s="1"/>
  <c r="O57" i="6"/>
  <c r="O60" i="6" s="1"/>
  <c r="O59" i="6" s="1"/>
  <c r="P57" i="6"/>
  <c r="P60" i="6" s="1"/>
  <c r="P59" i="6" s="1"/>
  <c r="Q57" i="6"/>
  <c r="Q60" i="6" s="1"/>
  <c r="Q59" i="6" s="1"/>
  <c r="I57" i="6"/>
  <c r="I60" i="6" s="1"/>
  <c r="I59" i="6" s="1"/>
  <c r="P24" i="2"/>
  <c r="K24" i="2" s="1"/>
  <c r="L24" i="2" s="1"/>
  <c r="P26" i="2"/>
  <c r="K26" i="2" s="1"/>
  <c r="L26" i="2" s="1"/>
  <c r="V60" i="17"/>
  <c r="V72" i="17" s="1"/>
  <c r="BK60" i="17"/>
  <c r="BK71" i="17" s="1"/>
  <c r="CA60" i="17"/>
  <c r="CA72" i="17" s="1"/>
  <c r="Q60" i="17"/>
  <c r="Q71" i="17" s="1"/>
  <c r="AO60" i="17"/>
  <c r="AO71" i="17" s="1"/>
  <c r="DE60" i="17"/>
  <c r="DE71" i="17" s="1"/>
  <c r="GN60" i="17"/>
  <c r="GN71" i="17" s="1"/>
  <c r="AI16" i="17"/>
  <c r="L16" i="17"/>
  <c r="AK16" i="17"/>
  <c r="HY60" i="17"/>
  <c r="HY71" i="17" s="1"/>
  <c r="M16" i="17"/>
  <c r="T60" i="17"/>
  <c r="X60" i="17"/>
  <c r="X71" i="17" s="1"/>
  <c r="W60" i="17"/>
  <c r="W72" i="17" s="1"/>
  <c r="GB60" i="17"/>
  <c r="GB71" i="17" s="1"/>
  <c r="FM60" i="17"/>
  <c r="CM60" i="17"/>
  <c r="CM72" i="17" s="1"/>
  <c r="HS60" i="17"/>
  <c r="HS71" i="17" s="1"/>
  <c r="BI60" i="17"/>
  <c r="BI71" i="17" s="1"/>
  <c r="BJ60" i="17"/>
  <c r="BJ71" i="17" s="1"/>
  <c r="CU60" i="17"/>
  <c r="CU72" i="17" s="1"/>
  <c r="EZ60" i="17"/>
  <c r="EZ71" i="17" s="1"/>
  <c r="GU60" i="17"/>
  <c r="GU72" i="17" s="1"/>
  <c r="HV60" i="17"/>
  <c r="HV72" i="17" s="1"/>
  <c r="HZ60" i="17"/>
  <c r="HZ72" i="17" s="1"/>
  <c r="CI60" i="17"/>
  <c r="CI72" i="17" s="1"/>
  <c r="CN60" i="17"/>
  <c r="CN72" i="17" s="1"/>
  <c r="FU60" i="17"/>
  <c r="FU71" i="17" s="1"/>
  <c r="FR60" i="17"/>
  <c r="FR71" i="17" s="1"/>
  <c r="GP60" i="17"/>
  <c r="GP71" i="17" s="1"/>
  <c r="HJ60" i="17"/>
  <c r="HJ71" i="17" s="1"/>
  <c r="BT16" i="17"/>
  <c r="Z60" i="17"/>
  <c r="Z71" i="17" s="1"/>
  <c r="AL60" i="17"/>
  <c r="AL71" i="17" s="1"/>
  <c r="AV60" i="17"/>
  <c r="AV72" i="17" s="1"/>
  <c r="BX60" i="17"/>
  <c r="BX72" i="17" s="1"/>
  <c r="DR60" i="17"/>
  <c r="EH60" i="17"/>
  <c r="EH71" i="17" s="1"/>
  <c r="EQ60" i="17"/>
  <c r="EQ72" i="17" s="1"/>
  <c r="CK60" i="17"/>
  <c r="CK71" i="17" s="1"/>
  <c r="GH60" i="17"/>
  <c r="GH71" i="17" s="1"/>
  <c r="HB60" i="17"/>
  <c r="HB71" i="17" s="1"/>
  <c r="CF60" i="17"/>
  <c r="CF71" i="17" s="1"/>
  <c r="FT60" i="17"/>
  <c r="FT71" i="17" s="1"/>
  <c r="U60" i="17"/>
  <c r="U72" i="17" s="1"/>
  <c r="CT60" i="17"/>
  <c r="CT71" i="17" s="1"/>
  <c r="HI60" i="17"/>
  <c r="HI71" i="17" s="1"/>
  <c r="AP60" i="17"/>
  <c r="AP72" i="17" s="1"/>
  <c r="EC60" i="17"/>
  <c r="EC71" i="17" s="1"/>
  <c r="CO60" i="17"/>
  <c r="CO71" i="17" s="1"/>
  <c r="GW60" i="17"/>
  <c r="HG60" i="17"/>
  <c r="HG72" i="17" s="1"/>
  <c r="DH60" i="17"/>
  <c r="DH71" i="17" s="1"/>
  <c r="N28" i="5"/>
  <c r="N29" i="5" s="1"/>
  <c r="GZ60" i="17"/>
  <c r="GZ72" i="17" s="1"/>
  <c r="H16" i="17"/>
  <c r="I16" i="17"/>
  <c r="FO60" i="17"/>
  <c r="FO72" i="17" s="1"/>
  <c r="HP60" i="17"/>
  <c r="HP72" i="17" s="1"/>
  <c r="FX60" i="17"/>
  <c r="FX71" i="17" s="1"/>
  <c r="DY60" i="17"/>
  <c r="DY72" i="17" s="1"/>
  <c r="IB60" i="17"/>
  <c r="IB72" i="17" s="1"/>
  <c r="BV60" i="17"/>
  <c r="BV71" i="17" s="1"/>
  <c r="AB60" i="17"/>
  <c r="AB71" i="17" s="1"/>
  <c r="BO60" i="17"/>
  <c r="BO72" i="17" s="1"/>
  <c r="AH60" i="17"/>
  <c r="AH72" i="17" s="1"/>
  <c r="BN16" i="17"/>
  <c r="BQ16" i="17"/>
  <c r="GM60" i="17"/>
  <c r="GM71" i="17" s="1"/>
  <c r="GR60" i="17"/>
  <c r="GR71" i="17" s="1"/>
  <c r="BP60" i="17"/>
  <c r="BP71" i="17" s="1"/>
  <c r="BS60" i="17"/>
  <c r="BS71" i="17" s="1"/>
  <c r="I60" i="17"/>
  <c r="I72" i="17" s="1"/>
  <c r="M60" i="17"/>
  <c r="M72" i="17" s="1"/>
  <c r="S60" i="17"/>
  <c r="S71" i="17" s="1"/>
  <c r="AA60" i="17"/>
  <c r="AA72" i="17" s="1"/>
  <c r="AF60" i="17"/>
  <c r="AF72" i="17" s="1"/>
  <c r="AK60" i="17"/>
  <c r="AK72" i="17" s="1"/>
  <c r="AR60" i="17"/>
  <c r="AR72" i="17" s="1"/>
  <c r="AS60" i="17"/>
  <c r="AS71" i="17" s="1"/>
  <c r="BA60" i="17"/>
  <c r="BA71" i="17" s="1"/>
  <c r="BD60" i="17"/>
  <c r="BD71" i="17" s="1"/>
  <c r="CQ60" i="17"/>
  <c r="CQ71" i="17" s="1"/>
  <c r="CY60" i="17"/>
  <c r="CY72" i="17" s="1"/>
  <c r="DP60" i="17"/>
  <c r="DP71" i="17" s="1"/>
  <c r="EK60" i="17"/>
  <c r="EK71" i="17" s="1"/>
  <c r="EP60" i="17"/>
  <c r="EP72" i="17" s="1"/>
  <c r="EY60" i="17"/>
  <c r="EY71" i="17" s="1"/>
  <c r="HU60" i="17"/>
  <c r="HU71" i="17" s="1"/>
  <c r="IC60" i="17"/>
  <c r="IC72" i="17" s="1"/>
  <c r="IG60" i="17"/>
  <c r="IG71" i="17" s="1"/>
  <c r="J60" i="17"/>
  <c r="J71" i="17" s="1"/>
  <c r="AD60" i="17"/>
  <c r="AD72" i="17" s="1"/>
  <c r="AX60" i="17"/>
  <c r="AX71" i="17" s="1"/>
  <c r="EG60" i="17"/>
  <c r="EG72" i="17" s="1"/>
  <c r="BO16" i="17"/>
  <c r="AJ60" i="17"/>
  <c r="AJ72" i="17" s="1"/>
  <c r="HQ60" i="17"/>
  <c r="HQ71" i="17" s="1"/>
  <c r="K60" i="17"/>
  <c r="K72" i="17" s="1"/>
  <c r="R60" i="17"/>
  <c r="R72" i="17" s="1"/>
  <c r="AY60" i="17"/>
  <c r="AY71" i="17" s="1"/>
  <c r="DK60" i="17"/>
  <c r="DK72" i="17" s="1"/>
  <c r="GJ16" i="17"/>
  <c r="GL16" i="17"/>
  <c r="DG60" i="17"/>
  <c r="DG72" i="17" s="1"/>
  <c r="EW60" i="17"/>
  <c r="EW71" i="17" s="1"/>
  <c r="IH60" i="17"/>
  <c r="IH72" i="17" s="1"/>
  <c r="O60" i="17"/>
  <c r="O71" i="17" s="1"/>
  <c r="AM60" i="17"/>
  <c r="AM72" i="17" s="1"/>
  <c r="AQ60" i="17"/>
  <c r="AQ72" i="17" s="1"/>
  <c r="BT60" i="17"/>
  <c r="BT72" i="17" s="1"/>
  <c r="EU60" i="17"/>
  <c r="EU71" i="17" s="1"/>
  <c r="FD60" i="17"/>
  <c r="FD72" i="17" s="1"/>
  <c r="N60" i="17"/>
  <c r="N71" i="17" s="1"/>
  <c r="EF60" i="17"/>
  <c r="EF72" i="17" s="1"/>
  <c r="AN60" i="17"/>
  <c r="AN71" i="17" s="1"/>
  <c r="AT60" i="17"/>
  <c r="AT72" i="17" s="1"/>
  <c r="DA60" i="17"/>
  <c r="DA71" i="17" s="1"/>
  <c r="ED60" i="17"/>
  <c r="ED71" i="17" s="1"/>
  <c r="AC60" i="17"/>
  <c r="AC71" i="17" s="1"/>
  <c r="AL16" i="17"/>
  <c r="DD60" i="17"/>
  <c r="DD71" i="17" s="1"/>
  <c r="FK60" i="17"/>
  <c r="FK71" i="17" s="1"/>
  <c r="BB60" i="17"/>
  <c r="BB72" i="17" s="1"/>
  <c r="EO60" i="17"/>
  <c r="EO71" i="17" s="1"/>
  <c r="IF60" i="17"/>
  <c r="IF71" i="17" s="1"/>
  <c r="H60" i="17"/>
  <c r="H72" i="17" s="1"/>
  <c r="GL60" i="17"/>
  <c r="GL72" i="17" s="1"/>
  <c r="P60" i="17"/>
  <c r="P71" i="17" s="1"/>
  <c r="DS60" i="17"/>
  <c r="DS72" i="17" s="1"/>
  <c r="BQ60" i="17"/>
  <c r="BQ71" i="17" s="1"/>
  <c r="DL60" i="17"/>
  <c r="DL71" i="17" s="1"/>
  <c r="DW60" i="17"/>
  <c r="DW71" i="17" s="1"/>
  <c r="FF60" i="17"/>
  <c r="FF72" i="17" s="1"/>
  <c r="HW60" i="17"/>
  <c r="HW71" i="17" s="1"/>
  <c r="AI60" i="17"/>
  <c r="AI71" i="17" s="1"/>
  <c r="CD60" i="17"/>
  <c r="CD71" i="17" s="1"/>
  <c r="FY60" i="17"/>
  <c r="FY71" i="17" s="1"/>
  <c r="BY60" i="17"/>
  <c r="BY71" i="17" s="1"/>
  <c r="GY60" i="17"/>
  <c r="GY71" i="17" s="1"/>
  <c r="AW60" i="17"/>
  <c r="AW71" i="17" s="1"/>
  <c r="CZ60" i="17"/>
  <c r="CZ71" i="17" s="1"/>
  <c r="GK60" i="17"/>
  <c r="GK71" i="17" s="1"/>
  <c r="BZ60" i="17"/>
  <c r="BZ72" i="17" s="1"/>
  <c r="DC60" i="17"/>
  <c r="DC72" i="17" s="1"/>
  <c r="O19" i="16" l="1"/>
  <c r="HR72" i="17"/>
  <c r="Y72" i="17"/>
  <c r="ID72" i="17"/>
  <c r="AO72" i="17"/>
  <c r="FQ72" i="17"/>
  <c r="CG71" i="17"/>
  <c r="FL72" i="17"/>
  <c r="BC71" i="17"/>
  <c r="DM72" i="17"/>
  <c r="ET72" i="17"/>
  <c r="HS72" i="17"/>
  <c r="BM72" i="17"/>
  <c r="EL71" i="17"/>
  <c r="EJ72" i="17"/>
  <c r="AU72" i="17"/>
  <c r="FI71" i="17"/>
  <c r="BF72" i="17"/>
  <c r="EX71" i="17"/>
  <c r="EN71" i="17"/>
  <c r="HD72" i="17"/>
  <c r="EE72" i="17"/>
  <c r="GS72" i="17"/>
  <c r="GI71" i="17"/>
  <c r="DN72" i="17"/>
  <c r="CX72" i="17"/>
  <c r="FN72" i="17"/>
  <c r="BV72" i="17"/>
  <c r="CV72" i="17"/>
  <c r="BL72" i="17"/>
  <c r="HZ71" i="17"/>
  <c r="BR71" i="17"/>
  <c r="HN72" i="17"/>
  <c r="HO72" i="17"/>
  <c r="CC71" i="17"/>
  <c r="HT71" i="17"/>
  <c r="GX71" i="17"/>
  <c r="DJ72" i="17"/>
  <c r="CH71" i="17"/>
  <c r="FS72" i="17"/>
  <c r="IE72" i="17"/>
  <c r="IH71" i="17"/>
  <c r="DX71" i="17"/>
  <c r="EI71" i="17"/>
  <c r="X72" i="17"/>
  <c r="FT72" i="17"/>
  <c r="BT71" i="17"/>
  <c r="FU72" i="17"/>
  <c r="GZ71" i="17"/>
  <c r="BN72" i="17"/>
  <c r="AE72" i="17"/>
  <c r="AS72" i="17"/>
  <c r="BS72" i="17"/>
  <c r="EB71" i="17"/>
  <c r="CB72" i="17"/>
  <c r="FZ72" i="17"/>
  <c r="CS72" i="17"/>
  <c r="GA72" i="17"/>
  <c r="J72" i="17"/>
  <c r="DU72" i="17"/>
  <c r="GB72" i="17"/>
  <c r="GJ71" i="17"/>
  <c r="GD72" i="17"/>
  <c r="L40" i="16"/>
  <c r="GF71" i="17"/>
  <c r="L22" i="16"/>
  <c r="HC71" i="17"/>
  <c r="CA71" i="17"/>
  <c r="FA71" i="17"/>
  <c r="BA72" i="17"/>
  <c r="AR71" i="17"/>
  <c r="AY72" i="17"/>
  <c r="AA71" i="17"/>
  <c r="ED72" i="17"/>
  <c r="EY72" i="17"/>
  <c r="CY71" i="17"/>
  <c r="K71" i="17"/>
  <c r="S72" i="17"/>
  <c r="L72" i="17"/>
  <c r="CW71" i="17"/>
  <c r="HM71" i="17"/>
  <c r="EZ72" i="17"/>
  <c r="CN71" i="17"/>
  <c r="GV71" i="17"/>
  <c r="EV71" i="17"/>
  <c r="BH72" i="17"/>
  <c r="EA71" i="17"/>
  <c r="ES71" i="17"/>
  <c r="GT72" i="17"/>
  <c r="FG71" i="17"/>
  <c r="FH72" i="17"/>
  <c r="BK72" i="17"/>
  <c r="BU72" i="17"/>
  <c r="W71" i="17"/>
  <c r="CJ71" i="17"/>
  <c r="FJ71" i="17"/>
  <c r="CU71" i="17"/>
  <c r="GE71" i="17"/>
  <c r="FO71" i="17"/>
  <c r="HB72" i="17"/>
  <c r="GO71" i="17"/>
  <c r="HK71" i="17"/>
  <c r="I71" i="17"/>
  <c r="AD71" i="17"/>
  <c r="N130" i="16"/>
  <c r="N131" i="16" s="1"/>
  <c r="N132" i="16" s="1"/>
  <c r="L38" i="16" s="1"/>
  <c r="CD72" i="17"/>
  <c r="AQ71" i="17"/>
  <c r="HL72" i="17"/>
  <c r="AZ72" i="17"/>
  <c r="BJ72" i="17"/>
  <c r="EM72" i="17"/>
  <c r="FE72" i="17"/>
  <c r="L31" i="16"/>
  <c r="O31" i="16" s="1"/>
  <c r="CP72" i="17"/>
  <c r="Q72" i="17"/>
  <c r="DZ72" i="17"/>
  <c r="FB71" i="17"/>
  <c r="CE71" i="17"/>
  <c r="L23" i="16"/>
  <c r="AF71" i="17"/>
  <c r="BZ71" i="17"/>
  <c r="L25" i="16"/>
  <c r="GH72" i="17"/>
  <c r="DT72" i="17"/>
  <c r="CR72" i="17"/>
  <c r="L24" i="16"/>
  <c r="L18" i="16"/>
  <c r="O18" i="16" s="1"/>
  <c r="E18" i="2" s="1"/>
  <c r="GM72" i="17"/>
  <c r="HY72" i="17"/>
  <c r="HJ72" i="17"/>
  <c r="GG72" i="17"/>
  <c r="HE72" i="17"/>
  <c r="IF72" i="17"/>
  <c r="AP71" i="17"/>
  <c r="CM71" i="17"/>
  <c r="AL72" i="17"/>
  <c r="DS71" i="17"/>
  <c r="GY72" i="17"/>
  <c r="AI72" i="17"/>
  <c r="DG71" i="17"/>
  <c r="BQ72" i="17"/>
  <c r="EW72" i="17"/>
  <c r="IG72" i="17"/>
  <c r="AJ71" i="17"/>
  <c r="L21" i="16"/>
  <c r="AT71" i="17"/>
  <c r="BP72" i="17"/>
  <c r="DD72" i="17"/>
  <c r="DQ71" i="17"/>
  <c r="EC72" i="17"/>
  <c r="GP72" i="17"/>
  <c r="U71" i="17"/>
  <c r="L39" i="16"/>
  <c r="FF71" i="17"/>
  <c r="CQ72" i="17"/>
  <c r="L20" i="16"/>
  <c r="AC72" i="17"/>
  <c r="H71" i="17"/>
  <c r="L34" i="16"/>
  <c r="L17" i="16"/>
  <c r="EK72" i="17"/>
  <c r="AM71" i="17"/>
  <c r="P72" i="17"/>
  <c r="BX71" i="17"/>
  <c r="HX71" i="17"/>
  <c r="GQ72" i="17"/>
  <c r="P100" i="16"/>
  <c r="AN72" i="17"/>
  <c r="AW72" i="17"/>
  <c r="AX72" i="17"/>
  <c r="EQ71" i="17"/>
  <c r="DH72" i="17"/>
  <c r="FC71" i="17"/>
  <c r="GC72" i="17"/>
  <c r="IA72" i="17"/>
  <c r="O21" i="6"/>
  <c r="O24" i="6" s="1"/>
  <c r="O23" i="6" s="1"/>
  <c r="M23" i="6"/>
  <c r="V71" i="17"/>
  <c r="GK72" i="17"/>
  <c r="EU72" i="17"/>
  <c r="GL71" i="17"/>
  <c r="AK71" i="17"/>
  <c r="EP71" i="17"/>
  <c r="DL72" i="17"/>
  <c r="EF71" i="17"/>
  <c r="DP72" i="17"/>
  <c r="CT72" i="17"/>
  <c r="CF72" i="17"/>
  <c r="CK72" i="17"/>
  <c r="BO71" i="17"/>
  <c r="HI72" i="17"/>
  <c r="HV71" i="17"/>
  <c r="N29" i="6"/>
  <c r="E32" i="2"/>
  <c r="M32" i="2" s="1"/>
  <c r="N33" i="2" s="1"/>
  <c r="K23" i="6"/>
  <c r="GU71" i="17"/>
  <c r="HP71" i="17"/>
  <c r="EH72" i="17"/>
  <c r="CI71" i="17"/>
  <c r="DI71" i="17"/>
  <c r="HH72" i="17"/>
  <c r="HA72" i="17"/>
  <c r="HF71" i="17"/>
  <c r="FR72" i="17"/>
  <c r="FW71" i="17"/>
  <c r="GR72" i="17"/>
  <c r="FK72" i="17"/>
  <c r="M71" i="17"/>
  <c r="BD72" i="17"/>
  <c r="IC71" i="17"/>
  <c r="BG72" i="17"/>
  <c r="CO72" i="17"/>
  <c r="BW71" i="17"/>
  <c r="BE72" i="17"/>
  <c r="DF71" i="17"/>
  <c r="ER72" i="17"/>
  <c r="DO71" i="17"/>
  <c r="AG72" i="17"/>
  <c r="DB72" i="17"/>
  <c r="FY72" i="17"/>
  <c r="BY72" i="17"/>
  <c r="DK71" i="17"/>
  <c r="FP72" i="17"/>
  <c r="DE72" i="17"/>
  <c r="CL71" i="17"/>
  <c r="FV72" i="17"/>
  <c r="DV72" i="17"/>
  <c r="E20" i="2"/>
  <c r="M21" i="2" s="1"/>
  <c r="N21" i="2" s="1"/>
  <c r="R21" i="2" s="1"/>
  <c r="T21" i="2" s="1"/>
  <c r="K29" i="6"/>
  <c r="J23" i="6"/>
  <c r="E28" i="2"/>
  <c r="M28" i="2" s="1"/>
  <c r="N29" i="2" s="1"/>
  <c r="O29" i="2" s="1"/>
  <c r="L23" i="6"/>
  <c r="EO72" i="17"/>
  <c r="AV71" i="17"/>
  <c r="FD71" i="17"/>
  <c r="DW72" i="17"/>
  <c r="R71" i="17"/>
  <c r="O72" i="17"/>
  <c r="EG71" i="17"/>
  <c r="HU72" i="17"/>
  <c r="AH71" i="17"/>
  <c r="Z72" i="17"/>
  <c r="FX72" i="17"/>
  <c r="O27" i="6"/>
  <c r="O30" i="6" s="1"/>
  <c r="E50" i="2" s="1"/>
  <c r="I29" i="6"/>
  <c r="HW72" i="17"/>
  <c r="BB71" i="17"/>
  <c r="IB71" i="17"/>
  <c r="N72" i="17"/>
  <c r="CZ72" i="17"/>
  <c r="DA72" i="17"/>
  <c r="HQ72" i="17"/>
  <c r="DY71" i="17"/>
  <c r="GN72" i="17"/>
  <c r="BI72" i="17"/>
  <c r="K19" i="2"/>
  <c r="L19" i="2" s="1"/>
  <c r="F16" i="15"/>
  <c r="H16" i="15" s="1"/>
  <c r="O15" i="2"/>
  <c r="Q15" i="2" s="1"/>
  <c r="R15" i="2"/>
  <c r="T15" i="2" s="1"/>
  <c r="DC71" i="17"/>
  <c r="K43" i="2"/>
  <c r="L43" i="2" s="1"/>
  <c r="AB72" i="17"/>
  <c r="K53" i="2"/>
  <c r="L53" i="2" s="1"/>
  <c r="O22" i="5"/>
  <c r="E26" i="2" s="1"/>
  <c r="O18" i="5"/>
  <c r="O28" i="5" s="1"/>
  <c r="K55" i="2"/>
  <c r="L55" i="2" s="1"/>
  <c r="I23" i="6"/>
  <c r="DR72" i="17"/>
  <c r="DR71" i="17"/>
  <c r="K54" i="2"/>
  <c r="L54" i="2" s="1"/>
  <c r="HG71" i="17"/>
  <c r="GW72" i="17"/>
  <c r="GW71" i="17"/>
  <c r="FM71" i="17"/>
  <c r="FM72" i="17"/>
  <c r="T72" i="17"/>
  <c r="T71" i="17"/>
  <c r="F25" i="12"/>
  <c r="S22" i="12" s="1"/>
  <c r="M18" i="2" l="1"/>
  <c r="N18" i="2" s="1"/>
  <c r="R18" i="2" s="1"/>
  <c r="T18" i="2" s="1"/>
  <c r="E19" i="2"/>
  <c r="M20" i="2" s="1"/>
  <c r="N20" i="2" s="1"/>
  <c r="O25" i="16"/>
  <c r="O34" i="16"/>
  <c r="O24" i="16"/>
  <c r="M29" i="2" s="1"/>
  <c r="N30" i="2" s="1"/>
  <c r="O23" i="16"/>
  <c r="O38" i="16"/>
  <c r="O40" i="16"/>
  <c r="E54" i="2" s="1"/>
  <c r="M54" i="2" s="1"/>
  <c r="N55" i="2" s="1"/>
  <c r="O55" i="2" s="1"/>
  <c r="O22" i="16"/>
  <c r="O39" i="16"/>
  <c r="O21" i="16"/>
  <c r="M19" i="2"/>
  <c r="N19" i="2" s="1"/>
  <c r="O19" i="2" s="1"/>
  <c r="U19" i="2" s="1"/>
  <c r="O17" i="16"/>
  <c r="E17" i="2" s="1"/>
  <c r="M17" i="2" s="1"/>
  <c r="N17" i="2" s="1"/>
  <c r="O20" i="16"/>
  <c r="N133" i="16"/>
  <c r="N134" i="16" s="1"/>
  <c r="N135" i="16" s="1"/>
  <c r="L37" i="16" s="1"/>
  <c r="L27" i="16"/>
  <c r="L26" i="16"/>
  <c r="L35" i="16"/>
  <c r="L36" i="16"/>
  <c r="O33" i="2"/>
  <c r="U33" i="2" s="1"/>
  <c r="R33" i="2"/>
  <c r="T33" i="2" s="1"/>
  <c r="R29" i="2"/>
  <c r="T29" i="2" s="1"/>
  <c r="R20" i="2"/>
  <c r="T20" i="2" s="1"/>
  <c r="O20" i="2"/>
  <c r="Q20" i="2" s="1"/>
  <c r="G16" i="15"/>
  <c r="O29" i="6"/>
  <c r="U15" i="2"/>
  <c r="O21" i="2"/>
  <c r="U21" i="2" s="1"/>
  <c r="O24" i="5"/>
  <c r="O26" i="5"/>
  <c r="O27" i="5"/>
  <c r="Q29" i="2"/>
  <c r="U29" i="2"/>
  <c r="F26" i="12"/>
  <c r="S23" i="12" s="1"/>
  <c r="F27" i="12"/>
  <c r="S24" i="12" s="1"/>
  <c r="G25" i="12"/>
  <c r="M52" i="2" l="1"/>
  <c r="N53" i="2" s="1"/>
  <c r="O53" i="2" s="1"/>
  <c r="Q53" i="2" s="1"/>
  <c r="E53" i="2"/>
  <c r="M26" i="2"/>
  <c r="N27" i="2" s="1"/>
  <c r="R27" i="2" s="1"/>
  <c r="T27" i="2" s="1"/>
  <c r="E27" i="2"/>
  <c r="M27" i="2" s="1"/>
  <c r="N28" i="2" s="1"/>
  <c r="E45" i="2"/>
  <c r="M45" i="2" s="1"/>
  <c r="N46" i="2" s="1"/>
  <c r="E22" i="2"/>
  <c r="M22" i="2" s="1"/>
  <c r="N22" i="2" s="1"/>
  <c r="O22" i="2" s="1"/>
  <c r="U22" i="2" s="1"/>
  <c r="E23" i="2"/>
  <c r="M23" i="2" s="1"/>
  <c r="N24" i="2" s="1"/>
  <c r="E30" i="2"/>
  <c r="M30" i="2" s="1"/>
  <c r="N31" i="2" s="1"/>
  <c r="R31" i="2" s="1"/>
  <c r="T31" i="2" s="1"/>
  <c r="E31" i="2"/>
  <c r="M31" i="2" s="1"/>
  <c r="N32" i="2" s="1"/>
  <c r="M53" i="2"/>
  <c r="N54" i="2" s="1"/>
  <c r="R54" i="2" s="1"/>
  <c r="T54" i="2" s="1"/>
  <c r="M24" i="2"/>
  <c r="N25" i="2" s="1"/>
  <c r="E25" i="2"/>
  <c r="M25" i="2" s="1"/>
  <c r="N26" i="2" s="1"/>
  <c r="O18" i="2"/>
  <c r="U18" i="2" s="1"/>
  <c r="L29" i="16"/>
  <c r="O29" i="16" s="1"/>
  <c r="E38" i="2" s="1"/>
  <c r="M38" i="2" s="1"/>
  <c r="N39" i="2" s="1"/>
  <c r="O39" i="2" s="1"/>
  <c r="L30" i="16"/>
  <c r="O30" i="16" s="1"/>
  <c r="O27" i="2"/>
  <c r="U27" i="2" s="1"/>
  <c r="N23" i="2"/>
  <c r="O23" i="2" s="1"/>
  <c r="R19" i="2"/>
  <c r="T19" i="2" s="1"/>
  <c r="Q19" i="2"/>
  <c r="R30" i="2"/>
  <c r="T30" i="2" s="1"/>
  <c r="O30" i="2"/>
  <c r="U30" i="2" s="1"/>
  <c r="O17" i="2"/>
  <c r="Q17" i="2" s="1"/>
  <c r="R17" i="2"/>
  <c r="T17" i="2" s="1"/>
  <c r="O25" i="2"/>
  <c r="R25" i="2"/>
  <c r="T25" i="2" s="1"/>
  <c r="O31" i="2"/>
  <c r="O36" i="16"/>
  <c r="O26" i="16"/>
  <c r="O35" i="16"/>
  <c r="O27" i="16"/>
  <c r="O37" i="16"/>
  <c r="L16" i="16"/>
  <c r="L28" i="16"/>
  <c r="L15" i="16"/>
  <c r="L33" i="16"/>
  <c r="L32" i="16"/>
  <c r="R55" i="2"/>
  <c r="T55" i="2" s="1"/>
  <c r="R53" i="2"/>
  <c r="T53" i="2" s="1"/>
  <c r="U53" i="2"/>
  <c r="Q21" i="2"/>
  <c r="U20" i="2"/>
  <c r="Q33" i="2"/>
  <c r="O29" i="5"/>
  <c r="R26" i="2"/>
  <c r="T26" i="2" s="1"/>
  <c r="O26" i="2"/>
  <c r="Q55" i="2"/>
  <c r="U55" i="2"/>
  <c r="G28" i="12"/>
  <c r="F28" i="12"/>
  <c r="S25" i="12" s="1"/>
  <c r="G26" i="12"/>
  <c r="M33" i="2" l="1"/>
  <c r="N34" i="2" s="1"/>
  <c r="E34" i="2"/>
  <c r="M48" i="2"/>
  <c r="N49" i="2" s="1"/>
  <c r="R49" i="2" s="1"/>
  <c r="T49" i="2" s="1"/>
  <c r="E49" i="2"/>
  <c r="M49" i="2" s="1"/>
  <c r="N50" i="2" s="1"/>
  <c r="M39" i="2"/>
  <c r="N40" i="2" s="1"/>
  <c r="R40" i="2" s="1"/>
  <c r="T40" i="2" s="1"/>
  <c r="E40" i="2"/>
  <c r="M40" i="2" s="1"/>
  <c r="N41" i="2" s="1"/>
  <c r="O24" i="2"/>
  <c r="R24" i="2"/>
  <c r="T24" i="2" s="1"/>
  <c r="O46" i="2"/>
  <c r="R46" i="2"/>
  <c r="T46" i="2" s="1"/>
  <c r="O54" i="2"/>
  <c r="Q54" i="2" s="1"/>
  <c r="M50" i="2"/>
  <c r="N51" i="2" s="1"/>
  <c r="E51" i="2"/>
  <c r="M51" i="2" s="1"/>
  <c r="N52" i="2" s="1"/>
  <c r="O52" i="2" s="1"/>
  <c r="R39" i="2"/>
  <c r="T39" i="2" s="1"/>
  <c r="M34" i="2"/>
  <c r="N35" i="2" s="1"/>
  <c r="O35" i="2" s="1"/>
  <c r="E35" i="2"/>
  <c r="R28" i="2"/>
  <c r="T28" i="2" s="1"/>
  <c r="O28" i="2"/>
  <c r="M46" i="2"/>
  <c r="N47" i="2" s="1"/>
  <c r="O47" i="2" s="1"/>
  <c r="E47" i="2"/>
  <c r="M47" i="2" s="1"/>
  <c r="N48" i="2" s="1"/>
  <c r="O32" i="2"/>
  <c r="R32" i="2"/>
  <c r="T32" i="2" s="1"/>
  <c r="Q18" i="2"/>
  <c r="R22" i="2"/>
  <c r="T22" i="2" s="1"/>
  <c r="Q27" i="2"/>
  <c r="R23" i="2"/>
  <c r="T23" i="2" s="1"/>
  <c r="Q22" i="2"/>
  <c r="U17" i="2"/>
  <c r="Q30" i="2"/>
  <c r="R51" i="2"/>
  <c r="T51" i="2" s="1"/>
  <c r="O51" i="2"/>
  <c r="Q51" i="2" s="1"/>
  <c r="R47" i="2"/>
  <c r="T47" i="2" s="1"/>
  <c r="O40" i="2"/>
  <c r="U40" i="2" s="1"/>
  <c r="R34" i="2"/>
  <c r="T34" i="2" s="1"/>
  <c r="O34" i="2"/>
  <c r="U34" i="2" s="1"/>
  <c r="M37" i="2"/>
  <c r="N38" i="2" s="1"/>
  <c r="O28" i="16"/>
  <c r="O32" i="16"/>
  <c r="O16" i="16"/>
  <c r="E16" i="2" s="1"/>
  <c r="M16" i="2" s="1"/>
  <c r="N16" i="2" s="1"/>
  <c r="U31" i="2"/>
  <c r="Q31" i="2"/>
  <c r="O33" i="16"/>
  <c r="O15" i="16"/>
  <c r="Q25" i="2"/>
  <c r="U25" i="2"/>
  <c r="Q23" i="2"/>
  <c r="U23" i="2"/>
  <c r="Q52" i="2"/>
  <c r="U52" i="2"/>
  <c r="Q39" i="2"/>
  <c r="U39" i="2"/>
  <c r="Q26" i="2"/>
  <c r="U26" i="2"/>
  <c r="H26" i="12"/>
  <c r="F29" i="12"/>
  <c r="G27" i="12"/>
  <c r="M35" i="2" l="1"/>
  <c r="N36" i="2" s="1"/>
  <c r="E36" i="2"/>
  <c r="M36" i="2" s="1"/>
  <c r="N37" i="2" s="1"/>
  <c r="M43" i="2"/>
  <c r="N44" i="2" s="1"/>
  <c r="O44" i="2" s="1"/>
  <c r="E44" i="2"/>
  <c r="M44" i="2" s="1"/>
  <c r="N45" i="2" s="1"/>
  <c r="O49" i="2"/>
  <c r="U49" i="2" s="1"/>
  <c r="Q28" i="2"/>
  <c r="U28" i="2"/>
  <c r="U54" i="2"/>
  <c r="Q46" i="2"/>
  <c r="U46" i="2"/>
  <c r="R52" i="2"/>
  <c r="T52" i="2" s="1"/>
  <c r="Q24" i="2"/>
  <c r="U24" i="2"/>
  <c r="R35" i="2"/>
  <c r="T35" i="2" s="1"/>
  <c r="R41" i="2"/>
  <c r="T41" i="2" s="1"/>
  <c r="O41" i="2"/>
  <c r="U32" i="2"/>
  <c r="Q32" i="2"/>
  <c r="M41" i="2"/>
  <c r="N42" i="2" s="1"/>
  <c r="O42" i="2" s="1"/>
  <c r="E42" i="2"/>
  <c r="M42" i="2" s="1"/>
  <c r="N43" i="2" s="1"/>
  <c r="R48" i="2"/>
  <c r="T48" i="2" s="1"/>
  <c r="O48" i="2"/>
  <c r="O50" i="2"/>
  <c r="R50" i="2"/>
  <c r="T50" i="2" s="1"/>
  <c r="O41" i="16"/>
  <c r="E82" i="2" s="1"/>
  <c r="U51" i="2"/>
  <c r="Q49" i="2"/>
  <c r="Q34" i="2"/>
  <c r="Q40" i="2"/>
  <c r="O36" i="2"/>
  <c r="R36" i="2"/>
  <c r="T36" i="2" s="1"/>
  <c r="R44" i="2"/>
  <c r="T44" i="2" s="1"/>
  <c r="O16" i="2"/>
  <c r="U16" i="2" s="1"/>
  <c r="R16" i="2"/>
  <c r="T16" i="2" s="1"/>
  <c r="E14" i="2"/>
  <c r="R38" i="2"/>
  <c r="T38" i="2" s="1"/>
  <c r="O38" i="2"/>
  <c r="Q47" i="2"/>
  <c r="U47" i="2"/>
  <c r="Q35" i="2"/>
  <c r="U35" i="2"/>
  <c r="G29" i="12"/>
  <c r="S28" i="12"/>
  <c r="S26" i="12"/>
  <c r="S27" i="12"/>
  <c r="H31" i="12"/>
  <c r="I31" i="12" s="1"/>
  <c r="N37" i="12" s="1"/>
  <c r="H23" i="12"/>
  <c r="H19" i="12"/>
  <c r="I19" i="12" s="1"/>
  <c r="H18" i="12"/>
  <c r="H17" i="12"/>
  <c r="F30" i="12"/>
  <c r="S29" i="12" s="1"/>
  <c r="H24" i="12"/>
  <c r="H20" i="12"/>
  <c r="H30" i="12"/>
  <c r="H21" i="12"/>
  <c r="H22" i="12"/>
  <c r="H25" i="12"/>
  <c r="Q41" i="2" l="1"/>
  <c r="U41" i="2"/>
  <c r="R42" i="2"/>
  <c r="T42" i="2" s="1"/>
  <c r="U50" i="2"/>
  <c r="Q50" i="2"/>
  <c r="Q48" i="2"/>
  <c r="U48" i="2"/>
  <c r="O43" i="2"/>
  <c r="R43" i="2"/>
  <c r="T43" i="2" s="1"/>
  <c r="O45" i="2"/>
  <c r="R45" i="2"/>
  <c r="T45" i="2" s="1"/>
  <c r="O37" i="2"/>
  <c r="R37" i="2"/>
  <c r="T37" i="2" s="1"/>
  <c r="Q16" i="2"/>
  <c r="Q38" i="2"/>
  <c r="U38" i="2"/>
  <c r="U36" i="2"/>
  <c r="Q36" i="2"/>
  <c r="M14" i="2"/>
  <c r="N14" i="2" s="1"/>
  <c r="E80" i="2"/>
  <c r="U44" i="2"/>
  <c r="Q44" i="2"/>
  <c r="Q42" i="2"/>
  <c r="U42" i="2"/>
  <c r="H28" i="12"/>
  <c r="I18" i="12"/>
  <c r="I17" i="12" s="1"/>
  <c r="H27" i="12"/>
  <c r="H29" i="12"/>
  <c r="Q43" i="2" l="1"/>
  <c r="U43" i="2"/>
  <c r="Q37" i="2"/>
  <c r="U37" i="2"/>
  <c r="Q45" i="2"/>
  <c r="U45" i="2"/>
  <c r="H13" i="15"/>
  <c r="F13" i="15"/>
  <c r="G13" i="15"/>
  <c r="O14" i="2"/>
  <c r="R14" i="2"/>
  <c r="I29" i="12"/>
  <c r="R80" i="2" l="1"/>
  <c r="T14" i="2"/>
  <c r="T80" i="2" s="1"/>
  <c r="Q14" i="2"/>
  <c r="Q80" i="2" s="1"/>
  <c r="U14" i="2"/>
  <c r="U78" i="2" s="1"/>
  <c r="O78" i="2"/>
  <c r="I27" i="12"/>
  <c r="I25" i="12" s="1"/>
  <c r="I23" i="12" s="1"/>
  <c r="I21" i="12" s="1"/>
  <c r="I28" i="12"/>
  <c r="I26" i="12" s="1"/>
  <c r="I24" i="12" s="1"/>
  <c r="I22" i="12" s="1"/>
  <c r="N35" i="12"/>
  <c r="S82" i="2" l="1"/>
  <c r="G14" i="15" s="1"/>
  <c r="S84" i="2"/>
  <c r="S85" i="2" s="1"/>
  <c r="N34" i="12"/>
  <c r="N33" i="12"/>
  <c r="N32" i="12"/>
  <c r="N31" i="12"/>
  <c r="F14" i="15" l="1"/>
  <c r="F22" i="15" s="1"/>
  <c r="F23" i="15" s="1"/>
  <c r="H14" i="15"/>
  <c r="H22" i="15" s="1"/>
  <c r="H17" i="15" s="1"/>
  <c r="H20" i="15" s="1"/>
  <c r="H21" i="15" s="1"/>
  <c r="S83" i="2"/>
  <c r="D29" i="12" s="1"/>
  <c r="G22" i="15"/>
  <c r="G23" i="15" s="1"/>
  <c r="G20" i="15"/>
  <c r="G21" i="15" s="1"/>
  <c r="N27" i="12"/>
  <c r="N29" i="12"/>
  <c r="N28" i="12"/>
  <c r="N30" i="12"/>
  <c r="F20" i="15" l="1"/>
  <c r="F21" i="15" s="1"/>
  <c r="Q36" i="12"/>
  <c r="D24" i="12"/>
  <c r="D25" i="12"/>
  <c r="D21" i="12"/>
  <c r="D30" i="12"/>
  <c r="Q25" i="12"/>
  <c r="D16" i="12"/>
  <c r="Q27" i="12"/>
  <c r="D19" i="12"/>
  <c r="D17" i="12"/>
  <c r="D31" i="12"/>
  <c r="D18" i="12"/>
  <c r="D20" i="12"/>
  <c r="D22" i="12"/>
  <c r="Q22" i="12"/>
  <c r="Q23" i="12"/>
  <c r="Q26" i="12"/>
  <c r="D27" i="12"/>
  <c r="Q37" i="12"/>
  <c r="Q35" i="12"/>
  <c r="D26" i="12"/>
  <c r="Q29" i="12"/>
  <c r="D28" i="12"/>
  <c r="D23" i="12"/>
  <c r="Q24" i="12"/>
  <c r="Q28" i="12"/>
  <c r="Q30" i="12"/>
  <c r="H23" i="15"/>
</calcChain>
</file>

<file path=xl/comments1.xml><?xml version="1.0" encoding="utf-8"?>
<comments xmlns="http://schemas.openxmlformats.org/spreadsheetml/2006/main">
  <authors>
    <author>Hoang, Khoa</author>
  </authors>
  <commentList>
    <comment ref="E7" authorId="0" shapeId="0">
      <text>
        <r>
          <rPr>
            <b/>
            <sz val="8"/>
            <color indexed="81"/>
            <rFont val="Tahoma"/>
            <family val="2"/>
          </rPr>
          <t xml:space="preserve">i.e:
</t>
        </r>
        <r>
          <rPr>
            <sz val="8"/>
            <color indexed="81"/>
            <rFont val="Tahoma"/>
            <family val="2"/>
          </rPr>
          <t xml:space="preserve">- Issued for Information 
- Issued for Review
- Issued for Client Approval
</t>
        </r>
      </text>
    </comment>
  </commentList>
</comments>
</file>

<file path=xl/sharedStrings.xml><?xml version="1.0" encoding="utf-8"?>
<sst xmlns="http://schemas.openxmlformats.org/spreadsheetml/2006/main" count="4788" uniqueCount="1018">
  <si>
    <t>REACTION SECTION DEPRESSURING</t>
  </si>
  <si>
    <t xml:space="preserve"> Volume to be depressurized</t>
  </si>
  <si>
    <t xml:space="preserve"> Time ellapsed between Po and P1</t>
  </si>
  <si>
    <t xml:space="preserve"> Initial depressurization mass flowrate</t>
  </si>
  <si>
    <t>Name</t>
  </si>
  <si>
    <t>Unit</t>
  </si>
  <si>
    <t>t1</t>
  </si>
  <si>
    <t>m3</t>
  </si>
  <si>
    <t>minutes</t>
  </si>
  <si>
    <t xml:space="preserve"> Required depressuring rate in the first min.</t>
  </si>
  <si>
    <t>DATA OF THE UNIT</t>
  </si>
  <si>
    <t>RESULTS OF DEPRESSURIZATION</t>
  </si>
  <si>
    <t xml:space="preserve"> Constant of time decay</t>
  </si>
  <si>
    <t>m</t>
  </si>
  <si>
    <t xml:space="preserve"> --</t>
  </si>
  <si>
    <t xml:space="preserve"> </t>
  </si>
  <si>
    <t>Method 2  (2)</t>
  </si>
  <si>
    <t>Notes:</t>
  </si>
  <si>
    <t>ITEM</t>
  </si>
  <si>
    <t>Total volume</t>
  </si>
  <si>
    <t>Total weight</t>
  </si>
  <si>
    <t>Gas weight</t>
  </si>
  <si>
    <t>Gas volume</t>
  </si>
  <si>
    <t>Gas mol. weight</t>
  </si>
  <si>
    <t>Gas temp.</t>
  </si>
  <si>
    <t>Ti</t>
  </si>
  <si>
    <t>ni</t>
  </si>
  <si>
    <t>Nb of gas moles</t>
  </si>
  <si>
    <t>Stream number</t>
  </si>
  <si>
    <t xml:space="preserve"> - Exchangers, reactors, furnaces: average conditions between inlet and oulet</t>
  </si>
  <si>
    <t xml:space="preserve"> - Drums: liquid level at NLL</t>
  </si>
  <si>
    <t xml:space="preserve"> - Lines: normal operating conditions.</t>
  </si>
  <si>
    <t>Vapor mass %</t>
  </si>
  <si>
    <r>
      <t>r</t>
    </r>
    <r>
      <rPr>
        <b/>
        <sz val="12"/>
        <rFont val="Arial"/>
        <family val="2"/>
      </rPr>
      <t>o liquid</t>
    </r>
  </si>
  <si>
    <r>
      <t>r</t>
    </r>
    <r>
      <rPr>
        <b/>
        <sz val="12"/>
        <rFont val="Arial"/>
        <family val="2"/>
      </rPr>
      <t>o gas</t>
    </r>
  </si>
  <si>
    <t>Gas comp. factor</t>
  </si>
  <si>
    <t>zi</t>
  </si>
  <si>
    <t>Pi</t>
  </si>
  <si>
    <t>ziniRTi   (1)</t>
  </si>
  <si>
    <t>Inlet</t>
  </si>
  <si>
    <t>Outlet</t>
  </si>
  <si>
    <t>Average</t>
  </si>
  <si>
    <t>Press.</t>
  </si>
  <si>
    <t>Gas</t>
  </si>
  <si>
    <r>
      <t>Hypothesis</t>
    </r>
    <r>
      <rPr>
        <sz val="12"/>
        <rFont val="Arial"/>
        <family val="2"/>
      </rPr>
      <t xml:space="preserve">:    EOR mat. balance with  </t>
    </r>
  </si>
  <si>
    <r>
      <t>r</t>
    </r>
    <r>
      <rPr>
        <b/>
        <sz val="12"/>
        <rFont val="Arial"/>
        <family val="2"/>
      </rPr>
      <t>o avg.</t>
    </r>
  </si>
  <si>
    <r>
      <t>Notes:</t>
    </r>
    <r>
      <rPr>
        <sz val="11"/>
        <rFont val="Arial"/>
        <family val="2"/>
      </rPr>
      <t/>
    </r>
  </si>
  <si>
    <t>TOTAL</t>
  </si>
  <si>
    <t xml:space="preserve">Total volume   </t>
  </si>
  <si>
    <t xml:space="preserve">Total volume piping   </t>
  </si>
  <si>
    <t>Vi gas</t>
  </si>
  <si>
    <r>
      <t xml:space="preserve">Pi x Vi </t>
    </r>
    <r>
      <rPr>
        <b/>
        <sz val="10"/>
        <rFont val="Arial"/>
        <family val="2"/>
      </rPr>
      <t>gas</t>
    </r>
  </si>
  <si>
    <r>
      <t xml:space="preserve">Sum (PiVi gas) = sum (ziniRTi)     ----&gt;      </t>
    </r>
    <r>
      <rPr>
        <b/>
        <sz val="12"/>
        <rFont val="Arial"/>
        <family val="2"/>
      </rPr>
      <t>P settling out</t>
    </r>
    <r>
      <rPr>
        <sz val="12"/>
        <rFont val="Arial"/>
        <family val="2"/>
      </rPr>
      <t xml:space="preserve"> =  </t>
    </r>
  </si>
  <si>
    <t xml:space="preserve">D </t>
  </si>
  <si>
    <t>L</t>
  </si>
  <si>
    <t xml:space="preserve"> Catalyst volume</t>
  </si>
  <si>
    <t xml:space="preserve"> Guard beds volume</t>
  </si>
  <si>
    <t>CatV</t>
  </si>
  <si>
    <t>GbV</t>
  </si>
  <si>
    <t>Cd</t>
  </si>
  <si>
    <t xml:space="preserve"> Catalyst density   (1)</t>
  </si>
  <si>
    <t xml:space="preserve"> Total reactor volume</t>
  </si>
  <si>
    <t xml:space="preserve"> 60% of total reactor volume</t>
  </si>
  <si>
    <t>V1</t>
  </si>
  <si>
    <t xml:space="preserve"> Free volume of reactor  (2)</t>
  </si>
  <si>
    <t xml:space="preserve"> Available volume due to catalyst porosity (3)</t>
  </si>
  <si>
    <t xml:space="preserve"> Available volume due to free space  (4)</t>
  </si>
  <si>
    <t xml:space="preserve"> Reactor volume filled with HC product</t>
  </si>
  <si>
    <t>V2</t>
  </si>
  <si>
    <t>V3</t>
  </si>
  <si>
    <t>Total 1</t>
  </si>
  <si>
    <t>Total 2</t>
  </si>
  <si>
    <t>Method 1  (1)         Low Velocity</t>
  </si>
  <si>
    <t xml:space="preserve"> TUBE SIDE</t>
  </si>
  <si>
    <t xml:space="preserve"> Shell diameter</t>
  </si>
  <si>
    <t xml:space="preserve"> External diameter of tubes</t>
  </si>
  <si>
    <t>SHELL SIDE</t>
  </si>
  <si>
    <t>mm</t>
  </si>
  <si>
    <t>inch</t>
  </si>
  <si>
    <t xml:space="preserve"> Internal section</t>
  </si>
  <si>
    <t>TOTAL TUBE SIDE VOLUME</t>
  </si>
  <si>
    <t xml:space="preserve"> Shell side volume for one shell  (2)</t>
  </si>
  <si>
    <t xml:space="preserve"> Nb of shell / bundle</t>
  </si>
  <si>
    <t xml:space="preserve"> Tube side volume for one shell / bundle</t>
  </si>
  <si>
    <t xml:space="preserve"> Tube heads volume for one shell / bundle  (1)</t>
  </si>
  <si>
    <t xml:space="preserve"> (2) Shell side volume = shell cylinder volume - volume occupied by the tubes (tube heads excluded).</t>
  </si>
  <si>
    <t xml:space="preserve"> Nb of tubes per shell (3)</t>
  </si>
  <si>
    <t xml:space="preserve"> (3) For shell with U tubes: nb of tubes = 2 x nb of Us.</t>
  </si>
  <si>
    <t xml:space="preserve"> Shell side volume for one shell  (1)</t>
  </si>
  <si>
    <t>(1)  To obtain an initial and rapid approximation for standard S&amp;T exchangers, 1/3 of the total shell volume should be assuumed to be occupied by the tube bundle.</t>
  </si>
  <si>
    <t>%</t>
  </si>
  <si>
    <t>% volume occupied by tube bundle (1)</t>
  </si>
  <si>
    <t>Tube side volume for one shell  (1)</t>
  </si>
  <si>
    <t xml:space="preserve">Is the vessel full of liquid? </t>
  </si>
  <si>
    <t>Standard Dished</t>
  </si>
  <si>
    <t>Torispherical</t>
  </si>
  <si>
    <t>Ellipsoidal</t>
  </si>
  <si>
    <t>Yes</t>
  </si>
  <si>
    <t>No</t>
  </si>
  <si>
    <t>d</t>
  </si>
  <si>
    <t>volume´s cylinder percentage</t>
  </si>
  <si>
    <t>L/D ratio</t>
  </si>
  <si>
    <t>total volume´s percentage filled with liquid</t>
  </si>
  <si>
    <t>Total cylinder´s volume</t>
  </si>
  <si>
    <t>Total heads´ volume</t>
  </si>
  <si>
    <t>a</t>
  </si>
  <si>
    <t>b</t>
  </si>
  <si>
    <t>A</t>
  </si>
  <si>
    <t>B</t>
  </si>
  <si>
    <t>u1</t>
  </si>
  <si>
    <t>u2</t>
  </si>
  <si>
    <t>t2</t>
  </si>
  <si>
    <t>s1</t>
  </si>
  <si>
    <t>s2</t>
  </si>
  <si>
    <t>y1</t>
  </si>
  <si>
    <t>y2</t>
  </si>
  <si>
    <t>D1</t>
  </si>
  <si>
    <t>D2</t>
  </si>
  <si>
    <t>CASE</t>
  </si>
  <si>
    <t>D-001</t>
  </si>
  <si>
    <t>D-002</t>
  </si>
  <si>
    <t>D-003</t>
  </si>
  <si>
    <t>D-004</t>
  </si>
  <si>
    <t>numeo 1</t>
  </si>
  <si>
    <t>numeo 2</t>
  </si>
  <si>
    <t>numero 3</t>
  </si>
  <si>
    <t>numero 4</t>
  </si>
  <si>
    <t>D-005</t>
  </si>
  <si>
    <t>D-006</t>
  </si>
  <si>
    <t>D-007</t>
  </si>
  <si>
    <t>D-008</t>
  </si>
  <si>
    <t>head´s percentage volume</t>
  </si>
  <si>
    <t>vertical vessels with heads</t>
  </si>
  <si>
    <t>Height (TL to TL)</t>
  </si>
  <si>
    <t>Diameter</t>
  </si>
  <si>
    <t>with heads</t>
  </si>
  <si>
    <t>without heads</t>
  </si>
  <si>
    <t>VERTICAL VESSELS</t>
  </si>
  <si>
    <t>Lenght</t>
  </si>
  <si>
    <t>METHOD 1</t>
  </si>
  <si>
    <t>METHOD 2</t>
  </si>
  <si>
    <r>
      <t>m</t>
    </r>
    <r>
      <rPr>
        <b/>
        <vertAlign val="superscript"/>
        <sz val="11"/>
        <rFont val="Arial"/>
        <family val="2"/>
      </rPr>
      <t>3</t>
    </r>
  </si>
  <si>
    <t>V method 1</t>
  </si>
  <si>
    <t>V  method 2</t>
  </si>
  <si>
    <t>V  method 3</t>
  </si>
  <si>
    <t>D-009</t>
  </si>
  <si>
    <t>D-010</t>
  </si>
  <si>
    <t>D-011</t>
  </si>
  <si>
    <t>D-012</t>
  </si>
  <si>
    <t>D-013</t>
  </si>
  <si>
    <t>D-014</t>
  </si>
  <si>
    <t>D-015</t>
  </si>
  <si>
    <t>D-016</t>
  </si>
  <si>
    <t>D-017</t>
  </si>
  <si>
    <t>D-018</t>
  </si>
  <si>
    <t>D-019</t>
  </si>
  <si>
    <t>with heads volume?</t>
  </si>
  <si>
    <t>REACTOR VOLUMES</t>
  </si>
  <si>
    <t>EXCHANGER VOLUMES</t>
  </si>
  <si>
    <t>Head type</t>
  </si>
  <si>
    <t>Head´s thickness (only applicable for standard head. Default: 15mm)</t>
  </si>
  <si>
    <t>Liquid volume (for vessels with heads)</t>
  </si>
  <si>
    <t>Liquid volume (for vessels without heads)</t>
  </si>
  <si>
    <t>Total volume (for vessels with heads)</t>
  </si>
  <si>
    <t>Total volume (for vessels without heads)</t>
  </si>
  <si>
    <t>Gas volume (for vessels with heads)</t>
  </si>
  <si>
    <t>Gas volume (for vessels without heads)</t>
  </si>
  <si>
    <t>34-V-025</t>
  </si>
  <si>
    <t>Description</t>
  </si>
  <si>
    <t>From / To</t>
  </si>
  <si>
    <t>EQUIPMENT DESIGN PRESSURE</t>
  </si>
  <si>
    <t>Equipment</t>
  </si>
  <si>
    <t>Settlingout pressure</t>
  </si>
  <si>
    <t>Inlet Pressure</t>
  </si>
  <si>
    <r>
      <t>D</t>
    </r>
    <r>
      <rPr>
        <b/>
        <sz val="14"/>
        <rFont val="Arial"/>
        <family val="2"/>
      </rPr>
      <t>P Operating calculated</t>
    </r>
  </si>
  <si>
    <r>
      <t>D</t>
    </r>
    <r>
      <rPr>
        <b/>
        <sz val="14"/>
        <rFont val="Arial"/>
        <family val="2"/>
      </rPr>
      <t>P Design Pressure</t>
    </r>
  </si>
  <si>
    <t>METHOD 3</t>
  </si>
  <si>
    <t>API Standard 521 Fifth edition Method  (Section 5.20.2.3)</t>
  </si>
  <si>
    <t>Vaporization percentage (4)</t>
  </si>
  <si>
    <t>TOTAL GAS TUBE SIDE VOLUME</t>
  </si>
  <si>
    <t>TOTAL GAS SHELL SIDE VOLUME</t>
  </si>
  <si>
    <t xml:space="preserve"> (4) As stated in API 521, Fifth edition, Item 5.20.2.3, for heat exchangers in vaporizing service, 80% of the volume involved should be assumed to be vapour</t>
  </si>
  <si>
    <t>Vaporization percentage (2)</t>
  </si>
  <si>
    <r>
      <t xml:space="preserve"> (2) Reactor volume calculated according to </t>
    </r>
    <r>
      <rPr>
        <b/>
        <sz val="12"/>
        <rFont val="Arial"/>
        <family val="2"/>
      </rPr>
      <t>method 3.</t>
    </r>
  </si>
  <si>
    <t>Liquid level (NLL recommended, referred to TL)</t>
  </si>
  <si>
    <t>Liquid level (referred to TL)</t>
  </si>
  <si>
    <t>Vo</t>
  </si>
  <si>
    <t>Po</t>
  </si>
  <si>
    <t>P1</t>
  </si>
  <si>
    <r>
      <t>r</t>
    </r>
    <r>
      <rPr>
        <sz val="11"/>
        <rFont val="Arial"/>
        <family val="2"/>
      </rPr>
      <t>o</t>
    </r>
  </si>
  <si>
    <r>
      <t>D</t>
    </r>
    <r>
      <rPr>
        <sz val="11"/>
        <rFont val="Arial"/>
        <family val="2"/>
      </rPr>
      <t>Pinitial</t>
    </r>
  </si>
  <si>
    <t>Qo</t>
  </si>
  <si>
    <t>(2) Starting point: the time in minutes (t1) ellapsed between Po and P1.</t>
  </si>
  <si>
    <t>V-EO4201</t>
  </si>
  <si>
    <t>psig</t>
  </si>
  <si>
    <t>lb/lbmol</t>
  </si>
  <si>
    <t>ºF</t>
  </si>
  <si>
    <t>K-EO4201</t>
  </si>
  <si>
    <t>E-EO4210 SS</t>
  </si>
  <si>
    <t>C-EO4210</t>
  </si>
  <si>
    <t>E-EO4212 SS</t>
  </si>
  <si>
    <t>V-EO4211</t>
  </si>
  <si>
    <t>203A</t>
  </si>
  <si>
    <t>A-EO4101</t>
  </si>
  <si>
    <r>
      <t>ft</t>
    </r>
    <r>
      <rPr>
        <vertAlign val="superscript"/>
        <sz val="12"/>
        <rFont val="Arial"/>
        <family val="2"/>
      </rPr>
      <t>3</t>
    </r>
  </si>
  <si>
    <t>lb/lb mol</t>
  </si>
  <si>
    <r>
      <t>lb/m</t>
    </r>
    <r>
      <rPr>
        <vertAlign val="superscript"/>
        <sz val="12"/>
        <rFont val="Arial"/>
        <family val="2"/>
      </rPr>
      <t>3</t>
    </r>
  </si>
  <si>
    <t>lb</t>
  </si>
  <si>
    <t>lbmoles</t>
  </si>
  <si>
    <t>R</t>
  </si>
  <si>
    <r>
      <t>psi · ft</t>
    </r>
    <r>
      <rPr>
        <vertAlign val="superscript"/>
        <sz val="12"/>
        <rFont val="Arial"/>
        <family val="2"/>
      </rPr>
      <t>3</t>
    </r>
  </si>
  <si>
    <t>psi (g)</t>
  </si>
  <si>
    <r>
      <t xml:space="preserve"> (1) R = 10.73159 when Press (psi) and V (ft</t>
    </r>
    <r>
      <rPr>
        <vertAlign val="superscript"/>
        <sz val="12"/>
        <rFont val="Arial"/>
        <family val="2"/>
      </rPr>
      <t>3</t>
    </r>
    <r>
      <rPr>
        <sz val="12"/>
        <rFont val="Arial"/>
        <family val="2"/>
      </rPr>
      <t>).</t>
    </r>
  </si>
  <si>
    <r>
      <t xml:space="preserve">  ft</t>
    </r>
    <r>
      <rPr>
        <vertAlign val="superscript"/>
        <sz val="12"/>
        <rFont val="Arial"/>
        <family val="2"/>
      </rPr>
      <t>3</t>
    </r>
  </si>
  <si>
    <t xml:space="preserve"> psi.</t>
  </si>
  <si>
    <t xml:space="preserve"> psi (g).</t>
  </si>
  <si>
    <t>ft</t>
  </si>
  <si>
    <r>
      <t>ft</t>
    </r>
    <r>
      <rPr>
        <vertAlign val="superscript"/>
        <sz val="11"/>
        <rFont val="Arial"/>
        <family val="2"/>
      </rPr>
      <t>3</t>
    </r>
  </si>
  <si>
    <r>
      <t>lb/ft</t>
    </r>
    <r>
      <rPr>
        <vertAlign val="superscript"/>
        <sz val="11"/>
        <rFont val="Arial"/>
        <family val="2"/>
      </rPr>
      <t>3</t>
    </r>
  </si>
  <si>
    <t>Tube Internal diameter</t>
  </si>
  <si>
    <t xml:space="preserve"> Tube length  </t>
  </si>
  <si>
    <t>No of Tubes</t>
  </si>
  <si>
    <t>n</t>
  </si>
  <si>
    <t>E04111</t>
  </si>
  <si>
    <t>EO4113</t>
  </si>
  <si>
    <t>EO4121</t>
  </si>
  <si>
    <t>EO4123</t>
  </si>
  <si>
    <t>EO4230</t>
  </si>
  <si>
    <t>EO4210</t>
  </si>
  <si>
    <t>EO4212</t>
  </si>
  <si>
    <r>
      <t>ft</t>
    </r>
    <r>
      <rPr>
        <b/>
        <vertAlign val="superscript"/>
        <sz val="11"/>
        <rFont val="Arial"/>
        <family val="2"/>
      </rPr>
      <t>3</t>
    </r>
  </si>
  <si>
    <r>
      <t>inch</t>
    </r>
    <r>
      <rPr>
        <vertAlign val="superscript"/>
        <sz val="11"/>
        <rFont val="Arial"/>
        <family val="2"/>
      </rPr>
      <t>2</t>
    </r>
  </si>
  <si>
    <t xml:space="preserve"> Length of tubes</t>
  </si>
  <si>
    <t xml:space="preserve"> Length of shell</t>
  </si>
  <si>
    <t>Vessel Diameter</t>
  </si>
  <si>
    <t>Vessel Height (T/T)</t>
  </si>
  <si>
    <t>Head Volume</t>
  </si>
  <si>
    <t>Vessel Length (T/T)</t>
  </si>
  <si>
    <t>E-EO4110</t>
  </si>
  <si>
    <t>E-EO4120</t>
  </si>
  <si>
    <t>C-EO4230</t>
  </si>
  <si>
    <t>C-EO4230 Boot</t>
  </si>
  <si>
    <t>(1) Considered similiar to HC Reactor</t>
  </si>
  <si>
    <t>(2) Free volume of reactor = Volume of reactor not occupied by catalyts nor guard beds.</t>
  </si>
  <si>
    <t>(4) Free space = free space around catalyst = 0,4 x (catalyst volume).</t>
  </si>
  <si>
    <t>SCH</t>
  </si>
  <si>
    <t>VAPOR FRAC</t>
  </si>
  <si>
    <t>VAPOR</t>
  </si>
  <si>
    <t>E111-SI</t>
  </si>
  <si>
    <t>E111-SO</t>
  </si>
  <si>
    <t>E111-TI</t>
  </si>
  <si>
    <t>E113-TI</t>
  </si>
  <si>
    <t>E113-TO</t>
  </si>
  <si>
    <t>E230-SI</t>
  </si>
  <si>
    <t>E230-SO</t>
  </si>
  <si>
    <t>E230-TO</t>
  </si>
  <si>
    <t>E231-SI</t>
  </si>
  <si>
    <t>E231-SO</t>
  </si>
  <si>
    <t>E231-TO</t>
  </si>
  <si>
    <t>E232-SI</t>
  </si>
  <si>
    <t>E235-SI</t>
  </si>
  <si>
    <t>E235-SO</t>
  </si>
  <si>
    <t>E238-TI</t>
  </si>
  <si>
    <t>E238-TO</t>
  </si>
  <si>
    <t>E241-SI</t>
  </si>
  <si>
    <t>E241-SO</t>
  </si>
  <si>
    <t>E243-TI</t>
  </si>
  <si>
    <t>E243-TO1</t>
  </si>
  <si>
    <t>E245-TI</t>
  </si>
  <si>
    <t>E245-TO</t>
  </si>
  <si>
    <t>E260-SI</t>
  </si>
  <si>
    <t>E260-SO</t>
  </si>
  <si>
    <t>E261-TI</t>
  </si>
  <si>
    <t>E261-TO</t>
  </si>
  <si>
    <t>E262-TI</t>
  </si>
  <si>
    <t>E262-TO</t>
  </si>
  <si>
    <t>E301G-SO</t>
  </si>
  <si>
    <t>E302G-SO</t>
  </si>
  <si>
    <t>E302G-TO</t>
  </si>
  <si>
    <t>E303G-TO</t>
  </si>
  <si>
    <t>E304G-SO</t>
  </si>
  <si>
    <t>E315G-TI</t>
  </si>
  <si>
    <t>E315G-TO</t>
  </si>
  <si>
    <t>E321G-SI</t>
  </si>
  <si>
    <t>E321G-SO</t>
  </si>
  <si>
    <t>E325G-SO</t>
  </si>
  <si>
    <t>E325G-TI</t>
  </si>
  <si>
    <t>E325G-TO</t>
  </si>
  <si>
    <t>EEO314-I</t>
  </si>
  <si>
    <t>EEO314-O</t>
  </si>
  <si>
    <t>EO3128-I</t>
  </si>
  <si>
    <t>EO3128-O</t>
  </si>
  <si>
    <t>EOSTBOT</t>
  </si>
  <si>
    <t>EOSTBTM1</t>
  </si>
  <si>
    <t>EOTOMEG</t>
  </si>
  <si>
    <t>FLSSTRL</t>
  </si>
  <si>
    <t>FLSSTRV</t>
  </si>
  <si>
    <t>FLSTRIN</t>
  </si>
  <si>
    <t>HPEO</t>
  </si>
  <si>
    <t>K201-O</t>
  </si>
  <si>
    <t>K261-1I</t>
  </si>
  <si>
    <t>K261-2I</t>
  </si>
  <si>
    <t>LACOND</t>
  </si>
  <si>
    <t>LEBOTRET</t>
  </si>
  <si>
    <t>P235-I</t>
  </si>
  <si>
    <t>P235-O</t>
  </si>
  <si>
    <t>P241-O</t>
  </si>
  <si>
    <t>P245-O</t>
  </si>
  <si>
    <t>P255-I</t>
  </si>
  <si>
    <t>P265-I</t>
  </si>
  <si>
    <t>P301G-O</t>
  </si>
  <si>
    <t>P321G-O</t>
  </si>
  <si>
    <t>P325G-I</t>
  </si>
  <si>
    <t>P325G-O</t>
  </si>
  <si>
    <t>PSEUDO</t>
  </si>
  <si>
    <t>PSEUDO2</t>
  </si>
  <si>
    <t>QMAKEUP</t>
  </si>
  <si>
    <t>RC230L</t>
  </si>
  <si>
    <t>RC230V</t>
  </si>
  <si>
    <t>RC240L</t>
  </si>
  <si>
    <t>RC240V</t>
  </si>
  <si>
    <t>REOIN</t>
  </si>
  <si>
    <t>REOOUT</t>
  </si>
  <si>
    <t>REOPUOUT</t>
  </si>
  <si>
    <t>REOPURIN</t>
  </si>
  <si>
    <t>RLEIN</t>
  </si>
  <si>
    <t>RLEOUT</t>
  </si>
  <si>
    <t>RQBFIN</t>
  </si>
  <si>
    <t>RQBFOUT</t>
  </si>
  <si>
    <t>RXLA1</t>
  </si>
  <si>
    <t>SODAINJ1</t>
  </si>
  <si>
    <t>SODAINJ2</t>
  </si>
  <si>
    <t>STM200</t>
  </si>
  <si>
    <t>V302G-I</t>
  </si>
  <si>
    <t>WATERADD</t>
  </si>
  <si>
    <t>X102-1</t>
  </si>
  <si>
    <t>X102-2</t>
  </si>
  <si>
    <t>X102-3</t>
  </si>
  <si>
    <t>X102-4</t>
  </si>
  <si>
    <t>X102-5</t>
  </si>
  <si>
    <t>X102-6</t>
  </si>
  <si>
    <t>X102-7</t>
  </si>
  <si>
    <t>X102-8</t>
  </si>
  <si>
    <t>X102-9</t>
  </si>
  <si>
    <t>X103-1</t>
  </si>
  <si>
    <t>X103-2</t>
  </si>
  <si>
    <t>X104-1</t>
  </si>
  <si>
    <t>X104-3</t>
  </si>
  <si>
    <t>X105</t>
  </si>
  <si>
    <t>X105-1</t>
  </si>
  <si>
    <t>X105-2</t>
  </si>
  <si>
    <t>X105-3</t>
  </si>
  <si>
    <t>X105-4</t>
  </si>
  <si>
    <t>X105-5</t>
  </si>
  <si>
    <t>X219-1</t>
  </si>
  <si>
    <t>X219-4</t>
  </si>
  <si>
    <t>X219-5</t>
  </si>
  <si>
    <t>X219-8</t>
  </si>
  <si>
    <t>X219-9</t>
  </si>
  <si>
    <t>X220</t>
  </si>
  <si>
    <t>XC230-1</t>
  </si>
  <si>
    <t>XC240-1</t>
  </si>
  <si>
    <t>XC250-1</t>
  </si>
  <si>
    <t>XC250L</t>
  </si>
  <si>
    <t>XC250V</t>
  </si>
  <si>
    <t>XC260-1</t>
  </si>
  <si>
    <t>XC260L</t>
  </si>
  <si>
    <t>XC260V</t>
  </si>
  <si>
    <t>XC310G-1</t>
  </si>
  <si>
    <t>XC310GL</t>
  </si>
  <si>
    <t>XC310GV</t>
  </si>
  <si>
    <t>XC320G-1</t>
  </si>
  <si>
    <t>XC320L</t>
  </si>
  <si>
    <t>XC320V</t>
  </si>
  <si>
    <t>Y220-1</t>
  </si>
  <si>
    <t>Z105-1</t>
  </si>
  <si>
    <t>Z105-2</t>
  </si>
  <si>
    <t>Z105-3</t>
  </si>
  <si>
    <t>Z106-1</t>
  </si>
  <si>
    <t>Z106-2</t>
  </si>
  <si>
    <t>Z219-1</t>
  </si>
  <si>
    <t>Z221-1</t>
  </si>
  <si>
    <t>Z221-2</t>
  </si>
  <si>
    <t>Z223-1</t>
  </si>
  <si>
    <t>Z229-1</t>
  </si>
  <si>
    <t>Z230-1</t>
  </si>
  <si>
    <t>Z233</t>
  </si>
  <si>
    <t>Z234-1</t>
  </si>
  <si>
    <t>Z234-2</t>
  </si>
  <si>
    <t>Z242</t>
  </si>
  <si>
    <t>Z243-1</t>
  </si>
  <si>
    <t>Z243-2</t>
  </si>
  <si>
    <t>Z243-3</t>
  </si>
  <si>
    <t>Z243-4</t>
  </si>
  <si>
    <t>Z245-1</t>
  </si>
  <si>
    <t>Z307</t>
  </si>
  <si>
    <t>Z315GMLI</t>
  </si>
  <si>
    <t>Z325GMLI</t>
  </si>
  <si>
    <t>ZADHBLDS</t>
  </si>
  <si>
    <t>ZAQEO1</t>
  </si>
  <si>
    <t>ZAQEO3</t>
  </si>
  <si>
    <t>ZC310RFX</t>
  </si>
  <si>
    <t>ZC320GRF</t>
  </si>
  <si>
    <t>ZE241-SO</t>
  </si>
  <si>
    <t>ZE243-TI</t>
  </si>
  <si>
    <t>ZE243-TO</t>
  </si>
  <si>
    <t>ZE245MLI</t>
  </si>
  <si>
    <t>ZE245MLO</t>
  </si>
  <si>
    <t>ZEOPURBT</t>
  </si>
  <si>
    <t>ZFAHBLD</t>
  </si>
  <si>
    <t>ZO2-1</t>
  </si>
  <si>
    <t>ZO2-2</t>
  </si>
  <si>
    <t>ZSIDE</t>
  </si>
  <si>
    <t>ZZ229-1</t>
  </si>
  <si>
    <t>ZZE230-I</t>
  </si>
  <si>
    <t>ZZE230-O</t>
  </si>
  <si>
    <t>ZZX227-1</t>
  </si>
  <si>
    <t>ZZX227-2</t>
  </si>
  <si>
    <t>ZZX228-1</t>
  </si>
  <si>
    <t>ZZX228-2</t>
  </si>
  <si>
    <t>ZZX228-3</t>
  </si>
  <si>
    <t>ZZX228-4</t>
  </si>
  <si>
    <t>ZZX247-1</t>
  </si>
  <si>
    <t>ZZX247-2</t>
  </si>
  <si>
    <t>ZZX303-1</t>
  </si>
  <si>
    <t>ZZX305-1</t>
  </si>
  <si>
    <t>LIQUID</t>
  </si>
  <si>
    <t>EOC-LOWACO</t>
  </si>
  <si>
    <t>THIS SECTION IS EXTRACTED FROM LOWACO HEAT AND MASS BALANCE - LINKED TO EOC-LOWACO TAB</t>
  </si>
  <si>
    <t>OXYGEN
FEED</t>
  </si>
  <si>
    <t>ETHYLENE
FEED</t>
  </si>
  <si>
    <t>METHANE</t>
  </si>
  <si>
    <t>OXYGEN
MIXING
NOZZLE
FEED</t>
  </si>
  <si>
    <t>OXYGEN
MIXING
NOZZLE
PRODUCT</t>
  </si>
  <si>
    <t>REACTOR EFFLUENT TO EO ABSORBER</t>
  </si>
  <si>
    <t>RECYCLE GAS TO CO2 ABSORBER</t>
  </si>
  <si>
    <t>LEAN CARBONATE TO CO2 ABSORBER</t>
  </si>
  <si>
    <t>CO2 ABSORBER OVERHEAD</t>
  </si>
  <si>
    <t>WATER KNOCKOUT DRUM VAPOR</t>
  </si>
  <si>
    <t>CO2 ABSORBER BOTTOMS</t>
  </si>
  <si>
    <t>CONVERTED EO TO CARBONATE FLASHER</t>
  </si>
  <si>
    <t>WATER KO DRUM BOTTOMS</t>
  </si>
  <si>
    <t>CARBONATE FLASHER BOTTOMS</t>
  </si>
  <si>
    <t>CO2 STRIPPER OVERHEAD</t>
  </si>
  <si>
    <t>CO2 STRIPPER BOTTOMS</t>
  </si>
  <si>
    <t>LEAN CARBONATE FILTER OUTLET</t>
  </si>
  <si>
    <t>CO2 VENT KO DRUM BOTTOMS</t>
  </si>
  <si>
    <t>STRIPPER CONDENSATE TO PDH</t>
  </si>
  <si>
    <t>MOTIVE STEAM TO CO2 STRIPPER JET</t>
  </si>
  <si>
    <t>CO2 STRIPPER JET SUCTION</t>
  </si>
  <si>
    <t>CO2 STRIPPER JET DISCHARGE</t>
  </si>
  <si>
    <t>CARBONATE FLASHER OVERHEAD</t>
  </si>
  <si>
    <t>CO2 STRIPPER VENT TO ATM.</t>
  </si>
  <si>
    <t>PROCESS VENT TO???</t>
  </si>
  <si>
    <t>RECYCLE GAS TO COMPRESSOR</t>
  </si>
  <si>
    <t>RECYCLE GAS TO MIXING NOZZLE</t>
  </si>
  <si>
    <t>EO ABSORBER FEED TO SECONDARY PROD. COOLER</t>
  </si>
  <si>
    <t>LEAN ABSORBENT TO EO ABSORBER</t>
  </si>
  <si>
    <t>EO ABSORBER OVERHEAD</t>
  </si>
  <si>
    <t>EO ABSORBER BOTTOMS</t>
  </si>
  <si>
    <t>EO ABSORBER SIDE DRAW</t>
  </si>
  <si>
    <t>QUENCH BLEED TO DEGAS HEATER</t>
  </si>
  <si>
    <t>EO STRIPPER FEED</t>
  </si>
  <si>
    <t>STRIPPING STEAM TO
EO STRIPPER</t>
  </si>
  <si>
    <t>EO STRIPPER OVERHEAD</t>
  </si>
  <si>
    <t>EO STRIPPER BOTTOMS</t>
  </si>
  <si>
    <t>EO STRIPPER KNOCKBACK FEED</t>
  </si>
  <si>
    <t>GLYCOL BLEED TO FLASHER</t>
  </si>
  <si>
    <t>EO STRIPPER VENT TO RESIDUAL ABSORBER</t>
  </si>
  <si>
    <t>EO STRIPPER DISTILLATE TO LIGHT ENDS COLUMN</t>
  </si>
  <si>
    <t>LEAN ABSORBENT TO RESID ABSORBER LA COOLER</t>
  </si>
  <si>
    <t>LIGHT ENDS COLUMN OVERHEAD</t>
  </si>
  <si>
    <t>LIGHT ENDS COLUMN BOTTOMS PRODUCT</t>
  </si>
  <si>
    <t>RESIDUAL EO ABSORBER OVERHEAD</t>
  </si>
  <si>
    <t>RESIDUAL EO ABSORBER BOTTOMS PRODUCT</t>
  </si>
  <si>
    <t>RESIDUAL GAS COMPRESSOR DISCHARGE</t>
  </si>
  <si>
    <t>RESIDUAL GAS TO SECONDARY PRODUCT COOLER</t>
  </si>
  <si>
    <t>STRIPPING STEAM TO LIGHT ENDS COLUMN</t>
  </si>
  <si>
    <t>AQUEOUS EO LOOP RETURN FROM HPEO-1 COLUMN</t>
  </si>
  <si>
    <t>QUENCH BLEED DEGASSER OVERHEAD</t>
  </si>
  <si>
    <t>QUENCH BLEED DEGASSER BOTTOMS</t>
  </si>
  <si>
    <t>1ST STAGE QB FLASHER FEED</t>
  </si>
  <si>
    <t>1ST STAGE QB FLASHER OVERHEAD</t>
  </si>
  <si>
    <t>1ST STAGE QB FLASHER BOTTOMS</t>
  </si>
  <si>
    <t>2ND STAGE QB FLASHER DISTILLATE PRODUCT</t>
  </si>
  <si>
    <t>2ND STAGE QB FLASHER BOTTOMS PRODUCT</t>
  </si>
  <si>
    <t>STREAM NUMBER</t>
  </si>
  <si>
    <t>TOTAL STREAM</t>
  </si>
  <si>
    <t>PHASE</t>
  </si>
  <si>
    <t>TEMPERATURE</t>
  </si>
  <si>
    <t>⁰F</t>
  </si>
  <si>
    <t>PRESSURE</t>
  </si>
  <si>
    <t>PSIG</t>
  </si>
  <si>
    <t>MASS FLOW RATE</t>
  </si>
  <si>
    <t>LB/HR</t>
  </si>
  <si>
    <t>MOLAR FLOW RATE</t>
  </si>
  <si>
    <t>LBMOL/HR</t>
  </si>
  <si>
    <t>MOLECULAR WEIGHT</t>
  </si>
  <si>
    <t>LB/LBMOL</t>
  </si>
  <si>
    <t>MASS DENSITY</t>
  </si>
  <si>
    <t>LB/CUFT</t>
  </si>
  <si>
    <t>VAPOR FRACTION (MAS BASIS)</t>
  </si>
  <si>
    <t>VAPOR PHASE</t>
  </si>
  <si>
    <t>VISCOSITY</t>
  </si>
  <si>
    <t>CP</t>
  </si>
  <si>
    <t>THERMAL CONDUCTIVITY</t>
  </si>
  <si>
    <t>BTU/HR-FT-R</t>
  </si>
  <si>
    <t>HEAT CAPACITY</t>
  </si>
  <si>
    <t>BTU/LB-R</t>
  </si>
  <si>
    <t>COMPRESSIBILITY FACTOR</t>
  </si>
  <si>
    <t>RATIO OF CP/CV</t>
  </si>
  <si>
    <t>LIQUID PHASE</t>
  </si>
  <si>
    <t>SURFACE TENSION</t>
  </si>
  <si>
    <t>DYNE/CM</t>
  </si>
  <si>
    <t>Dump Sheet Raw</t>
  </si>
  <si>
    <t>COMPONENTS</t>
  </si>
  <si>
    <t>FORMULA</t>
  </si>
  <si>
    <t>MW</t>
  </si>
  <si>
    <t>TB, ⁰F</t>
  </si>
  <si>
    <t>C2H4O-2</t>
  </si>
  <si>
    <t>ETHYLENE OXIDE</t>
  </si>
  <si>
    <t>C2H4O-1</t>
  </si>
  <si>
    <t>ACETALDEHYDE</t>
  </si>
  <si>
    <t>H2O</t>
  </si>
  <si>
    <t>WATER</t>
  </si>
  <si>
    <t>C2H6O2</t>
  </si>
  <si>
    <t>ETHYLENE GLYCOL</t>
  </si>
  <si>
    <t>C4H10O3</t>
  </si>
  <si>
    <t>DIETHYLENE GLYCOL</t>
  </si>
  <si>
    <t>C6H14O4</t>
  </si>
  <si>
    <t>TRIETHYLENE GLYCOL</t>
  </si>
  <si>
    <t>C8H18O5</t>
  </si>
  <si>
    <t>TETRAETHYLENE GLYCOL</t>
  </si>
  <si>
    <t>CH2O</t>
  </si>
  <si>
    <t>FORMALDEHYDE</t>
  </si>
  <si>
    <t>H2</t>
  </si>
  <si>
    <t>HYDROGEN</t>
  </si>
  <si>
    <t>N2</t>
  </si>
  <si>
    <t>NITROGEN</t>
  </si>
  <si>
    <t>AR</t>
  </si>
  <si>
    <t>ARGON</t>
  </si>
  <si>
    <t>O2</t>
  </si>
  <si>
    <t>OXYGEN</t>
  </si>
  <si>
    <t>CH4</t>
  </si>
  <si>
    <t>C2H4</t>
  </si>
  <si>
    <t>ETHYLENE</t>
  </si>
  <si>
    <t>C2H6</t>
  </si>
  <si>
    <t>ETHANE</t>
  </si>
  <si>
    <t>CO2</t>
  </si>
  <si>
    <t>CARBON DIOXIDE</t>
  </si>
  <si>
    <t>C2H5CLO</t>
  </si>
  <si>
    <t>SODIUM-HYDROXIDE</t>
  </si>
  <si>
    <t>NAOH</t>
  </si>
  <si>
    <t>C4H7CLO2</t>
  </si>
  <si>
    <t>SALTS</t>
  </si>
  <si>
    <t>C3H4O3</t>
  </si>
  <si>
    <t>POTASSIUM-CARBONATE</t>
  </si>
  <si>
    <t>K2CO3</t>
  </si>
  <si>
    <t>POTASSIUM-BICARBONATE</t>
  </si>
  <si>
    <t>KHCO3</t>
  </si>
  <si>
    <t>H+</t>
  </si>
  <si>
    <t>K+</t>
  </si>
  <si>
    <t>OH-</t>
  </si>
  <si>
    <t>CO3--</t>
  </si>
  <si>
    <t>CO3-2</t>
  </si>
  <si>
    <t>HCO3-</t>
  </si>
  <si>
    <t>E-EO4110 / 4120</t>
  </si>
  <si>
    <t>E-EO4111/4121 SS</t>
  </si>
  <si>
    <t>E-EO4111/4121 TS</t>
  </si>
  <si>
    <t>E-EO4230</t>
  </si>
  <si>
    <t>V-EO4211 to A-EO4101</t>
  </si>
  <si>
    <t>A-EO4101 E-EO4111/4121</t>
  </si>
  <si>
    <t>36"-0390</t>
  </si>
  <si>
    <t>36"-0071</t>
  </si>
  <si>
    <t>24"-0103</t>
  </si>
  <si>
    <t>24"-0102</t>
  </si>
  <si>
    <t>E-EO4111</t>
  </si>
  <si>
    <t>E-EO4121</t>
  </si>
  <si>
    <t>24"-0116</t>
  </si>
  <si>
    <t>E-EO4111 to E-EO4110</t>
  </si>
  <si>
    <t>E-EO4121 to E-EO4120</t>
  </si>
  <si>
    <t>E-EO4110 reactor tubeside</t>
  </si>
  <si>
    <t>24"-0136</t>
  </si>
  <si>
    <t xml:space="preserve">E-EO4110 reactor to E-EO4113 </t>
  </si>
  <si>
    <t>E-EO4120 reactor tubeside</t>
  </si>
  <si>
    <t xml:space="preserve">E-EO4120 reactor to E-EO4123 </t>
  </si>
  <si>
    <t>E-EO4113</t>
  </si>
  <si>
    <t>E-EO4123</t>
  </si>
  <si>
    <t>24"-0255</t>
  </si>
  <si>
    <t>24"-0256</t>
  </si>
  <si>
    <t>E-EO4113 to E-EO4111</t>
  </si>
  <si>
    <t>E-EO4123 to E-EO4121</t>
  </si>
  <si>
    <t>24"-0175 / 174</t>
  </si>
  <si>
    <t>30"-0108</t>
  </si>
  <si>
    <t>30"-0109</t>
  </si>
  <si>
    <t>E-EO4111 to E-EO4230</t>
  </si>
  <si>
    <t>E-EO4121 to E-EO4230</t>
  </si>
  <si>
    <t>36"-0108</t>
  </si>
  <si>
    <t>To E-EO4230</t>
  </si>
  <si>
    <t>36"-0490</t>
  </si>
  <si>
    <t>E-EO4230 to C-EO4230</t>
  </si>
  <si>
    <t>36"-0492</t>
  </si>
  <si>
    <t>14"-0493</t>
  </si>
  <si>
    <t>C-EO4230 to V-EO4201</t>
  </si>
  <si>
    <t>C-EO4230 bottoms</t>
  </si>
  <si>
    <t>36"-0370</t>
  </si>
  <si>
    <t>V-EO4201 to K-EO4201</t>
  </si>
  <si>
    <t>36"-0380</t>
  </si>
  <si>
    <t>K-EO4201 to A-EO4201</t>
  </si>
  <si>
    <t>24"-0381</t>
  </si>
  <si>
    <t>K-EO4201 to E-EO4210</t>
  </si>
  <si>
    <t>E-EO4210</t>
  </si>
  <si>
    <t>30"-0405</t>
  </si>
  <si>
    <t>E-EO4210 to C-EO4210</t>
  </si>
  <si>
    <t>30"-0385</t>
  </si>
  <si>
    <t>C-EO4210 to E-EO4212</t>
  </si>
  <si>
    <t>E-EO4212</t>
  </si>
  <si>
    <t>36"-0386</t>
  </si>
  <si>
    <t>E-EO4212 to V-EO4211</t>
  </si>
  <si>
    <t>6"-0057</t>
  </si>
  <si>
    <t>Ethylene to mixing nozzle</t>
  </si>
  <si>
    <t>6"-0002</t>
  </si>
  <si>
    <t>Oxygen to mixing nozzle</t>
  </si>
  <si>
    <t>SIZE\SCH</t>
  </si>
  <si>
    <t>5S</t>
  </si>
  <si>
    <t>10S</t>
  </si>
  <si>
    <t>40S</t>
  </si>
  <si>
    <t>80S</t>
  </si>
  <si>
    <t>STD</t>
  </si>
  <si>
    <t>XS</t>
  </si>
  <si>
    <t>XXS</t>
  </si>
  <si>
    <t>N/A</t>
  </si>
  <si>
    <t>ID</t>
  </si>
  <si>
    <t>Length</t>
  </si>
  <si>
    <t>Piping Volume</t>
  </si>
  <si>
    <t>Pipe NPS</t>
  </si>
  <si>
    <t>IF(H16="",H15,HLOOKUP(H16,Databank!$C$2:$S$28,VLOOKUP(H15,Databank!$A$3:$B$28,2,FALSE),FALSE))</t>
  </si>
  <si>
    <t>H16, SCH</t>
  </si>
  <si>
    <t>H15, pipe size</t>
  </si>
  <si>
    <t>Row #</t>
  </si>
  <si>
    <t>A-EO4101 E-EO4111</t>
  </si>
  <si>
    <t>A-EO4101 E-EO4121</t>
  </si>
  <si>
    <t>E-EO4113/4123 TS</t>
  </si>
  <si>
    <t>E-EO4111 TS</t>
  </si>
  <si>
    <t>E-EO4121 TS</t>
  </si>
  <si>
    <t>E-EO4113 TS</t>
  </si>
  <si>
    <t>E-EO4123 TS</t>
  </si>
  <si>
    <t>E-EO4110 TS</t>
  </si>
  <si>
    <t>E-EO4120 TS</t>
  </si>
  <si>
    <t>E-EO4111 SS</t>
  </si>
  <si>
    <t>E-EO4121 SS</t>
  </si>
  <si>
    <t>E-EO4230 TS</t>
  </si>
  <si>
    <t>C-EO4230 - TOP</t>
  </si>
  <si>
    <t>C-EO4230 - Bottom</t>
  </si>
  <si>
    <t>Total</t>
  </si>
  <si>
    <t>24"-0107 / 167</t>
  </si>
  <si>
    <t>24"-0107/167</t>
  </si>
  <si>
    <t>24"-0104</t>
  </si>
  <si>
    <t>A-EO4101 E-EO4230 (Bypass)</t>
  </si>
  <si>
    <t>A-EO4101 Reactor Bypass</t>
  </si>
  <si>
    <t>psi abs</t>
  </si>
  <si>
    <t>psi / min.</t>
  </si>
  <si>
    <t>lb/min</t>
  </si>
  <si>
    <t>lb/h</t>
  </si>
  <si>
    <t xml:space="preserve"> Initial pressure in V-EO4201</t>
  </si>
  <si>
    <t xml:space="preserve"> Final pressure in V-EO4201</t>
  </si>
  <si>
    <t xml:space="preserve"> Initial gas density in V-EO4201</t>
  </si>
  <si>
    <r>
      <t>(1) Starting point: the initial depressuring rate in PSI / min (</t>
    </r>
    <r>
      <rPr>
        <sz val="11"/>
        <rFont val="Symbol"/>
        <family val="1"/>
        <charset val="2"/>
      </rPr>
      <t>D</t>
    </r>
    <r>
      <rPr>
        <sz val="11"/>
        <rFont val="Arial"/>
        <family val="2"/>
      </rPr>
      <t>P</t>
    </r>
    <r>
      <rPr>
        <sz val="11"/>
        <rFont val="Symbol"/>
        <family val="1"/>
        <charset val="2"/>
      </rPr>
      <t xml:space="preserve">  </t>
    </r>
    <r>
      <rPr>
        <sz val="11"/>
        <rFont val="Arial"/>
        <family val="2"/>
      </rPr>
      <t>initial).</t>
    </r>
  </si>
  <si>
    <t/>
  </si>
  <si>
    <t>psi g</t>
  </si>
  <si>
    <t>RECYCLE GAS COMPRESSOR SUCTION KO DRUM</t>
  </si>
  <si>
    <t>RECYCLE GAS COMPRESSOR</t>
  </si>
  <si>
    <t>EO ABSORBER</t>
  </si>
  <si>
    <t>CO2 ABSORBER PREHEATER</t>
  </si>
  <si>
    <t>CO2 ABSORBER</t>
  </si>
  <si>
    <t>GAS COOLER</t>
  </si>
  <si>
    <t>WATER KO DRUM</t>
  </si>
  <si>
    <t>REACTOR 1</t>
  </si>
  <si>
    <t>PRIMARY PRODUCT COOLER</t>
  </si>
  <si>
    <t>REACTOR FEED/PRODUCT EXCHANGER</t>
  </si>
  <si>
    <t>REACTOR 2</t>
  </si>
  <si>
    <t>SECONDARY PRODUCT COOLER</t>
  </si>
  <si>
    <t>psi</t>
  </si>
  <si>
    <t xml:space="preserve">psi </t>
  </si>
  <si>
    <t>DP calculated</t>
  </si>
  <si>
    <t>DP Current</t>
  </si>
  <si>
    <t>RATED CASE: EOR</t>
  </si>
  <si>
    <t>ASSOCIATED PIPING VOLUME</t>
  </si>
  <si>
    <t>Process gas in Tube Side of the Reactor</t>
  </si>
  <si>
    <r>
      <t xml:space="preserve"> (1) Tube heads volume for one shell/bundle: volume of cylinder of </t>
    </r>
    <r>
      <rPr>
        <sz val="11"/>
        <rFont val="Symbol"/>
        <family val="1"/>
        <charset val="2"/>
      </rPr>
      <t>F</t>
    </r>
    <r>
      <rPr>
        <sz val="11"/>
        <rFont val="Arial"/>
        <family val="2"/>
      </rPr>
      <t xml:space="preserve"> = shell dia. and L =  2 ft.</t>
    </r>
  </si>
  <si>
    <r>
      <t>(3) Catalyst porosity = 0.008 ft</t>
    </r>
    <r>
      <rPr>
        <vertAlign val="superscript"/>
        <sz val="11"/>
        <rFont val="Arial"/>
        <family val="2"/>
      </rPr>
      <t xml:space="preserve">3 </t>
    </r>
    <r>
      <rPr>
        <sz val="11"/>
        <rFont val="Arial"/>
        <family val="2"/>
      </rPr>
      <t>/ lb of catalyst</t>
    </r>
    <r>
      <rPr>
        <vertAlign val="superscript"/>
        <sz val="11"/>
        <rFont val="Arial"/>
        <family val="2"/>
      </rPr>
      <t xml:space="preserve"> </t>
    </r>
    <r>
      <rPr>
        <sz val="11"/>
        <rFont val="Arial"/>
        <family val="2"/>
      </rPr>
      <t>(</t>
    </r>
    <r>
      <rPr>
        <sz val="11"/>
        <rFont val="Arial"/>
        <family val="2"/>
      </rPr>
      <t>0,5 m</t>
    </r>
    <r>
      <rPr>
        <vertAlign val="superscript"/>
        <sz val="11"/>
        <rFont val="Arial"/>
        <family val="2"/>
      </rPr>
      <t>3</t>
    </r>
    <r>
      <rPr>
        <sz val="11"/>
        <rFont val="Arial"/>
        <family val="2"/>
      </rPr>
      <t xml:space="preserve"> / ton of catalyst)</t>
    </r>
  </si>
  <si>
    <t>TO FLARE</t>
  </si>
  <si>
    <t>REACTOR FEED</t>
  </si>
  <si>
    <t>/PDT EXCHANGER</t>
  </si>
  <si>
    <t>CO2 ABBSORBER</t>
  </si>
  <si>
    <t>PRIMARY PRODUCT</t>
  </si>
  <si>
    <t>COOLER</t>
  </si>
  <si>
    <t>MIXING NOZZLE</t>
  </si>
  <si>
    <t>PREHEATER</t>
  </si>
  <si>
    <t>E-EO4285</t>
  </si>
  <si>
    <t>QUENCH COOLER</t>
  </si>
  <si>
    <t>E-EO4215/16/17/18</t>
  </si>
  <si>
    <t>RECYCLE GAS</t>
  </si>
  <si>
    <t>Tube Thickness</t>
  </si>
  <si>
    <t>30"-0942</t>
  </si>
  <si>
    <t xml:space="preserve">Pressure </t>
  </si>
  <si>
    <t>F</t>
  </si>
  <si>
    <r>
      <t>Sum (Tini gas) /ni)                        ----&gt;     T</t>
    </r>
    <r>
      <rPr>
        <b/>
        <sz val="12"/>
        <rFont val="Arial"/>
        <family val="2"/>
      </rPr>
      <t xml:space="preserve"> settling out</t>
    </r>
    <r>
      <rPr>
        <sz val="12"/>
        <rFont val="Arial"/>
        <family val="2"/>
      </rPr>
      <t xml:space="preserve"> =  </t>
    </r>
  </si>
  <si>
    <r>
      <t xml:space="preserve">Ti x ni </t>
    </r>
    <r>
      <rPr>
        <b/>
        <sz val="10"/>
        <rFont val="Arial"/>
        <family val="2"/>
      </rPr>
      <t>gas</t>
    </r>
  </si>
  <si>
    <t>R.lbmole</t>
  </si>
  <si>
    <t>in</t>
  </si>
  <si>
    <t>Tube Sheet</t>
  </si>
  <si>
    <t>Protrusion</t>
  </si>
  <si>
    <t>Spring</t>
  </si>
  <si>
    <t>Net</t>
  </si>
  <si>
    <t>Inert Depth</t>
  </si>
  <si>
    <t>V-EO4105</t>
  </si>
  <si>
    <r>
      <t>NOTES:</t>
    </r>
    <r>
      <rPr>
        <sz val="10"/>
        <rFont val="Arial"/>
        <family val="2"/>
      </rPr>
      <t xml:space="preserve"> </t>
    </r>
  </si>
  <si>
    <t xml:space="preserve">                      1,- THE TUBES VOLUME ARE CALCULATED AS A LINE</t>
  </si>
  <si>
    <t>Parameter</t>
  </si>
  <si>
    <t>H-005</t>
  </si>
  <si>
    <t>CONVECTION SECTION</t>
  </si>
  <si>
    <t>INSIDE DIAMETER</t>
  </si>
  <si>
    <t xml:space="preserve">ID </t>
  </si>
  <si>
    <t>EFFECTIVE TUBE LENGHT</t>
  </si>
  <si>
    <t>VAPORIZATION PERCENTAGE</t>
  </si>
  <si>
    <t>TUBE VOLUME</t>
  </si>
  <si>
    <t>Vt</t>
  </si>
  <si>
    <r>
      <t>m</t>
    </r>
    <r>
      <rPr>
        <vertAlign val="superscript"/>
        <sz val="11"/>
        <rFont val="Arial"/>
        <family val="2"/>
      </rPr>
      <t>3</t>
    </r>
  </si>
  <si>
    <t>NUMBER OF PASSES</t>
  </si>
  <si>
    <t>Np</t>
  </si>
  <si>
    <t>NUMBER OF TUBES/PASSES</t>
  </si>
  <si>
    <t>Nt/p</t>
  </si>
  <si>
    <t>GAS TOTAL VOLUME</t>
  </si>
  <si>
    <t xml:space="preserve">Vgas </t>
  </si>
  <si>
    <t xml:space="preserve">TOTAL VOLUME </t>
  </si>
  <si>
    <t>Vtotal conv.</t>
  </si>
  <si>
    <t>RADIATION  SECTION</t>
  </si>
  <si>
    <t>Vtotal rad.</t>
  </si>
  <si>
    <t>Hemispherical</t>
  </si>
  <si>
    <t>FRACTIONAL COLUMN with one diameter (see sketch)</t>
  </si>
  <si>
    <t>34-C-028</t>
  </si>
  <si>
    <t>With heads volume?</t>
  </si>
  <si>
    <t>Normal Liquid Level (mm from TL)</t>
  </si>
  <si>
    <t>Number of trays</t>
  </si>
  <si>
    <t>Weir height</t>
  </si>
  <si>
    <t>top section head volume (gas)</t>
  </si>
  <si>
    <t>hold up per tray</t>
  </si>
  <si>
    <t>cilinder´s total volume</t>
  </si>
  <si>
    <t>Liquid bottoms volume (NLL)</t>
  </si>
  <si>
    <t>bottom section head volume (liquid)</t>
  </si>
  <si>
    <t>Column total volume                                               (with heads)</t>
  </si>
  <si>
    <t>Column total gas volume                                         (with heads)</t>
  </si>
  <si>
    <t>Column total volume                                               (without heads)</t>
  </si>
  <si>
    <t>Column total gas volume                                         (without heads)</t>
  </si>
  <si>
    <t>FRACTIONAL COLUMN with two diameters (see sketch)</t>
  </si>
  <si>
    <t>Top section head type</t>
  </si>
  <si>
    <t>Bottom section head type</t>
  </si>
  <si>
    <t>Top section head´s thickness (only applicable for standard head. Default: 15mm)</t>
  </si>
  <si>
    <t>Bottom section head´s thickness (only applicable for standard head. Default: 15mm)</t>
  </si>
  <si>
    <t>Normal liquid level (mm from TL)</t>
  </si>
  <si>
    <t>Top section number of trays</t>
  </si>
  <si>
    <t>Bottom section number of trays</t>
  </si>
  <si>
    <t>Top section weir height</t>
  </si>
  <si>
    <t>Bottom section weir height</t>
  </si>
  <si>
    <t>Height top section</t>
  </si>
  <si>
    <t>Height bottom section</t>
  </si>
  <si>
    <t>Diameter top section</t>
  </si>
  <si>
    <t>Diameter bottom section</t>
  </si>
  <si>
    <t>top section cilinder´s total volume</t>
  </si>
  <si>
    <t>Column total volume                                    (with heads)</t>
  </si>
  <si>
    <t>Column total gas volume                              (with heads)</t>
  </si>
  <si>
    <t>Column total volume                                    (without heads)</t>
  </si>
  <si>
    <t>Column total gas volume                             (without heads)</t>
  </si>
  <si>
    <t>Normal Liquid Level (ft from TL)</t>
  </si>
  <si>
    <t>cylinder´s liquid volume (method1)</t>
  </si>
  <si>
    <t>Cylinder´s gas volume (method1)</t>
  </si>
  <si>
    <t>Normal liquid level (from TL)</t>
  </si>
  <si>
    <t xml:space="preserve">top section Cylinder´s liquid volume </t>
  </si>
  <si>
    <t xml:space="preserve">top section Cylinder´s gas volume </t>
  </si>
  <si>
    <t>bottom section cylinder´s total volume</t>
  </si>
  <si>
    <t>bottom section cylinder´s liquid volume</t>
  </si>
  <si>
    <t>bottom section cylinder´s gas volume</t>
  </si>
  <si>
    <t>HORIZONTAL VESSELS</t>
  </si>
  <si>
    <t>END OF CYCLE (EOC)
STREAM IDENTIFICATION</t>
  </si>
  <si>
    <t>Avg. E111-TI / 106</t>
  </si>
  <si>
    <t>Avg. 221 / E230-TO</t>
  </si>
  <si>
    <t>Column total volume (with heads)</t>
  </si>
  <si>
    <t>Column total gas volume (with heads)</t>
  </si>
  <si>
    <t>Column total volume (without heads)</t>
  </si>
  <si>
    <t>Column total gas volume (without heads)</t>
  </si>
  <si>
    <t>REACTORS DATASHEET</t>
  </si>
  <si>
    <t xml:space="preserve">EXCHANGERS DATASHEET </t>
  </si>
  <si>
    <t>VERTICAL VESSELS DATASHEET</t>
  </si>
  <si>
    <t>HORIZONTAL VESSELS DATASHEET</t>
  </si>
  <si>
    <t>Columns Datasheet</t>
  </si>
  <si>
    <t>Rev</t>
  </si>
  <si>
    <t>Line</t>
  </si>
  <si>
    <t>Page number:</t>
  </si>
  <si>
    <t>GPressU</t>
  </si>
  <si>
    <t>APressU</t>
  </si>
  <si>
    <t>PressU</t>
  </si>
  <si>
    <t>TempU</t>
  </si>
  <si>
    <t>MassFlowU</t>
  </si>
  <si>
    <t>LVFlowU</t>
  </si>
  <si>
    <t>VVFlowU</t>
  </si>
  <si>
    <t>PipeDiaU</t>
  </si>
  <si>
    <t>PipeAreaU</t>
  </si>
  <si>
    <t>DistU</t>
  </si>
  <si>
    <t>AreaU</t>
  </si>
  <si>
    <t>DensityU</t>
  </si>
  <si>
    <t>ViscU</t>
  </si>
  <si>
    <t>LatHeatU</t>
  </si>
  <si>
    <t>HeatFlowU</t>
  </si>
  <si>
    <t>SpVolumeU</t>
  </si>
  <si>
    <t>HeatCapU</t>
  </si>
  <si>
    <t>VelocityU</t>
  </si>
  <si>
    <t>SurfTenU</t>
  </si>
  <si>
    <t>MassFluxU</t>
  </si>
  <si>
    <t>DPLengthU</t>
  </si>
  <si>
    <t>CvU</t>
  </si>
  <si>
    <t>SG</t>
  </si>
  <si>
    <t>VolumeU</t>
  </si>
  <si>
    <t>AtempU</t>
  </si>
  <si>
    <t>Cg</t>
  </si>
  <si>
    <t>MolFlowU</t>
  </si>
  <si>
    <t>ResTimeU</t>
  </si>
  <si>
    <t>GENERAL CLIENT &amp; PROJECT DATA</t>
  </si>
  <si>
    <t>psia</t>
  </si>
  <si>
    <t>°F</t>
  </si>
  <si>
    <t>lb/hr</t>
  </si>
  <si>
    <t>gpm</t>
  </si>
  <si>
    <t>ft3/hr</t>
  </si>
  <si>
    <t>in2</t>
  </si>
  <si>
    <t>ft2</t>
  </si>
  <si>
    <t>lb/ft3</t>
  </si>
  <si>
    <t>cP</t>
  </si>
  <si>
    <t>BTU/lb</t>
  </si>
  <si>
    <t>BTU/hr</t>
  </si>
  <si>
    <t>ft3/lb</t>
  </si>
  <si>
    <t>BTU/lb-°F</t>
  </si>
  <si>
    <t>ft/sec</t>
  </si>
  <si>
    <t>dyne/cm</t>
  </si>
  <si>
    <t>lb/sec-ft2</t>
  </si>
  <si>
    <t>psi/100 ft</t>
  </si>
  <si>
    <t>gpm/psi^.5</t>
  </si>
  <si>
    <t>ft3</t>
  </si>
  <si>
    <t>°R</t>
  </si>
  <si>
    <t>scfh/psi</t>
  </si>
  <si>
    <t>lbmole/hr</t>
  </si>
  <si>
    <t>min</t>
  </si>
  <si>
    <t>Revision:</t>
  </si>
  <si>
    <t>kgf/cm2-g</t>
  </si>
  <si>
    <t>kgf/cm2-a</t>
  </si>
  <si>
    <t>kgf/cm2</t>
  </si>
  <si>
    <t>°C</t>
  </si>
  <si>
    <t>kg/hr</t>
  </si>
  <si>
    <t>m3/hr</t>
  </si>
  <si>
    <t>cm</t>
  </si>
  <si>
    <t>cm2</t>
  </si>
  <si>
    <t>m2</t>
  </si>
  <si>
    <t>g/cm3</t>
  </si>
  <si>
    <t>mPa-sec</t>
  </si>
  <si>
    <t>kJ/kg</t>
  </si>
  <si>
    <t>kcal/hr</t>
  </si>
  <si>
    <t>cm3/g</t>
  </si>
  <si>
    <t>kJ/kg-°C</t>
  </si>
  <si>
    <t>m/sec</t>
  </si>
  <si>
    <t>lb/sec-in2</t>
  </si>
  <si>
    <t>bar/100 m</t>
  </si>
  <si>
    <t>m3/h/bar^.5</t>
  </si>
  <si>
    <t>SG15.56Cinair</t>
  </si>
  <si>
    <t>cm3</t>
  </si>
  <si>
    <t>°K</t>
  </si>
  <si>
    <t>sm3/hr-bar</t>
  </si>
  <si>
    <t>kgmole/hr</t>
  </si>
  <si>
    <t>sec</t>
  </si>
  <si>
    <t>Revision Remarks:</t>
  </si>
  <si>
    <t>UNIT OF MEASUREMENT</t>
  </si>
  <si>
    <t>kPa-g</t>
  </si>
  <si>
    <t>kPa-a</t>
  </si>
  <si>
    <t>kPa</t>
  </si>
  <si>
    <t>mm2</t>
  </si>
  <si>
    <t>kg/m3</t>
  </si>
  <si>
    <t>Pa-sec</t>
  </si>
  <si>
    <t>cal/g</t>
  </si>
  <si>
    <t>kJ/hr</t>
  </si>
  <si>
    <t>m3/kg</t>
  </si>
  <si>
    <t>kcal/kg-°C</t>
  </si>
  <si>
    <t>cm/sec</t>
  </si>
  <si>
    <t>lb/hr-in2</t>
  </si>
  <si>
    <t>kPa/100 m</t>
  </si>
  <si>
    <t>m3/hr/kPa^0.5</t>
  </si>
  <si>
    <t>SG15.56CinVac</t>
  </si>
  <si>
    <t>sm3/h-kpa</t>
  </si>
  <si>
    <t>scf/hr</t>
  </si>
  <si>
    <t>hr</t>
  </si>
  <si>
    <t>Client:</t>
  </si>
  <si>
    <t>bar-g</t>
  </si>
  <si>
    <t>bar-a</t>
  </si>
  <si>
    <t>bar</t>
  </si>
  <si>
    <t>lb/ft-sec</t>
  </si>
  <si>
    <t>kcal/kg</t>
  </si>
  <si>
    <t>kW</t>
  </si>
  <si>
    <t>ft/min</t>
  </si>
  <si>
    <t>kg/hr-cm2</t>
  </si>
  <si>
    <t>kgf/cm2/100 m</t>
  </si>
  <si>
    <t>m3/hr/(kg-cm2)^.5</t>
  </si>
  <si>
    <t>SG4C</t>
  </si>
  <si>
    <t>nm3/h-bar</t>
  </si>
  <si>
    <t>sm3/hr</t>
  </si>
  <si>
    <t>Project Title:</t>
  </si>
  <si>
    <t>W</t>
  </si>
  <si>
    <t>kg/sec-cm2</t>
  </si>
  <si>
    <t>SI</t>
  </si>
  <si>
    <t>nm3/hr-kpa</t>
  </si>
  <si>
    <t>nm3/hr</t>
  </si>
  <si>
    <t>JE Project Number:</t>
  </si>
  <si>
    <t>kg/hr-mm2</t>
  </si>
  <si>
    <t>scf/d</t>
  </si>
  <si>
    <t>Client Project Number:</t>
  </si>
  <si>
    <t>g/sec-mm2</t>
  </si>
  <si>
    <t>not implemented</t>
  </si>
  <si>
    <t>sm3/d</t>
  </si>
  <si>
    <t>Prepared By:</t>
  </si>
  <si>
    <t>nm3/d</t>
  </si>
  <si>
    <t>Prepared Date:</t>
  </si>
  <si>
    <t>mm/dd/yy</t>
  </si>
  <si>
    <t>Checked By:</t>
  </si>
  <si>
    <t>Checked Date:</t>
  </si>
  <si>
    <t>Location:</t>
  </si>
  <si>
    <t xml:space="preserve">Fire Proof </t>
  </si>
  <si>
    <t>Unit:</t>
  </si>
  <si>
    <t>YES</t>
  </si>
  <si>
    <t>EQUIPMENT GENERAL DATA</t>
  </si>
  <si>
    <t>NO</t>
  </si>
  <si>
    <t>Service:</t>
  </si>
  <si>
    <t>P&amp;ID Number:</t>
  </si>
  <si>
    <t>Barometric Pressure:</t>
  </si>
  <si>
    <t>?</t>
  </si>
  <si>
    <t>Revision</t>
  </si>
  <si>
    <t>REVISION RECORD</t>
  </si>
  <si>
    <t>Date</t>
  </si>
  <si>
    <t>SHEET</t>
  </si>
  <si>
    <t>By</t>
  </si>
  <si>
    <t>Ext.</t>
  </si>
  <si>
    <t>1.0</t>
  </si>
  <si>
    <t>&lt;----</t>
  </si>
  <si>
    <t>to insert more rows, drag row down.  Do not insert row, else some formulas may not carry down.</t>
  </si>
  <si>
    <t>8/28</t>
  </si>
  <si>
    <t>Averages Streams</t>
  </si>
  <si>
    <t>N.Brown</t>
  </si>
  <si>
    <t>All</t>
  </si>
  <si>
    <t>Programmed sheet to automatically populate data upon user input of stream number.</t>
  </si>
  <si>
    <t>Began formatting of sheets to resemble other Process calc sheets.</t>
  </si>
  <si>
    <t>Depressurization/Settling Out Revision Record</t>
  </si>
  <si>
    <t xml:space="preserve"> Depressurization/Settling Out Calculation - Version 1.2014</t>
  </si>
  <si>
    <t xml:space="preserve">Page Number: </t>
  </si>
  <si>
    <t>By:</t>
  </si>
  <si>
    <t>Date:</t>
  </si>
  <si>
    <t>Approved / Checked:</t>
  </si>
  <si>
    <t>Vessel Name:</t>
  </si>
  <si>
    <t>Proj:</t>
  </si>
  <si>
    <t>Vessel Tag Number:</t>
  </si>
  <si>
    <t>Depressurization Calculation Spreadsheet</t>
  </si>
  <si>
    <t>HEAT AND MATERIAL BALANCE</t>
  </si>
  <si>
    <t xml:space="preserve">                                                                                        HEAT AND MATERIAL BALANCE</t>
  </si>
  <si>
    <t xml:space="preserve">                                                                                       HEAT AND MATERIAL BALANCE</t>
  </si>
  <si>
    <t xml:space="preserve">                                                                                            HEAT AND MATERIAL BALANCE</t>
  </si>
  <si>
    <t>SYSTEM SKETCH</t>
  </si>
  <si>
    <t>Depressurization Calculation</t>
  </si>
  <si>
    <t>FURNACE VOLUMES</t>
  </si>
  <si>
    <t>(CONVECTION+RADIATION)</t>
  </si>
  <si>
    <t>COLUMNS</t>
  </si>
  <si>
    <t>SKETCH</t>
  </si>
  <si>
    <t>TOTAL SHELL SIDE VOLUME</t>
  </si>
  <si>
    <t>(2) As stated in API 521, Fifth edition, Item 5.20.2.3, for heat exchangers in vaporizing service, 80% of the volume involved should be assumed to be vapour</t>
  </si>
  <si>
    <t>VESSELS VOLUMES</t>
  </si>
  <si>
    <t>PIPING VOLUMES</t>
  </si>
  <si>
    <r>
      <t>ft</t>
    </r>
    <r>
      <rPr>
        <vertAlign val="superscript"/>
        <sz val="10"/>
        <color theme="0"/>
        <rFont val="Arial"/>
        <family val="2"/>
      </rPr>
      <t>3</t>
    </r>
  </si>
  <si>
    <t>AVERAGE STREAMS</t>
  </si>
  <si>
    <r>
      <t>r</t>
    </r>
    <r>
      <rPr>
        <b/>
        <sz val="12"/>
        <color theme="0"/>
        <rFont val="Arial"/>
        <family val="2"/>
      </rPr>
      <t>o liquid</t>
    </r>
  </si>
  <si>
    <r>
      <t>r</t>
    </r>
    <r>
      <rPr>
        <b/>
        <sz val="12"/>
        <color theme="0"/>
        <rFont val="Arial"/>
        <family val="2"/>
      </rPr>
      <t>o gas</t>
    </r>
  </si>
  <si>
    <r>
      <t>lb/ft</t>
    </r>
    <r>
      <rPr>
        <vertAlign val="superscript"/>
        <sz val="12"/>
        <color theme="0"/>
        <rFont val="Arial"/>
        <family val="2"/>
      </rPr>
      <t>3</t>
    </r>
  </si>
  <si>
    <t>NOTES:</t>
  </si>
  <si>
    <t>(1) Enter the Stream Number in the "Inlet"  or "Outlet" row. If the Stream Number is in the HMB Table, the data will automatically populate, if not the other columns will be blank and you can manually enter the data. It is not case sensitive, but you must include hyphens, if any.</t>
  </si>
  <si>
    <t xml:space="preserve">Liquid </t>
  </si>
  <si>
    <t>9/8</t>
  </si>
  <si>
    <t>Settling Out</t>
  </si>
  <si>
    <t>Programmed sheet to populate data up user entry of stream number</t>
  </si>
  <si>
    <t>Method 1  (1)       
High Velocity</t>
  </si>
  <si>
    <t>ENG</t>
  </si>
  <si>
    <t>H-006</t>
  </si>
  <si>
    <t>H-007</t>
  </si>
  <si>
    <r>
      <t>TOTAL TUBES VOLUME ft</t>
    </r>
    <r>
      <rPr>
        <b/>
        <vertAlign val="superscript"/>
        <sz val="14"/>
        <rFont val="Arial"/>
        <family val="2"/>
      </rPr>
      <t>3</t>
    </r>
    <r>
      <rPr>
        <b/>
        <sz val="14"/>
        <rFont val="Arial"/>
        <family val="2"/>
      </rPr>
      <t xml:space="preserve"> (CONVECTION+RADIATION)</t>
    </r>
  </si>
  <si>
    <r>
      <t>TOTAL GAS TUBES ft</t>
    </r>
    <r>
      <rPr>
        <b/>
        <vertAlign val="superscript"/>
        <sz val="14"/>
        <rFont val="Arial"/>
        <family val="2"/>
      </rPr>
      <t xml:space="preserve">3 </t>
    </r>
    <r>
      <rPr>
        <b/>
        <sz val="14"/>
        <rFont val="Arial"/>
        <family val="2"/>
      </rPr>
      <t>VOLUME (CONVECTION+RADIATION)</t>
    </r>
  </si>
  <si>
    <t>METRIC UNITS</t>
  </si>
  <si>
    <t>ENGLISH UNITS</t>
  </si>
  <si>
    <t>CATALYST TUBE LENGTH ESTIMATION</t>
  </si>
  <si>
    <t>Catalyst</t>
  </si>
  <si>
    <t>---</t>
  </si>
  <si>
    <t>Avg. Z105-1 / Z105-3</t>
  </si>
  <si>
    <t>This workbook aims to assist in the calculation of settle out pressure for a compressor loop</t>
  </si>
  <si>
    <t>Avg. 223 / 219</t>
  </si>
  <si>
    <t>Avg. 219 / 201</t>
  </si>
  <si>
    <t>XX1</t>
  </si>
  <si>
    <t>Avg. 201 / XX1</t>
  </si>
  <si>
    <t>Avg. XX1 / 203</t>
  </si>
  <si>
    <t>XX2</t>
  </si>
  <si>
    <t>Avg. 203 / XX2</t>
  </si>
  <si>
    <t>Avg. XX2 / 203A</t>
  </si>
  <si>
    <t>Avg. 105 / 104</t>
  </si>
  <si>
    <t>Avg. E111-SI / E111-SO</t>
  </si>
  <si>
    <t>Avg. E113-TI / E113-TO</t>
  </si>
  <si>
    <t>Avg. Z221-1 / 223</t>
  </si>
  <si>
    <t>xx2</t>
  </si>
  <si>
    <t>Avg. 201 / xx2</t>
  </si>
  <si>
    <t>Avg. 203 / 104</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</si>
</sst>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3" formatCode="_(* #,##0.00_);_(* \(#,##0.00\);_(* &quot;-&quot;??_);_(@_)"/>
    <numFmt numFmtId="164" formatCode="0.0000"/>
    <numFmt numFmtId="165" formatCode="0.000"/>
    <numFmt numFmtId="166" formatCode="0.0"/>
    <numFmt numFmtId="167" formatCode="0.0E+00"/>
    <numFmt numFmtId="168" formatCode="0E+00"/>
    <numFmt numFmtId="169" formatCode="\ @"/>
    <numFmt numFmtId="170" formatCode="0.000%"/>
    <numFmt numFmtId="171" formatCode="General_)"/>
    <numFmt numFmtId="172" formatCode="#,##0.000\ \ &quot;MMBTUR/HR&quot;"/>
    <numFmt numFmtId="173" formatCode="#,##0.000"/>
    <numFmt numFmtId="174" formatCode="#\ "/>
    <numFmt numFmtId="175" formatCode="#%"/>
    <numFmt numFmtId="176" formatCode="@\ "/>
    <numFmt numFmtId="177" formatCode="mm/dd/yy"/>
    <numFmt numFmtId="178" formatCode="#,##0.0_);\(#,##0.0\)"/>
  </numFmts>
  <fonts count="99" x14ac:knownFonts="1">
    <font>
      <sz val="10"/>
      <name val="Arial"/>
    </font>
    <font>
      <sz val="11"/>
      <color indexed="8"/>
      <name val="Calibri"/>
      <family val="2"/>
    </font>
    <font>
      <sz val="9"/>
      <name val="Century Gothic"/>
      <family val="2"/>
    </font>
    <font>
      <sz val="11"/>
      <name val="Arial"/>
      <family val="2"/>
    </font>
    <font>
      <b/>
      <sz val="11"/>
      <name val="Arial"/>
      <family val="2"/>
    </font>
    <font>
      <sz val="11"/>
      <color indexed="12"/>
      <name val="Arial"/>
      <family val="2"/>
    </font>
    <font>
      <b/>
      <sz val="12"/>
      <name val="Arial"/>
      <family val="2"/>
    </font>
    <font>
      <sz val="9"/>
      <name val="Arial"/>
      <family val="2"/>
    </font>
    <font>
      <b/>
      <u/>
      <sz val="14"/>
      <name val="Arial"/>
      <family val="2"/>
    </font>
    <font>
      <sz val="11"/>
      <name val="Symbol"/>
      <family val="1"/>
      <charset val="2"/>
    </font>
    <font>
      <sz val="14"/>
      <name val="Symbol"/>
      <family val="1"/>
      <charset val="2"/>
    </font>
    <font>
      <b/>
      <u/>
      <sz val="11"/>
      <name val="Arial"/>
      <family val="2"/>
    </font>
    <font>
      <b/>
      <sz val="10"/>
      <name val="Arial"/>
      <family val="2"/>
    </font>
    <font>
      <sz val="8"/>
      <name val="Arial"/>
      <family val="2"/>
    </font>
    <font>
      <b/>
      <u/>
      <sz val="16"/>
      <name val="Arial"/>
      <family val="2"/>
    </font>
    <font>
      <sz val="12"/>
      <name val="Arial"/>
      <family val="2"/>
    </font>
    <font>
      <sz val="12"/>
      <color indexed="12"/>
      <name val="Arial"/>
      <family val="2"/>
    </font>
    <font>
      <b/>
      <sz val="12"/>
      <name val="Symbol"/>
      <family val="1"/>
      <charset val="2"/>
    </font>
    <font>
      <sz val="10"/>
      <name val="Arial"/>
      <family val="2"/>
    </font>
    <font>
      <u/>
      <sz val="14"/>
      <name val="Arial"/>
      <family val="2"/>
    </font>
    <font>
      <b/>
      <u/>
      <sz val="12"/>
      <name val="Arial"/>
      <family val="2"/>
    </font>
    <font>
      <sz val="8"/>
      <name val="Arial"/>
      <family val="2"/>
    </font>
    <font>
      <sz val="10"/>
      <color indexed="10"/>
      <name val="Arial"/>
      <family val="2"/>
    </font>
    <font>
      <sz val="11"/>
      <name val="Arial"/>
      <family val="2"/>
    </font>
    <font>
      <b/>
      <sz val="13"/>
      <name val="Arial"/>
      <family val="2"/>
    </font>
    <font>
      <b/>
      <sz val="14"/>
      <name val="Arial"/>
      <family val="2"/>
    </font>
    <font>
      <sz val="12"/>
      <name val="Arial"/>
      <family val="2"/>
    </font>
    <font>
      <vertAlign val="superscript"/>
      <sz val="12"/>
      <name val="Arial"/>
      <family val="2"/>
    </font>
    <font>
      <vertAlign val="superscript"/>
      <sz val="11"/>
      <name val="Arial"/>
      <family val="2"/>
    </font>
    <font>
      <b/>
      <vertAlign val="superscript"/>
      <sz val="11"/>
      <name val="Arial"/>
      <family val="2"/>
    </font>
    <font>
      <sz val="10"/>
      <name val="Arial"/>
      <family val="2"/>
    </font>
    <font>
      <sz val="11"/>
      <color indexed="9"/>
      <name val="Arial"/>
      <family val="2"/>
    </font>
    <font>
      <b/>
      <sz val="11"/>
      <color indexed="12"/>
      <name val="Arial"/>
      <family val="2"/>
    </font>
    <font>
      <b/>
      <sz val="16"/>
      <name val="Arial"/>
      <family val="2"/>
    </font>
    <font>
      <sz val="14"/>
      <name val="Arial"/>
      <family val="2"/>
    </font>
    <font>
      <sz val="16"/>
      <name val="Arial"/>
      <family val="2"/>
    </font>
    <font>
      <b/>
      <sz val="14"/>
      <name val="Symbol"/>
      <family val="1"/>
      <charset val="2"/>
    </font>
    <font>
      <sz val="14"/>
      <name val="Arial"/>
      <family val="2"/>
    </font>
    <font>
      <sz val="14"/>
      <color indexed="12"/>
      <name val="Arial"/>
      <family val="2"/>
    </font>
    <font>
      <b/>
      <sz val="14"/>
      <color indexed="12"/>
      <name val="Arial"/>
      <family val="2"/>
    </font>
    <font>
      <sz val="11"/>
      <color indexed="8"/>
      <name val="Calibri"/>
      <family val="2"/>
    </font>
    <font>
      <sz val="11"/>
      <color indexed="60"/>
      <name val="Calibri"/>
      <family val="2"/>
    </font>
    <font>
      <b/>
      <sz val="11"/>
      <color indexed="8"/>
      <name val="Calibri"/>
      <family val="2"/>
    </font>
    <font>
      <sz val="10"/>
      <color indexed="12"/>
      <name val="Arial"/>
      <family val="2"/>
    </font>
    <font>
      <b/>
      <sz val="11"/>
      <color indexed="12"/>
      <name val="Arial"/>
      <family val="2"/>
    </font>
    <font>
      <sz val="11"/>
      <color indexed="12"/>
      <name val="Arial"/>
      <family val="2"/>
    </font>
    <font>
      <b/>
      <sz val="14"/>
      <color indexed="8"/>
      <name val="Calibri"/>
      <family val="2"/>
    </font>
    <font>
      <sz val="10"/>
      <color indexed="8"/>
      <name val="Calibri"/>
      <family val="2"/>
    </font>
    <font>
      <sz val="8.5"/>
      <name val="Arial"/>
      <family val="2"/>
    </font>
    <font>
      <sz val="10"/>
      <name val="Arial"/>
      <family val="2"/>
    </font>
    <font>
      <sz val="11"/>
      <color indexed="10"/>
      <name val="Arial"/>
      <family val="2"/>
    </font>
    <font>
      <sz val="8"/>
      <name val="Arial"/>
      <family val="2"/>
    </font>
    <font>
      <sz val="8"/>
      <name val="Calibri"/>
      <family val="2"/>
    </font>
    <font>
      <b/>
      <sz val="8"/>
      <name val="Arial"/>
      <family val="2"/>
    </font>
    <font>
      <b/>
      <sz val="8"/>
      <name val="Arial Narrow"/>
      <family val="2"/>
    </font>
    <font>
      <b/>
      <u/>
      <sz val="10"/>
      <name val="Arial Narrow"/>
      <family val="2"/>
    </font>
    <font>
      <sz val="10"/>
      <name val="Arial Narrow"/>
      <family val="2"/>
    </font>
    <font>
      <sz val="9"/>
      <color indexed="8"/>
      <name val="Arial Narrow"/>
      <family val="2"/>
    </font>
    <font>
      <b/>
      <sz val="10"/>
      <name val="Arial Narrow"/>
      <family val="2"/>
    </font>
    <font>
      <b/>
      <u/>
      <sz val="10"/>
      <color indexed="8"/>
      <name val="Arial Narrow"/>
      <family val="2"/>
    </font>
    <font>
      <sz val="9"/>
      <color indexed="8"/>
      <name val="Calibri"/>
      <family val="2"/>
    </font>
    <font>
      <sz val="8"/>
      <name val="Arial Narrow"/>
      <family val="2"/>
    </font>
    <font>
      <sz val="10"/>
      <name val="Times New Roman"/>
      <family val="1"/>
    </font>
    <font>
      <sz val="12"/>
      <name val="Calibri"/>
      <family val="2"/>
    </font>
    <font>
      <b/>
      <vertAlign val="superscript"/>
      <sz val="14"/>
      <name val="Arial"/>
      <family val="2"/>
    </font>
    <font>
      <sz val="11"/>
      <color indexed="8"/>
      <name val="Arial"/>
      <family val="2"/>
    </font>
    <font>
      <b/>
      <i/>
      <u/>
      <sz val="14"/>
      <name val="Arial"/>
      <family val="2"/>
    </font>
    <font>
      <b/>
      <i/>
      <sz val="14"/>
      <name val="Arial"/>
      <family val="2"/>
    </font>
    <font>
      <b/>
      <sz val="12"/>
      <color indexed="10"/>
      <name val="Arial"/>
      <family val="2"/>
    </font>
    <font>
      <sz val="7"/>
      <name val="Arial"/>
      <family val="2"/>
    </font>
    <font>
      <b/>
      <sz val="10"/>
      <color indexed="18"/>
      <name val="Arial"/>
      <family val="2"/>
    </font>
    <font>
      <b/>
      <sz val="10"/>
      <color indexed="9"/>
      <name val="Arial"/>
      <family val="2"/>
    </font>
    <font>
      <b/>
      <sz val="10"/>
      <color indexed="8"/>
      <name val="Arial"/>
      <family val="2"/>
    </font>
    <font>
      <sz val="10"/>
      <color indexed="18"/>
      <name val="Arial"/>
      <family val="2"/>
    </font>
    <font>
      <sz val="10"/>
      <color indexed="8"/>
      <name val="Arial"/>
      <family val="2"/>
    </font>
    <font>
      <b/>
      <sz val="8"/>
      <color indexed="12"/>
      <name val="Arial"/>
      <family val="2"/>
    </font>
    <font>
      <sz val="8"/>
      <color indexed="10"/>
      <name val="Arial"/>
      <family val="2"/>
    </font>
    <font>
      <b/>
      <sz val="8"/>
      <color indexed="81"/>
      <name val="Tahoma"/>
      <family val="2"/>
    </font>
    <font>
      <sz val="8"/>
      <color indexed="81"/>
      <name val="Tahoma"/>
      <family val="2"/>
    </font>
    <font>
      <sz val="6"/>
      <name val="Times New Roman"/>
      <family val="1"/>
    </font>
    <font>
      <sz val="10"/>
      <name val="Tms Rmn"/>
    </font>
    <font>
      <sz val="10"/>
      <name val="Arial"/>
    </font>
    <font>
      <b/>
      <sz val="11"/>
      <color theme="0"/>
      <name val="Calibri"/>
      <family val="2"/>
    </font>
    <font>
      <sz val="10"/>
      <color theme="0"/>
      <name val="Arial"/>
      <family val="2"/>
    </font>
    <font>
      <b/>
      <sz val="10"/>
      <color rgb="FF000080"/>
      <name val="Arial"/>
      <family val="2"/>
    </font>
    <font>
      <sz val="8"/>
      <name val="Helv"/>
    </font>
    <font>
      <sz val="7"/>
      <color indexed="8"/>
      <name val="Times New Roman"/>
      <family val="1"/>
    </font>
    <font>
      <sz val="9"/>
      <color indexed="12"/>
      <name val="Arial"/>
      <family val="2"/>
    </font>
    <font>
      <b/>
      <sz val="12"/>
      <color theme="0"/>
      <name val="Arial"/>
      <family val="2"/>
    </font>
    <font>
      <b/>
      <sz val="11"/>
      <color theme="0"/>
      <name val="Arial"/>
      <family val="2"/>
    </font>
    <font>
      <b/>
      <u/>
      <sz val="14"/>
      <color theme="0"/>
      <name val="Arial"/>
      <family val="2"/>
    </font>
    <font>
      <b/>
      <u/>
      <sz val="12"/>
      <color theme="0"/>
      <name val="Arial"/>
      <family val="2"/>
    </font>
    <font>
      <b/>
      <u/>
      <sz val="10"/>
      <color theme="0"/>
      <name val="Arial"/>
      <family val="2"/>
    </font>
    <font>
      <vertAlign val="superscript"/>
      <sz val="10"/>
      <color theme="0"/>
      <name val="Arial"/>
      <family val="2"/>
    </font>
    <font>
      <b/>
      <sz val="12"/>
      <color theme="0"/>
      <name val="Symbol"/>
      <family val="1"/>
      <charset val="2"/>
    </font>
    <font>
      <sz val="12"/>
      <color theme="0"/>
      <name val="Arial"/>
      <family val="2"/>
    </font>
    <font>
      <vertAlign val="superscript"/>
      <sz val="12"/>
      <color theme="0"/>
      <name val="Arial"/>
      <family val="2"/>
    </font>
    <font>
      <sz val="11"/>
      <color theme="0"/>
      <name val="Arial"/>
      <family val="2"/>
    </font>
    <font>
      <sz val="11"/>
      <color theme="1"/>
      <name val="Arial"/>
      <family val="2"/>
    </font>
  </fonts>
  <fills count="15">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44"/>
        <bgColor indexed="64"/>
      </patternFill>
    </fill>
    <fill>
      <patternFill patternType="solid">
        <fgColor indexed="26"/>
        <bgColor indexed="64"/>
      </patternFill>
    </fill>
    <fill>
      <patternFill patternType="solid">
        <fgColor indexed="51"/>
        <bgColor indexed="64"/>
      </patternFill>
    </fill>
    <fill>
      <patternFill patternType="solid">
        <fgColor indexed="9"/>
        <bgColor indexed="64"/>
      </patternFill>
    </fill>
    <fill>
      <patternFill patternType="solid">
        <fgColor rgb="FFCCFFFF"/>
        <bgColor indexed="64"/>
      </patternFill>
    </fill>
    <fill>
      <patternFill patternType="solid">
        <fgColor rgb="FFFFFF00"/>
        <bgColor indexed="64"/>
      </patternFill>
    </fill>
    <fill>
      <patternFill patternType="solid">
        <fgColor theme="2"/>
        <bgColor indexed="64"/>
      </patternFill>
    </fill>
    <fill>
      <patternFill patternType="solid">
        <fgColor indexed="18"/>
        <bgColor indexed="64"/>
      </patternFill>
    </fill>
    <fill>
      <patternFill patternType="solid">
        <fgColor theme="0"/>
        <bgColor indexed="64"/>
      </patternFill>
    </fill>
    <fill>
      <patternFill patternType="solid">
        <fgColor rgb="FF000080"/>
        <bgColor indexed="64"/>
      </patternFill>
    </fill>
    <fill>
      <patternFill patternType="solid">
        <fgColor rgb="FFCCFFFF"/>
        <bgColor rgb="FF000000"/>
      </patternFill>
    </fill>
  </fills>
  <borders count="122">
    <border>
      <left/>
      <right/>
      <top/>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8"/>
      </bottom>
      <diagonal/>
    </border>
    <border>
      <left/>
      <right/>
      <top style="double">
        <color indexed="64"/>
      </top>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8"/>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8"/>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right style="thin">
        <color indexed="64"/>
      </right>
      <top/>
      <bottom style="thin">
        <color indexed="8"/>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diagonal/>
    </border>
    <border>
      <left/>
      <right style="medium">
        <color indexed="64"/>
      </right>
      <top/>
      <bottom/>
      <diagonal/>
    </border>
    <border>
      <left/>
      <right style="thin">
        <color indexed="64"/>
      </right>
      <top style="double">
        <color indexed="64"/>
      </top>
      <bottom/>
      <diagonal/>
    </border>
    <border>
      <left style="thin">
        <color indexed="9"/>
      </left>
      <right style="thin">
        <color indexed="9"/>
      </right>
      <top style="thin">
        <color indexed="64"/>
      </top>
      <bottom style="thin">
        <color indexed="64"/>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hair">
        <color indexed="64"/>
      </top>
      <bottom/>
      <diagonal/>
    </border>
    <border>
      <left style="thin">
        <color indexed="64"/>
      </left>
      <right style="thin">
        <color indexed="64"/>
      </right>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0"/>
      </top>
      <bottom/>
      <diagonal/>
    </border>
    <border>
      <left style="thin">
        <color indexed="64"/>
      </left>
      <right style="thin">
        <color indexed="64"/>
      </right>
      <top style="thin">
        <color indexed="0"/>
      </top>
      <bottom/>
      <diagonal/>
    </border>
    <border>
      <left style="thin">
        <color indexed="64"/>
      </left>
      <right style="medium">
        <color indexed="64"/>
      </right>
      <top style="thin">
        <color indexed="0"/>
      </top>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thin">
        <color indexed="64"/>
      </right>
      <top style="thin">
        <color indexed="64"/>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hair">
        <color indexed="64"/>
      </bottom>
      <diagonal/>
    </border>
    <border>
      <left/>
      <right style="medium">
        <color indexed="64"/>
      </right>
      <top/>
      <bottom style="hair">
        <color indexed="64"/>
      </bottom>
      <diagonal/>
    </border>
    <border>
      <left style="thin">
        <color indexed="64"/>
      </left>
      <right style="medium">
        <color indexed="64"/>
      </right>
      <top style="hair">
        <color indexed="64"/>
      </top>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thin">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9"/>
      </left>
      <right style="medium">
        <color indexed="64"/>
      </right>
      <top style="thin">
        <color indexed="64"/>
      </top>
      <bottom style="thin">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thin">
        <color indexed="64"/>
      </top>
      <bottom style="hair">
        <color auto="1"/>
      </bottom>
      <diagonal/>
    </border>
    <border>
      <left style="medium">
        <color indexed="64"/>
      </left>
      <right/>
      <top style="hair">
        <color auto="1"/>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auto="1"/>
      </top>
      <bottom/>
      <diagonal/>
    </border>
    <border>
      <left/>
      <right style="medium">
        <color indexed="64"/>
      </right>
      <top style="hair">
        <color indexed="64"/>
      </top>
      <bottom/>
      <diagonal/>
    </border>
    <border>
      <left style="thin">
        <color indexed="64"/>
      </left>
      <right/>
      <top style="medium">
        <color indexed="64"/>
      </top>
      <bottom style="hair">
        <color auto="1"/>
      </bottom>
      <diagonal/>
    </border>
    <border>
      <left/>
      <right style="medium">
        <color indexed="64"/>
      </right>
      <top style="thin">
        <color indexed="64"/>
      </top>
      <bottom/>
      <diagonal/>
    </border>
    <border>
      <left style="medium">
        <color indexed="64"/>
      </left>
      <right style="thin">
        <color indexed="64"/>
      </right>
      <top style="hair">
        <color indexed="64"/>
      </top>
      <bottom style="thin">
        <color indexed="64"/>
      </bottom>
      <diagonal/>
    </border>
    <border>
      <left style="medium">
        <color indexed="64"/>
      </left>
      <right/>
      <top style="double">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right style="thin">
        <color indexed="64"/>
      </right>
      <top style="hair">
        <color indexed="64"/>
      </top>
      <bottom/>
      <diagonal/>
    </border>
  </borders>
  <cellStyleXfs count="16">
    <xf numFmtId="0" fontId="0" fillId="0" borderId="0"/>
    <xf numFmtId="0" fontId="41" fillId="2" borderId="0" applyNumberFormat="0" applyBorder="0" applyAlignment="0" applyProtection="0"/>
    <xf numFmtId="0" fontId="1" fillId="0" borderId="0"/>
    <xf numFmtId="171" fontId="48" fillId="0" borderId="0"/>
    <xf numFmtId="9" fontId="2" fillId="0" borderId="0" applyFont="0" applyFill="0" applyBorder="0" applyAlignment="0" applyProtection="0"/>
    <xf numFmtId="0" fontId="42" fillId="0" borderId="1" applyNumberFormat="0" applyFill="0" applyAlignment="0" applyProtection="0"/>
    <xf numFmtId="171" fontId="13" fillId="0" borderId="0"/>
    <xf numFmtId="9" fontId="18" fillId="0" borderId="0" applyFont="0" applyFill="0" applyBorder="0" applyAlignment="0" applyProtection="0"/>
    <xf numFmtId="171" fontId="13" fillId="0" borderId="0"/>
    <xf numFmtId="0" fontId="18" fillId="0" borderId="0"/>
    <xf numFmtId="171" fontId="80" fillId="0" borderId="0"/>
    <xf numFmtId="43" fontId="81" fillId="0" borderId="0" applyFont="0" applyFill="0" applyBorder="0" applyAlignment="0" applyProtection="0"/>
    <xf numFmtId="171" fontId="48" fillId="0" borderId="0"/>
    <xf numFmtId="178" fontId="85" fillId="0" borderId="0"/>
    <xf numFmtId="0" fontId="18" fillId="0" borderId="0"/>
    <xf numFmtId="0" fontId="18" fillId="0" borderId="0"/>
  </cellStyleXfs>
  <cellXfs count="1310">
    <xf numFmtId="0" fontId="0" fillId="0" borderId="0" xfId="0"/>
    <xf numFmtId="0" fontId="0" fillId="0" borderId="0" xfId="0" applyBorder="1"/>
    <xf numFmtId="0" fontId="7" fillId="0" borderId="0" xfId="0" applyFont="1" applyAlignment="1">
      <alignment horizontal="left" vertical="center"/>
    </xf>
    <xf numFmtId="0" fontId="8" fillId="0" borderId="0" xfId="0" applyFont="1" applyAlignment="1">
      <alignment horizontal="center" vertical="center"/>
    </xf>
    <xf numFmtId="0" fontId="6" fillId="0" borderId="6" xfId="0" applyFont="1" applyBorder="1" applyAlignment="1" applyProtection="1">
      <alignment horizontal="center" vertical="center"/>
    </xf>
    <xf numFmtId="0" fontId="0" fillId="0" borderId="0" xfId="0" applyAlignment="1">
      <alignment horizontal="center" vertical="center"/>
    </xf>
    <xf numFmtId="0" fontId="14" fillId="0" borderId="0" xfId="0" applyFont="1" applyAlignment="1">
      <alignment horizontal="center" vertical="center"/>
    </xf>
    <xf numFmtId="1" fontId="15" fillId="0" borderId="4" xfId="0" applyNumberFormat="1" applyFont="1" applyBorder="1" applyAlignment="1" applyProtection="1">
      <alignment horizontal="center" vertical="center"/>
    </xf>
    <xf numFmtId="0" fontId="16" fillId="0" borderId="4" xfId="0" applyFont="1" applyBorder="1" applyAlignment="1" applyProtection="1">
      <alignment horizontal="center" vertical="center"/>
    </xf>
    <xf numFmtId="166" fontId="16" fillId="0" borderId="4" xfId="0" applyNumberFormat="1" applyFont="1" applyBorder="1" applyAlignment="1" applyProtection="1">
      <alignment horizontal="center" vertical="center"/>
    </xf>
    <xf numFmtId="166" fontId="15" fillId="0" borderId="8" xfId="0" applyNumberFormat="1" applyFont="1" applyBorder="1" applyAlignment="1" applyProtection="1">
      <alignment horizontal="center" vertical="center"/>
    </xf>
    <xf numFmtId="16" fontId="6" fillId="0" borderId="9" xfId="0" applyNumberFormat="1" applyFont="1" applyFill="1" applyBorder="1" applyAlignment="1" applyProtection="1">
      <alignment horizontal="center" vertical="center" wrapText="1"/>
    </xf>
    <xf numFmtId="1" fontId="6" fillId="0" borderId="9" xfId="0" applyNumberFormat="1" applyFont="1" applyFill="1" applyBorder="1" applyAlignment="1" applyProtection="1">
      <alignment horizontal="center" vertical="center" wrapText="1"/>
    </xf>
    <xf numFmtId="16" fontId="17" fillId="0" borderId="9" xfId="0" applyNumberFormat="1" applyFont="1" applyFill="1" applyBorder="1" applyAlignment="1" applyProtection="1">
      <alignment horizontal="center" vertical="center" wrapText="1"/>
    </xf>
    <xf numFmtId="16" fontId="6" fillId="0" borderId="10" xfId="0" applyNumberFormat="1" applyFont="1" applyFill="1" applyBorder="1" applyAlignment="1" applyProtection="1">
      <alignment horizontal="center" vertical="center" wrapText="1"/>
    </xf>
    <xf numFmtId="16" fontId="6" fillId="0" borderId="6" xfId="0" applyNumberFormat="1" applyFont="1" applyFill="1" applyBorder="1" applyAlignment="1" applyProtection="1">
      <alignment horizontal="center" vertical="center" wrapText="1"/>
    </xf>
    <xf numFmtId="0" fontId="15" fillId="0" borderId="0" xfId="0" applyFont="1" applyAlignment="1">
      <alignment horizontal="left" vertical="center"/>
    </xf>
    <xf numFmtId="0" fontId="15" fillId="0" borderId="0" xfId="0" applyFont="1" applyAlignment="1">
      <alignment vertical="center"/>
    </xf>
    <xf numFmtId="1" fontId="15" fillId="0" borderId="13" xfId="0" applyNumberFormat="1" applyFont="1" applyBorder="1" applyAlignment="1" applyProtection="1">
      <alignment horizontal="center" vertical="center"/>
    </xf>
    <xf numFmtId="166" fontId="15" fillId="0" borderId="12" xfId="0" applyNumberFormat="1" applyFont="1" applyBorder="1" applyAlignment="1" applyProtection="1">
      <alignment horizontal="center" vertical="center"/>
    </xf>
    <xf numFmtId="165" fontId="16" fillId="0" borderId="4" xfId="0" applyNumberFormat="1" applyFont="1" applyBorder="1" applyAlignment="1" applyProtection="1">
      <alignment horizontal="center" vertical="center"/>
    </xf>
    <xf numFmtId="166" fontId="16" fillId="0" borderId="13" xfId="0" applyNumberFormat="1" applyFont="1" applyBorder="1" applyAlignment="1" applyProtection="1">
      <alignment horizontal="center" vertical="center"/>
    </xf>
    <xf numFmtId="166" fontId="15" fillId="0" borderId="13" xfId="0" applyNumberFormat="1" applyFont="1" applyBorder="1" applyAlignment="1" applyProtection="1">
      <alignment horizontal="center" vertical="center"/>
    </xf>
    <xf numFmtId="165" fontId="16" fillId="0" borderId="13" xfId="0" applyNumberFormat="1" applyFont="1" applyBorder="1" applyAlignment="1" applyProtection="1">
      <alignment horizontal="center" vertical="center"/>
    </xf>
    <xf numFmtId="1" fontId="15" fillId="0" borderId="22" xfId="0" applyNumberFormat="1" applyFont="1" applyBorder="1" applyAlignment="1" applyProtection="1">
      <alignment horizontal="center" vertical="center"/>
    </xf>
    <xf numFmtId="0" fontId="19" fillId="0" borderId="0" xfId="0" applyFont="1" applyAlignment="1">
      <alignment horizontal="center" vertical="center"/>
    </xf>
    <xf numFmtId="0" fontId="0" fillId="0" borderId="0" xfId="0" applyAlignment="1">
      <alignment vertical="center"/>
    </xf>
    <xf numFmtId="1" fontId="15" fillId="0" borderId="23" xfId="0" applyNumberFormat="1" applyFont="1" applyBorder="1" applyAlignment="1">
      <alignment horizontal="center" vertical="center"/>
    </xf>
    <xf numFmtId="0" fontId="3" fillId="0" borderId="14" xfId="0" applyFont="1" applyBorder="1" applyAlignment="1" applyProtection="1">
      <alignment horizontal="center" vertical="center"/>
    </xf>
    <xf numFmtId="0" fontId="0" fillId="0" borderId="0" xfId="0" applyFill="1"/>
    <xf numFmtId="0" fontId="0" fillId="0" borderId="0" xfId="0" applyProtection="1">
      <protection locked="0"/>
    </xf>
    <xf numFmtId="0" fontId="12" fillId="0" borderId="0" xfId="0" applyFont="1"/>
    <xf numFmtId="165" fontId="0" fillId="0" borderId="0" xfId="0" applyNumberFormat="1"/>
    <xf numFmtId="0" fontId="12" fillId="0" borderId="0" xfId="0" applyFont="1" applyAlignment="1">
      <alignment horizontal="center"/>
    </xf>
    <xf numFmtId="0" fontId="0" fillId="0" borderId="0" xfId="0" applyAlignment="1" applyProtection="1">
      <alignment horizontal="right"/>
      <protection locked="0"/>
    </xf>
    <xf numFmtId="0" fontId="0" fillId="0" borderId="0" xfId="0" applyAlignment="1">
      <alignment horizontal="right"/>
    </xf>
    <xf numFmtId="0" fontId="18" fillId="0" borderId="0" xfId="0" applyFont="1" applyAlignment="1">
      <alignment horizontal="right"/>
    </xf>
    <xf numFmtId="0" fontId="12" fillId="0" borderId="0" xfId="0" applyFont="1" applyAlignment="1">
      <alignment horizontal="right"/>
    </xf>
    <xf numFmtId="2" fontId="0" fillId="0" borderId="0" xfId="0" applyNumberFormat="1"/>
    <xf numFmtId="166" fontId="18" fillId="0" borderId="0" xfId="0" applyNumberFormat="1" applyFont="1"/>
    <xf numFmtId="166" fontId="0" fillId="0" borderId="0" xfId="0" applyNumberFormat="1"/>
    <xf numFmtId="167" fontId="0" fillId="0" borderId="0" xfId="0" applyNumberFormat="1"/>
    <xf numFmtId="168" fontId="0" fillId="0" borderId="0" xfId="0" applyNumberFormat="1"/>
    <xf numFmtId="0" fontId="0" fillId="0" borderId="0" xfId="0" applyNumberFormat="1"/>
    <xf numFmtId="165" fontId="0" fillId="3" borderId="0" xfId="0" applyNumberFormat="1" applyFill="1"/>
    <xf numFmtId="166" fontId="3" fillId="0" borderId="4" xfId="0" applyNumberFormat="1" applyFont="1" applyFill="1" applyBorder="1" applyAlignment="1" applyProtection="1">
      <alignment horizontal="center" vertical="center"/>
    </xf>
    <xf numFmtId="166" fontId="4" fillId="0" borderId="4" xfId="0" applyNumberFormat="1" applyFont="1" applyFill="1" applyBorder="1" applyAlignment="1" applyProtection="1">
      <alignment horizontal="center" vertical="center"/>
    </xf>
    <xf numFmtId="2" fontId="3" fillId="0" borderId="4" xfId="0" applyNumberFormat="1" applyFont="1" applyFill="1" applyBorder="1" applyAlignment="1" applyProtection="1">
      <alignment horizontal="center" vertical="center"/>
    </xf>
    <xf numFmtId="0" fontId="22" fillId="0" borderId="0" xfId="0" applyFont="1"/>
    <xf numFmtId="0" fontId="18" fillId="0" borderId="0" xfId="0" applyFont="1"/>
    <xf numFmtId="0" fontId="6" fillId="0" borderId="0" xfId="0" applyFont="1"/>
    <xf numFmtId="0" fontId="0" fillId="0" borderId="0" xfId="0" applyFill="1" applyBorder="1"/>
    <xf numFmtId="0" fontId="25" fillId="0" borderId="0" xfId="0" applyFont="1" applyFill="1" applyBorder="1" applyAlignment="1">
      <alignment horizontal="center"/>
    </xf>
    <xf numFmtId="0" fontId="15" fillId="0" borderId="0" xfId="0" applyFont="1" applyFill="1"/>
    <xf numFmtId="1" fontId="15" fillId="0" borderId="23" xfId="0" applyNumberFormat="1" applyFont="1" applyFill="1" applyBorder="1" applyAlignment="1">
      <alignment horizontal="center" vertical="center"/>
    </xf>
    <xf numFmtId="0" fontId="30" fillId="0" borderId="0" xfId="0" applyFont="1"/>
    <xf numFmtId="166" fontId="15" fillId="0" borderId="4" xfId="0" applyNumberFormat="1" applyFont="1" applyFill="1" applyBorder="1" applyAlignment="1" applyProtection="1">
      <alignment horizontal="center" vertical="center"/>
    </xf>
    <xf numFmtId="166" fontId="15" fillId="0" borderId="13" xfId="0" applyNumberFormat="1" applyFont="1" applyFill="1" applyBorder="1" applyAlignment="1" applyProtection="1">
      <alignment horizontal="center" vertical="center"/>
    </xf>
    <xf numFmtId="0" fontId="15" fillId="0" borderId="35" xfId="0" applyFont="1" applyFill="1" applyBorder="1"/>
    <xf numFmtId="0" fontId="15" fillId="4" borderId="35" xfId="0" applyFont="1" applyFill="1" applyBorder="1"/>
    <xf numFmtId="0" fontId="15" fillId="0" borderId="35" xfId="0" applyFont="1" applyFill="1" applyBorder="1" applyAlignment="1">
      <alignment wrapText="1"/>
    </xf>
    <xf numFmtId="0" fontId="15" fillId="0" borderId="8" xfId="0" applyFont="1" applyFill="1" applyBorder="1" applyAlignment="1" applyProtection="1">
      <alignment vertical="center"/>
    </xf>
    <xf numFmtId="0" fontId="15" fillId="0" borderId="35" xfId="0" applyFont="1" applyFill="1" applyBorder="1" applyAlignment="1" applyProtection="1">
      <alignment vertical="center"/>
    </xf>
    <xf numFmtId="0" fontId="15" fillId="4" borderId="35" xfId="0" applyFont="1" applyFill="1" applyBorder="1" applyAlignment="1" applyProtection="1">
      <alignment vertical="center"/>
    </xf>
    <xf numFmtId="16" fontId="6" fillId="0" borderId="36" xfId="0" applyNumberFormat="1" applyFont="1" applyFill="1" applyBorder="1" applyAlignment="1" applyProtection="1">
      <alignment horizontal="center" vertical="center" wrapText="1"/>
    </xf>
    <xf numFmtId="0" fontId="6" fillId="0" borderId="20" xfId="0" applyFont="1" applyBorder="1" applyAlignment="1" applyProtection="1">
      <alignment horizontal="center" vertical="center"/>
    </xf>
    <xf numFmtId="0" fontId="20" fillId="0" borderId="0" xfId="0" applyFont="1" applyFill="1" applyAlignment="1">
      <alignment horizontal="right" vertical="center"/>
    </xf>
    <xf numFmtId="0" fontId="15" fillId="0" borderId="37" xfId="0" applyFont="1" applyFill="1" applyBorder="1"/>
    <xf numFmtId="0" fontId="15" fillId="0" borderId="38" xfId="0" applyFont="1" applyFill="1" applyBorder="1" applyAlignment="1" applyProtection="1">
      <alignment vertical="center"/>
    </xf>
    <xf numFmtId="0" fontId="15" fillId="0" borderId="30" xfId="0" applyFont="1" applyFill="1" applyBorder="1" applyAlignment="1" applyProtection="1">
      <alignment vertical="center"/>
    </xf>
    <xf numFmtId="0" fontId="16" fillId="0" borderId="13" xfId="0" applyFont="1" applyBorder="1" applyAlignment="1" applyProtection="1">
      <alignment horizontal="center" vertical="center"/>
    </xf>
    <xf numFmtId="166" fontId="16" fillId="0" borderId="4" xfId="0" applyNumberFormat="1" applyFont="1" applyFill="1" applyBorder="1" applyAlignment="1" applyProtection="1">
      <alignment horizontal="center" vertical="center"/>
    </xf>
    <xf numFmtId="166" fontId="16" fillId="0" borderId="31" xfId="0" applyNumberFormat="1" applyFont="1" applyFill="1" applyBorder="1" applyAlignment="1" applyProtection="1">
      <alignment horizontal="center" vertical="center"/>
    </xf>
    <xf numFmtId="0" fontId="25" fillId="0" borderId="0" xfId="0" applyNumberFormat="1" applyFont="1" applyFill="1" applyBorder="1"/>
    <xf numFmtId="0" fontId="25" fillId="0" borderId="0" xfId="0" applyFont="1" applyFill="1" applyBorder="1"/>
    <xf numFmtId="166" fontId="33" fillId="0" borderId="0" xfId="0" applyNumberFormat="1" applyFont="1" applyFill="1" applyBorder="1" applyAlignment="1">
      <alignment horizontal="center"/>
    </xf>
    <xf numFmtId="0" fontId="15" fillId="0" borderId="0" xfId="0" applyNumberFormat="1" applyFont="1" applyFill="1" applyBorder="1" applyAlignment="1">
      <alignment vertical="center"/>
    </xf>
    <xf numFmtId="166" fontId="16" fillId="0" borderId="13" xfId="0" applyNumberFormat="1" applyFont="1" applyFill="1" applyBorder="1" applyAlignment="1" applyProtection="1">
      <alignment horizontal="center" vertical="center"/>
    </xf>
    <xf numFmtId="0" fontId="15" fillId="0" borderId="39" xfId="0" applyFont="1" applyFill="1" applyBorder="1" applyAlignment="1" applyProtection="1">
      <alignment vertical="center"/>
    </xf>
    <xf numFmtId="166" fontId="16" fillId="0" borderId="31" xfId="0" applyNumberFormat="1" applyFont="1" applyBorder="1" applyAlignment="1" applyProtection="1">
      <alignment horizontal="center" vertical="center"/>
    </xf>
    <xf numFmtId="166" fontId="15" fillId="0" borderId="31" xfId="0" applyNumberFormat="1" applyFont="1" applyBorder="1" applyAlignment="1" applyProtection="1">
      <alignment horizontal="center" vertical="center"/>
    </xf>
    <xf numFmtId="166" fontId="15" fillId="0" borderId="31" xfId="0" applyNumberFormat="1" applyFont="1" applyFill="1" applyBorder="1" applyAlignment="1" applyProtection="1">
      <alignment horizontal="center" vertical="center"/>
    </xf>
    <xf numFmtId="1" fontId="15" fillId="0" borderId="31" xfId="0" applyNumberFormat="1" applyFont="1" applyBorder="1" applyAlignment="1" applyProtection="1">
      <alignment horizontal="center" vertical="center"/>
    </xf>
    <xf numFmtId="1" fontId="15" fillId="0" borderId="40" xfId="0" applyNumberFormat="1" applyFont="1" applyBorder="1" applyAlignment="1" applyProtection="1">
      <alignment horizontal="center" vertical="center"/>
    </xf>
    <xf numFmtId="166" fontId="15" fillId="0" borderId="30" xfId="0" applyNumberFormat="1" applyFont="1" applyBorder="1" applyAlignment="1" applyProtection="1">
      <alignment horizontal="center" vertical="center"/>
    </xf>
    <xf numFmtId="0" fontId="6" fillId="0" borderId="41" xfId="0" applyFont="1" applyBorder="1" applyAlignment="1" applyProtection="1">
      <alignment horizontal="center" vertical="center"/>
    </xf>
    <xf numFmtId="16" fontId="15" fillId="0" borderId="42" xfId="0" applyNumberFormat="1" applyFont="1" applyFill="1" applyBorder="1" applyAlignment="1" applyProtection="1">
      <alignment horizontal="center" vertical="center" wrapText="1"/>
    </xf>
    <xf numFmtId="16" fontId="15" fillId="0" borderId="43" xfId="0" applyNumberFormat="1" applyFont="1" applyFill="1" applyBorder="1" applyAlignment="1" applyProtection="1">
      <alignment horizontal="center" vertical="center" wrapText="1"/>
    </xf>
    <xf numFmtId="16" fontId="15" fillId="0" borderId="43" xfId="0" applyNumberFormat="1" applyFont="1" applyFill="1" applyBorder="1" applyAlignment="1" applyProtection="1">
      <alignment horizontal="center" vertical="center"/>
    </xf>
    <xf numFmtId="16" fontId="15" fillId="0" borderId="44" xfId="0" applyNumberFormat="1" applyFont="1" applyFill="1" applyBorder="1" applyAlignment="1" applyProtection="1">
      <alignment horizontal="center" vertical="center" wrapText="1"/>
    </xf>
    <xf numFmtId="16" fontId="15" fillId="0" borderId="45" xfId="0" applyNumberFormat="1" applyFont="1" applyFill="1" applyBorder="1" applyAlignment="1" applyProtection="1">
      <alignment horizontal="center" vertical="center" wrapText="1"/>
    </xf>
    <xf numFmtId="1" fontId="15" fillId="0" borderId="47" xfId="0" applyNumberFormat="1" applyFont="1" applyFill="1" applyBorder="1" applyAlignment="1" applyProtection="1">
      <alignment horizontal="center" vertical="center"/>
    </xf>
    <xf numFmtId="1" fontId="15" fillId="0" borderId="32" xfId="0" applyNumberFormat="1" applyFont="1" applyFill="1" applyBorder="1" applyAlignment="1" applyProtection="1">
      <alignment horizontal="center" vertical="center"/>
    </xf>
    <xf numFmtId="1" fontId="15" fillId="0" borderId="48" xfId="0" applyNumberFormat="1" applyFont="1" applyFill="1" applyBorder="1" applyAlignment="1" applyProtection="1">
      <alignment horizontal="center" vertical="center"/>
    </xf>
    <xf numFmtId="0" fontId="6" fillId="0" borderId="45" xfId="0" applyFont="1" applyBorder="1" applyAlignment="1" applyProtection="1">
      <alignment horizontal="center" vertical="center"/>
    </xf>
    <xf numFmtId="0" fontId="15" fillId="0" borderId="45" xfId="0" applyFont="1" applyFill="1" applyBorder="1" applyAlignment="1" applyProtection="1">
      <alignment vertical="center"/>
    </xf>
    <xf numFmtId="0" fontId="15" fillId="0" borderId="12" xfId="0" applyFont="1" applyFill="1" applyBorder="1" applyAlignment="1" applyProtection="1">
      <alignment vertical="center"/>
    </xf>
    <xf numFmtId="0" fontId="34" fillId="0" borderId="0" xfId="0" applyFont="1"/>
    <xf numFmtId="0" fontId="25" fillId="0" borderId="20" xfId="0" applyFont="1" applyBorder="1" applyAlignment="1" applyProtection="1">
      <alignment horizontal="center" vertical="center" wrapText="1"/>
    </xf>
    <xf numFmtId="0" fontId="25" fillId="0" borderId="6" xfId="0" applyFont="1" applyBorder="1" applyAlignment="1" applyProtection="1">
      <alignment horizontal="center" vertical="center"/>
    </xf>
    <xf numFmtId="16" fontId="25" fillId="0" borderId="9" xfId="0" applyNumberFormat="1" applyFont="1" applyFill="1" applyBorder="1" applyAlignment="1" applyProtection="1">
      <alignment horizontal="center" vertical="center" wrapText="1"/>
    </xf>
    <xf numFmtId="16" fontId="36" fillId="0" borderId="9" xfId="0" applyNumberFormat="1" applyFont="1" applyFill="1" applyBorder="1" applyAlignment="1" applyProtection="1">
      <alignment horizontal="center" vertical="center" wrapText="1"/>
    </xf>
    <xf numFmtId="16" fontId="25" fillId="0" borderId="21" xfId="0" applyNumberFormat="1" applyFont="1" applyFill="1" applyBorder="1" applyAlignment="1" applyProtection="1">
      <alignment horizontal="center" vertical="center" wrapText="1"/>
    </xf>
    <xf numFmtId="0" fontId="37" fillId="0" borderId="0" xfId="0" applyFont="1"/>
    <xf numFmtId="0" fontId="37" fillId="0" borderId="0" xfId="0" applyFont="1" applyFill="1"/>
    <xf numFmtId="0" fontId="15" fillId="0" borderId="8" xfId="0" applyFont="1" applyFill="1" applyBorder="1" applyAlignment="1" applyProtection="1">
      <alignment horizontal="left" vertical="center"/>
    </xf>
    <xf numFmtId="166" fontId="34" fillId="0" borderId="4" xfId="0" applyNumberFormat="1" applyFont="1" applyFill="1" applyBorder="1" applyAlignment="1" applyProtection="1">
      <alignment horizontal="center" vertical="center"/>
    </xf>
    <xf numFmtId="2" fontId="34" fillId="0" borderId="4" xfId="0" applyNumberFormat="1" applyFont="1" applyFill="1" applyBorder="1" applyAlignment="1" applyProtection="1">
      <alignment horizontal="center" vertical="center"/>
    </xf>
    <xf numFmtId="166" fontId="34" fillId="0" borderId="5" xfId="0" applyNumberFormat="1" applyFont="1" applyFill="1" applyBorder="1" applyAlignment="1" applyProtection="1">
      <alignment horizontal="center" vertical="center"/>
    </xf>
    <xf numFmtId="166" fontId="15" fillId="0" borderId="53" xfId="0" applyNumberFormat="1" applyFont="1" applyFill="1" applyBorder="1" applyAlignment="1" applyProtection="1">
      <alignment horizontal="center" vertical="center"/>
    </xf>
    <xf numFmtId="166" fontId="34" fillId="0" borderId="13" xfId="0" applyNumberFormat="1" applyFont="1" applyFill="1" applyBorder="1" applyAlignment="1" applyProtection="1">
      <alignment horizontal="center" vertical="center"/>
    </xf>
    <xf numFmtId="2" fontId="34" fillId="0" borderId="13" xfId="0" applyNumberFormat="1" applyFont="1" applyFill="1" applyBorder="1" applyAlignment="1" applyProtection="1">
      <alignment horizontal="center" vertical="center"/>
    </xf>
    <xf numFmtId="166" fontId="34" fillId="0" borderId="22" xfId="0" applyNumberFormat="1" applyFont="1" applyFill="1" applyBorder="1" applyAlignment="1" applyProtection="1">
      <alignment horizontal="center" vertical="center"/>
    </xf>
    <xf numFmtId="166" fontId="38" fillId="0" borderId="4" xfId="0" applyNumberFormat="1" applyFont="1" applyFill="1" applyBorder="1" applyAlignment="1" applyProtection="1">
      <alignment horizontal="center" vertical="center"/>
    </xf>
    <xf numFmtId="166" fontId="38" fillId="0" borderId="13" xfId="0" applyNumberFormat="1" applyFont="1" applyFill="1" applyBorder="1" applyAlignment="1" applyProtection="1">
      <alignment horizontal="center" vertical="center"/>
    </xf>
    <xf numFmtId="1" fontId="3" fillId="0" borderId="4" xfId="0" applyNumberFormat="1" applyFont="1" applyFill="1" applyBorder="1" applyAlignment="1" applyProtection="1">
      <alignment horizontal="center" vertical="center"/>
    </xf>
    <xf numFmtId="16" fontId="34" fillId="0" borderId="54" xfId="0" applyNumberFormat="1" applyFont="1" applyFill="1" applyBorder="1" applyAlignment="1" applyProtection="1">
      <alignment horizontal="center" vertical="center" wrapText="1"/>
    </xf>
    <xf numFmtId="166" fontId="6" fillId="0" borderId="23" xfId="0" applyNumberFormat="1" applyFont="1" applyFill="1" applyBorder="1" applyAlignment="1">
      <alignment horizontal="center" vertical="center"/>
    </xf>
    <xf numFmtId="166" fontId="15" fillId="0" borderId="32" xfId="0" applyNumberFormat="1" applyFont="1" applyFill="1" applyBorder="1" applyAlignment="1" applyProtection="1">
      <alignment horizontal="center" vertical="center"/>
    </xf>
    <xf numFmtId="2" fontId="0" fillId="0" borderId="4" xfId="0" applyNumberFormat="1" applyFill="1" applyBorder="1" applyAlignment="1">
      <alignment horizontal="center"/>
    </xf>
    <xf numFmtId="0" fontId="0" fillId="3" borderId="0" xfId="0" applyFill="1" applyAlignment="1">
      <alignment vertical="center"/>
    </xf>
    <xf numFmtId="0" fontId="42" fillId="0" borderId="4" xfId="0" applyFont="1" applyBorder="1" applyAlignment="1">
      <alignment horizontal="center" vertical="center"/>
    </xf>
    <xf numFmtId="0" fontId="0" fillId="3" borderId="0" xfId="0" applyFill="1"/>
    <xf numFmtId="0" fontId="0" fillId="6" borderId="0" xfId="0" applyFill="1"/>
    <xf numFmtId="3" fontId="0" fillId="0" borderId="0" xfId="0" applyNumberFormat="1" applyAlignment="1">
      <alignment horizontal="center" vertical="center"/>
    </xf>
    <xf numFmtId="170" fontId="40" fillId="0" borderId="0" xfId="4" applyNumberFormat="1" applyFont="1" applyAlignment="1">
      <alignment horizontal="center" vertical="center"/>
    </xf>
    <xf numFmtId="0" fontId="15" fillId="0" borderId="0" xfId="0" applyFont="1" applyBorder="1" applyAlignment="1" applyProtection="1">
      <alignment vertical="center"/>
    </xf>
    <xf numFmtId="1" fontId="15" fillId="0" borderId="0" xfId="0" applyNumberFormat="1" applyFont="1" applyBorder="1" applyAlignment="1" applyProtection="1">
      <alignment horizontal="center" vertical="center"/>
    </xf>
    <xf numFmtId="0" fontId="16" fillId="0" borderId="0" xfId="0" applyFont="1" applyBorder="1" applyAlignment="1" applyProtection="1">
      <alignment horizontal="center" vertical="center"/>
    </xf>
    <xf numFmtId="2" fontId="16" fillId="0" borderId="0" xfId="0" applyNumberFormat="1" applyFont="1" applyBorder="1" applyAlignment="1" applyProtection="1">
      <alignment horizontal="center" vertical="center"/>
    </xf>
    <xf numFmtId="0" fontId="16" fillId="0" borderId="0" xfId="0" applyNumberFormat="1" applyFont="1" applyBorder="1" applyAlignment="1" applyProtection="1">
      <alignment horizontal="center" vertical="center"/>
    </xf>
    <xf numFmtId="2" fontId="15" fillId="0" borderId="0" xfId="0" applyNumberFormat="1" applyFont="1" applyBorder="1" applyAlignment="1" applyProtection="1">
      <alignment horizontal="center" vertical="center"/>
    </xf>
    <xf numFmtId="0" fontId="15" fillId="0" borderId="0" xfId="0" applyFont="1" applyFill="1" applyBorder="1" applyAlignment="1" applyProtection="1">
      <alignment vertical="center"/>
    </xf>
    <xf numFmtId="1" fontId="6" fillId="0" borderId="0" xfId="0" applyNumberFormat="1" applyFont="1" applyFill="1" applyBorder="1" applyAlignment="1" applyProtection="1">
      <alignment horizontal="center" vertical="center"/>
    </xf>
    <xf numFmtId="2" fontId="6" fillId="0" borderId="0" xfId="0" applyNumberFormat="1" applyFont="1" applyBorder="1" applyAlignment="1" applyProtection="1">
      <alignment horizontal="center" vertical="center"/>
    </xf>
    <xf numFmtId="0" fontId="6" fillId="0" borderId="0" xfId="0" applyNumberFormat="1" applyFont="1" applyBorder="1" applyAlignment="1" applyProtection="1">
      <alignment horizontal="center" vertical="center"/>
    </xf>
    <xf numFmtId="0" fontId="16" fillId="0" borderId="0" xfId="0" quotePrefix="1" applyNumberFormat="1" applyFont="1" applyBorder="1" applyAlignment="1" applyProtection="1">
      <alignment horizontal="center" vertical="center"/>
    </xf>
    <xf numFmtId="2" fontId="16" fillId="0" borderId="4" xfId="0" applyNumberFormat="1" applyFont="1" applyBorder="1" applyAlignment="1" applyProtection="1">
      <alignment horizontal="center" vertical="center"/>
    </xf>
    <xf numFmtId="0" fontId="0" fillId="0" borderId="0" xfId="0" applyAlignment="1">
      <alignment horizontal="center"/>
    </xf>
    <xf numFmtId="0" fontId="0" fillId="0" borderId="4" xfId="0" applyBorder="1" applyAlignment="1">
      <alignment horizontal="center"/>
    </xf>
    <xf numFmtId="171" fontId="7" fillId="0" borderId="4" xfId="3" applyNumberFormat="1" applyFont="1" applyBorder="1" applyAlignment="1" applyProtection="1">
      <alignment horizontal="center"/>
    </xf>
    <xf numFmtId="171" fontId="7" fillId="0" borderId="14" xfId="3" applyNumberFormat="1" applyFont="1" applyBorder="1" applyProtection="1"/>
    <xf numFmtId="171" fontId="7" fillId="0" borderId="31" xfId="3" applyNumberFormat="1" applyFont="1" applyBorder="1" applyProtection="1"/>
    <xf numFmtId="1" fontId="15" fillId="0" borderId="0" xfId="0" applyNumberFormat="1" applyFont="1" applyFill="1" applyBorder="1" applyAlignment="1" applyProtection="1">
      <alignment horizontal="center" vertical="center"/>
    </xf>
    <xf numFmtId="0" fontId="15" fillId="0" borderId="0" xfId="0" applyFont="1" applyFill="1" applyBorder="1"/>
    <xf numFmtId="0" fontId="15" fillId="0" borderId="0" xfId="0" applyFont="1" applyFill="1" applyBorder="1" applyAlignment="1">
      <alignment wrapText="1"/>
    </xf>
    <xf numFmtId="166" fontId="38" fillId="0" borderId="2" xfId="0" applyNumberFormat="1" applyFont="1" applyFill="1" applyBorder="1" applyAlignment="1" applyProtection="1">
      <alignment horizontal="center" vertical="center"/>
    </xf>
    <xf numFmtId="2" fontId="34" fillId="0" borderId="2" xfId="0" applyNumberFormat="1" applyFont="1" applyFill="1" applyBorder="1" applyAlignment="1" applyProtection="1">
      <alignment horizontal="center" vertical="center"/>
    </xf>
    <xf numFmtId="0" fontId="37" fillId="0" borderId="41" xfId="0" applyFont="1" applyBorder="1"/>
    <xf numFmtId="0" fontId="25" fillId="0" borderId="45" xfId="0" applyFont="1" applyBorder="1" applyAlignment="1" applyProtection="1">
      <alignment horizontal="center" vertical="center"/>
    </xf>
    <xf numFmtId="16" fontId="34" fillId="0" borderId="43" xfId="0" applyNumberFormat="1" applyFont="1" applyFill="1" applyBorder="1" applyAlignment="1" applyProtection="1">
      <alignment horizontal="center" vertical="center" wrapText="1"/>
    </xf>
    <xf numFmtId="1" fontId="34" fillId="0" borderId="5" xfId="0" applyNumberFormat="1" applyFont="1" applyFill="1" applyBorder="1" applyAlignment="1" applyProtection="1">
      <alignment horizontal="center" vertical="center"/>
    </xf>
    <xf numFmtId="1" fontId="39" fillId="0" borderId="3" xfId="0" applyNumberFormat="1" applyFont="1" applyFill="1" applyBorder="1" applyAlignment="1" applyProtection="1">
      <alignment horizontal="center" vertical="center"/>
    </xf>
    <xf numFmtId="49" fontId="15" fillId="0" borderId="35" xfId="0" applyNumberFormat="1" applyFont="1" applyFill="1" applyBorder="1"/>
    <xf numFmtId="49" fontId="6" fillId="0" borderId="35" xfId="0" applyNumberFormat="1" applyFont="1" applyFill="1" applyBorder="1"/>
    <xf numFmtId="49" fontId="15" fillId="0" borderId="59" xfId="0" applyNumberFormat="1" applyFont="1" applyFill="1" applyBorder="1"/>
    <xf numFmtId="0" fontId="15" fillId="0" borderId="34" xfId="0" applyFont="1" applyFill="1" applyBorder="1" applyAlignment="1" applyProtection="1">
      <alignment vertical="center"/>
    </xf>
    <xf numFmtId="166" fontId="15" fillId="0" borderId="33" xfId="0" applyNumberFormat="1" applyFont="1" applyFill="1" applyBorder="1" applyAlignment="1" applyProtection="1">
      <alignment horizontal="center" vertical="center"/>
    </xf>
    <xf numFmtId="166" fontId="34" fillId="0" borderId="2" xfId="0" applyNumberFormat="1" applyFont="1" applyFill="1" applyBorder="1" applyAlignment="1" applyProtection="1">
      <alignment horizontal="center" vertical="center"/>
    </xf>
    <xf numFmtId="1" fontId="34" fillId="0" borderId="3" xfId="0" applyNumberFormat="1" applyFont="1" applyFill="1" applyBorder="1" applyAlignment="1" applyProtection="1">
      <alignment horizontal="center" vertical="center"/>
    </xf>
    <xf numFmtId="0" fontId="6" fillId="0" borderId="39" xfId="0" applyFont="1" applyFill="1" applyBorder="1"/>
    <xf numFmtId="166" fontId="15" fillId="0" borderId="47" xfId="0" applyNumberFormat="1" applyFont="1" applyFill="1" applyBorder="1" applyAlignment="1" applyProtection="1">
      <alignment horizontal="center" vertical="center"/>
    </xf>
    <xf numFmtId="166" fontId="38" fillId="0" borderId="31" xfId="0" applyNumberFormat="1" applyFont="1" applyFill="1" applyBorder="1" applyAlignment="1" applyProtection="1">
      <alignment horizontal="center" vertical="center"/>
    </xf>
    <xf numFmtId="166" fontId="34" fillId="0" borderId="31" xfId="0" applyNumberFormat="1" applyFont="1" applyFill="1" applyBorder="1" applyAlignment="1" applyProtection="1">
      <alignment horizontal="center" vertical="center"/>
    </xf>
    <xf numFmtId="2" fontId="34" fillId="0" borderId="31" xfId="0" applyNumberFormat="1" applyFont="1" applyFill="1" applyBorder="1" applyAlignment="1" applyProtection="1">
      <alignment horizontal="center" vertical="center"/>
    </xf>
    <xf numFmtId="166" fontId="39" fillId="0" borderId="40" xfId="0" applyNumberFormat="1" applyFont="1" applyFill="1" applyBorder="1" applyAlignment="1" applyProtection="1">
      <alignment horizontal="center" vertical="center"/>
    </xf>
    <xf numFmtId="49" fontId="15" fillId="0" borderId="49" xfId="0" applyNumberFormat="1" applyFont="1" applyFill="1" applyBorder="1"/>
    <xf numFmtId="0" fontId="15" fillId="0" borderId="16" xfId="0" applyFont="1" applyFill="1" applyBorder="1" applyAlignment="1" applyProtection="1">
      <alignment vertical="center"/>
    </xf>
    <xf numFmtId="166" fontId="15" fillId="0" borderId="60" xfId="0" applyNumberFormat="1" applyFont="1" applyFill="1" applyBorder="1" applyAlignment="1" applyProtection="1">
      <alignment horizontal="center" vertical="center"/>
    </xf>
    <xf numFmtId="166" fontId="38" fillId="0" borderId="17" xfId="0" applyNumberFormat="1" applyFont="1" applyFill="1" applyBorder="1" applyAlignment="1" applyProtection="1">
      <alignment horizontal="center" vertical="center"/>
    </xf>
    <xf numFmtId="166" fontId="34" fillId="0" borderId="17" xfId="0" applyNumberFormat="1" applyFont="1" applyFill="1" applyBorder="1" applyAlignment="1" applyProtection="1">
      <alignment horizontal="center" vertical="center"/>
    </xf>
    <xf numFmtId="2" fontId="34" fillId="0" borderId="17" xfId="0" applyNumberFormat="1" applyFont="1" applyFill="1" applyBorder="1" applyAlignment="1" applyProtection="1">
      <alignment horizontal="center" vertical="center"/>
    </xf>
    <xf numFmtId="1" fontId="34" fillId="0" borderId="50" xfId="0" applyNumberFormat="1" applyFont="1" applyFill="1" applyBorder="1" applyAlignment="1" applyProtection="1">
      <alignment horizontal="center" vertical="center"/>
    </xf>
    <xf numFmtId="49" fontId="15" fillId="0" borderId="37" xfId="0" applyNumberFormat="1" applyFont="1" applyFill="1" applyBorder="1"/>
    <xf numFmtId="0" fontId="15" fillId="0" borderId="12" xfId="0" applyFont="1" applyFill="1" applyBorder="1" applyAlignment="1" applyProtection="1">
      <alignment horizontal="left" vertical="center"/>
    </xf>
    <xf numFmtId="1" fontId="34" fillId="0" borderId="22" xfId="0" applyNumberFormat="1" applyFont="1" applyFill="1" applyBorder="1" applyAlignment="1" applyProtection="1">
      <alignment horizontal="center" vertical="center"/>
    </xf>
    <xf numFmtId="16" fontId="36" fillId="0" borderId="21" xfId="0" applyNumberFormat="1" applyFont="1" applyFill="1" applyBorder="1" applyAlignment="1" applyProtection="1">
      <alignment horizontal="center" vertical="center" wrapText="1"/>
    </xf>
    <xf numFmtId="0" fontId="6" fillId="0" borderId="9" xfId="0" applyFont="1" applyBorder="1" applyAlignment="1" applyProtection="1">
      <alignment horizontal="center" vertical="center"/>
    </xf>
    <xf numFmtId="0" fontId="6" fillId="0" borderId="43" xfId="0" applyFont="1" applyBorder="1" applyAlignment="1" applyProtection="1">
      <alignment horizontal="center" vertical="center"/>
    </xf>
    <xf numFmtId="0" fontId="15" fillId="0" borderId="16" xfId="0" applyFont="1" applyFill="1" applyBorder="1" applyAlignment="1">
      <alignment horizontal="center"/>
    </xf>
    <xf numFmtId="0" fontId="15" fillId="0" borderId="24" xfId="0" applyFont="1" applyFill="1" applyBorder="1" applyAlignment="1" applyProtection="1">
      <alignment horizontal="center" vertical="center"/>
    </xf>
    <xf numFmtId="2" fontId="15" fillId="0" borderId="17" xfId="0" applyNumberFormat="1" applyFont="1" applyFill="1" applyBorder="1" applyAlignment="1">
      <alignment horizontal="center"/>
    </xf>
    <xf numFmtId="2" fontId="15" fillId="0" borderId="50" xfId="0" applyNumberFormat="1" applyFont="1" applyFill="1" applyBorder="1" applyAlignment="1">
      <alignment horizontal="center"/>
    </xf>
    <xf numFmtId="0" fontId="15" fillId="0" borderId="8" xfId="0" applyFont="1" applyFill="1" applyBorder="1" applyAlignment="1">
      <alignment horizontal="center"/>
    </xf>
    <xf numFmtId="0" fontId="15" fillId="0" borderId="28" xfId="0" applyFont="1" applyFill="1" applyBorder="1" applyAlignment="1" applyProtection="1">
      <alignment horizontal="center" vertical="center"/>
    </xf>
    <xf numFmtId="2" fontId="15" fillId="0" borderId="4" xfId="0" applyNumberFormat="1" applyFont="1" applyFill="1" applyBorder="1" applyAlignment="1">
      <alignment horizontal="center"/>
    </xf>
    <xf numFmtId="2" fontId="15" fillId="0" borderId="5" xfId="0" applyNumberFormat="1" applyFont="1" applyFill="1" applyBorder="1" applyAlignment="1">
      <alignment horizontal="center"/>
    </xf>
    <xf numFmtId="0" fontId="15" fillId="0" borderId="12" xfId="0" applyFont="1" applyFill="1" applyBorder="1" applyAlignment="1">
      <alignment horizontal="center"/>
    </xf>
    <xf numFmtId="0" fontId="15" fillId="0" borderId="43" xfId="0" applyFont="1" applyFill="1" applyBorder="1" applyAlignment="1" applyProtection="1">
      <alignment horizontal="center" vertical="center"/>
    </xf>
    <xf numFmtId="2" fontId="15" fillId="0" borderId="13" xfId="0" applyNumberFormat="1" applyFont="1" applyFill="1" applyBorder="1" applyAlignment="1">
      <alignment horizontal="center"/>
    </xf>
    <xf numFmtId="2" fontId="15" fillId="0" borderId="22" xfId="0" applyNumberFormat="1" applyFont="1" applyFill="1" applyBorder="1" applyAlignment="1">
      <alignment horizontal="center"/>
    </xf>
    <xf numFmtId="0" fontId="3" fillId="0" borderId="0" xfId="0" applyFont="1" applyBorder="1"/>
    <xf numFmtId="0" fontId="3" fillId="0" borderId="0" xfId="0" applyFont="1"/>
    <xf numFmtId="0" fontId="35" fillId="0" borderId="0" xfId="0" applyFont="1"/>
    <xf numFmtId="0" fontId="1" fillId="0" borderId="0" xfId="2"/>
    <xf numFmtId="0" fontId="55" fillId="0" borderId="0" xfId="2" applyFont="1" applyFill="1" applyBorder="1" applyAlignment="1">
      <alignment vertical="center"/>
    </xf>
    <xf numFmtId="0" fontId="1" fillId="0" borderId="0" xfId="2" applyFill="1" applyBorder="1" applyAlignment="1">
      <alignment vertical="center"/>
    </xf>
    <xf numFmtId="0" fontId="1" fillId="0" borderId="0" xfId="2" applyBorder="1"/>
    <xf numFmtId="0" fontId="1" fillId="0" borderId="0" xfId="2" applyFill="1" applyAlignment="1">
      <alignment vertical="center"/>
    </xf>
    <xf numFmtId="0" fontId="49" fillId="0" borderId="0" xfId="2" applyFont="1" applyFill="1" applyBorder="1" applyAlignment="1">
      <alignment vertical="center"/>
    </xf>
    <xf numFmtId="0" fontId="49" fillId="0" borderId="0" xfId="2" applyFont="1" applyBorder="1" applyAlignment="1">
      <alignment vertical="center"/>
    </xf>
    <xf numFmtId="0" fontId="59" fillId="0" borderId="0" xfId="2" applyFont="1" applyFill="1" applyBorder="1" applyAlignment="1">
      <alignment vertical="center"/>
    </xf>
    <xf numFmtId="0" fontId="1" fillId="0" borderId="0" xfId="2" applyBorder="1" applyAlignment="1">
      <alignment vertical="center"/>
    </xf>
    <xf numFmtId="0" fontId="61" fillId="0" borderId="0" xfId="2" applyFont="1" applyFill="1" applyAlignment="1">
      <alignment vertical="center"/>
    </xf>
    <xf numFmtId="1" fontId="53" fillId="0" borderId="0" xfId="2" applyNumberFormat="1" applyFont="1" applyFill="1" applyAlignment="1">
      <alignment horizontal="center" vertical="center"/>
    </xf>
    <xf numFmtId="0" fontId="61" fillId="0" borderId="0" xfId="2" applyFont="1" applyFill="1" applyAlignment="1">
      <alignment vertical="top"/>
    </xf>
    <xf numFmtId="0" fontId="55" fillId="0" borderId="0" xfId="2" applyFont="1" applyFill="1" applyBorder="1" applyAlignment="1">
      <alignment horizontal="right" vertical="center"/>
    </xf>
    <xf numFmtId="0" fontId="55" fillId="0" borderId="0" xfId="2" applyFont="1" applyFill="1" applyBorder="1" applyAlignment="1">
      <alignment horizontal="centerContinuous" vertical="center"/>
    </xf>
    <xf numFmtId="173" fontId="56" fillId="0" borderId="0" xfId="2" applyNumberFormat="1" applyFont="1" applyFill="1" applyAlignment="1">
      <alignment horizontal="left"/>
    </xf>
    <xf numFmtId="0" fontId="58" fillId="0" borderId="0" xfId="2" applyFont="1" applyFill="1" applyBorder="1" applyAlignment="1">
      <alignment horizontal="centerContinuous" vertical="center"/>
    </xf>
    <xf numFmtId="0" fontId="55" fillId="0" borderId="0" xfId="2" applyFont="1" applyFill="1" applyBorder="1" applyAlignment="1">
      <alignment horizontal="left" vertical="center" indent="1"/>
    </xf>
    <xf numFmtId="0" fontId="55" fillId="0" borderId="0" xfId="2" applyFont="1" applyFill="1" applyBorder="1" applyAlignment="1">
      <alignment horizontal="left" vertical="center"/>
    </xf>
    <xf numFmtId="0" fontId="55" fillId="0" borderId="0" xfId="2" applyNumberFormat="1" applyFont="1" applyFill="1" applyBorder="1" applyAlignment="1">
      <alignment vertical="center"/>
    </xf>
    <xf numFmtId="174" fontId="58" fillId="0" borderId="0" xfId="2" applyNumberFormat="1" applyFont="1" applyFill="1" applyBorder="1" applyAlignment="1">
      <alignment vertical="center"/>
    </xf>
    <xf numFmtId="174" fontId="54" fillId="0" borderId="0" xfId="2" applyNumberFormat="1" applyFont="1" applyFill="1" applyBorder="1" applyAlignment="1">
      <alignment vertical="center"/>
    </xf>
    <xf numFmtId="0" fontId="54" fillId="0" borderId="0" xfId="2" applyFont="1" applyFill="1" applyBorder="1" applyAlignment="1">
      <alignment vertical="center"/>
    </xf>
    <xf numFmtId="0" fontId="1" fillId="0" borderId="0" xfId="2" applyFill="1" applyBorder="1"/>
    <xf numFmtId="0" fontId="56" fillId="0" borderId="0" xfId="2" applyFont="1" applyFill="1" applyBorder="1" applyAlignment="1">
      <alignment vertical="center"/>
    </xf>
    <xf numFmtId="0" fontId="49" fillId="0" borderId="0" xfId="2" applyFont="1" applyBorder="1" applyAlignment="1"/>
    <xf numFmtId="0" fontId="49" fillId="0" borderId="0" xfId="2" applyFont="1" applyFill="1" applyBorder="1" applyAlignment="1"/>
    <xf numFmtId="0" fontId="1" fillId="0" borderId="0" xfId="2" applyBorder="1" applyAlignment="1"/>
    <xf numFmtId="0" fontId="1" fillId="0" borderId="0" xfId="2" applyFill="1" applyBorder="1" applyAlignment="1"/>
    <xf numFmtId="172" fontId="56" fillId="0" borderId="0" xfId="2" applyNumberFormat="1" applyFont="1" applyFill="1" applyBorder="1" applyAlignment="1">
      <alignment horizontal="left" vertical="center"/>
    </xf>
    <xf numFmtId="0" fontId="51" fillId="0" borderId="0" xfId="2" applyFont="1" applyFill="1" applyBorder="1" applyAlignment="1">
      <alignment horizontal="center" vertical="center"/>
    </xf>
    <xf numFmtId="0" fontId="58" fillId="0" borderId="0" xfId="2" applyFont="1" applyFill="1" applyBorder="1" applyAlignment="1">
      <alignment vertical="center"/>
    </xf>
    <xf numFmtId="0" fontId="59" fillId="0" borderId="0" xfId="2" applyFont="1" applyFill="1" applyBorder="1" applyAlignment="1"/>
    <xf numFmtId="0" fontId="60" fillId="0" borderId="0" xfId="2" applyFont="1" applyFill="1" applyBorder="1" applyAlignment="1"/>
    <xf numFmtId="0" fontId="60" fillId="0" borderId="0" xfId="2" applyFont="1" applyBorder="1"/>
    <xf numFmtId="0" fontId="49" fillId="0" borderId="0" xfId="2" applyFont="1" applyBorder="1"/>
    <xf numFmtId="2" fontId="53" fillId="0" borderId="0" xfId="2" applyNumberFormat="1" applyFont="1" applyFill="1" applyBorder="1" applyAlignment="1">
      <alignment horizontal="center" vertical="center"/>
    </xf>
    <xf numFmtId="3" fontId="53" fillId="0" borderId="0" xfId="2" applyNumberFormat="1" applyFont="1" applyFill="1" applyBorder="1" applyAlignment="1">
      <alignment horizontal="center" vertical="center"/>
    </xf>
    <xf numFmtId="0" fontId="60" fillId="0" borderId="0" xfId="2" applyFont="1" applyFill="1" applyBorder="1" applyAlignment="1">
      <alignment vertical="center"/>
    </xf>
    <xf numFmtId="0" fontId="53" fillId="0" borderId="0" xfId="2" applyFont="1" applyFill="1" applyBorder="1" applyAlignment="1"/>
    <xf numFmtId="0" fontId="59" fillId="0" borderId="0" xfId="2" applyFont="1" applyBorder="1"/>
    <xf numFmtId="0" fontId="1" fillId="0" borderId="0" xfId="2" applyFill="1" applyBorder="1" applyAlignment="1">
      <alignment horizontal="center" vertical="center"/>
    </xf>
    <xf numFmtId="0" fontId="61" fillId="0" borderId="0" xfId="2" applyFont="1" applyFill="1" applyBorder="1" applyAlignment="1">
      <alignment vertical="center"/>
    </xf>
    <xf numFmtId="1" fontId="53" fillId="0" borderId="0" xfId="2" applyNumberFormat="1" applyFont="1" applyFill="1" applyBorder="1" applyAlignment="1">
      <alignment horizontal="center" vertical="center"/>
    </xf>
    <xf numFmtId="0" fontId="61" fillId="0" borderId="0" xfId="2" applyFont="1" applyFill="1" applyBorder="1" applyAlignment="1">
      <alignment vertical="top"/>
    </xf>
    <xf numFmtId="3" fontId="53" fillId="0" borderId="0" xfId="2" applyNumberFormat="1" applyFont="1" applyBorder="1" applyAlignment="1">
      <alignment horizontal="center" vertical="center"/>
    </xf>
    <xf numFmtId="0" fontId="53" fillId="0" borderId="0" xfId="2" applyFont="1" applyBorder="1" applyAlignment="1">
      <alignment vertical="center"/>
    </xf>
    <xf numFmtId="173" fontId="56" fillId="0" borderId="0" xfId="2" applyNumberFormat="1" applyFont="1" applyFill="1" applyBorder="1" applyAlignment="1">
      <alignment horizontal="left"/>
    </xf>
    <xf numFmtId="173" fontId="56" fillId="0" borderId="0" xfId="2" applyNumberFormat="1" applyFont="1" applyFill="1" applyBorder="1" applyAlignment="1">
      <alignment horizontal="left" vertical="center"/>
    </xf>
    <xf numFmtId="0" fontId="1" fillId="0" borderId="0" xfId="2" applyBorder="1" applyAlignment="1">
      <alignment horizontal="centerContinuous" vertical="center"/>
    </xf>
    <xf numFmtId="0" fontId="1" fillId="0" borderId="0" xfId="2" applyFill="1" applyBorder="1" applyAlignment="1">
      <alignment horizontal="centerContinuous" vertical="center"/>
    </xf>
    <xf numFmtId="1" fontId="53" fillId="0" borderId="0" xfId="2" applyNumberFormat="1" applyFont="1" applyBorder="1" applyAlignment="1">
      <alignment horizontal="center" vertical="center"/>
    </xf>
    <xf numFmtId="3" fontId="55" fillId="0" borderId="0" xfId="2" applyNumberFormat="1" applyFont="1" applyFill="1" applyBorder="1" applyAlignment="1">
      <alignment horizontal="left" vertical="center"/>
    </xf>
    <xf numFmtId="0" fontId="59" fillId="0" borderId="0" xfId="2" applyFont="1" applyBorder="1" applyAlignment="1">
      <alignment vertical="center"/>
    </xf>
    <xf numFmtId="0" fontId="58" fillId="0" borderId="0" xfId="2" applyFont="1" applyBorder="1" applyAlignment="1">
      <alignment vertical="center"/>
    </xf>
    <xf numFmtId="3" fontId="53" fillId="0" borderId="0" xfId="2" applyNumberFormat="1" applyFont="1" applyFill="1" applyBorder="1" applyAlignment="1">
      <alignment horizontal="left" vertical="center"/>
    </xf>
    <xf numFmtId="0" fontId="1" fillId="0" borderId="0" xfId="2" applyFill="1" applyBorder="1" applyAlignment="1">
      <alignment horizontal="left" vertical="center"/>
    </xf>
    <xf numFmtId="173" fontId="61" fillId="0" borderId="0" xfId="2" applyNumberFormat="1" applyFont="1" applyFill="1" applyBorder="1" applyAlignment="1">
      <alignment vertical="center"/>
    </xf>
    <xf numFmtId="0" fontId="56" fillId="0" borderId="0" xfId="2" quotePrefix="1" applyFont="1" applyFill="1" applyBorder="1" applyAlignment="1">
      <alignment horizontal="right" vertical="center"/>
    </xf>
    <xf numFmtId="165" fontId="56" fillId="0" borderId="0" xfId="2" applyNumberFormat="1" applyFont="1" applyFill="1" applyBorder="1" applyAlignment="1">
      <alignment horizontal="center" vertical="center"/>
    </xf>
    <xf numFmtId="0" fontId="0" fillId="0" borderId="66" xfId="0" applyBorder="1"/>
    <xf numFmtId="0" fontId="0" fillId="0" borderId="0" xfId="0" applyFill="1" applyBorder="1" applyAlignment="1">
      <alignment horizontal="center"/>
    </xf>
    <xf numFmtId="0" fontId="15" fillId="0" borderId="0" xfId="0" applyFont="1" applyBorder="1" applyAlignment="1">
      <alignment vertical="center"/>
    </xf>
    <xf numFmtId="0" fontId="0" fillId="0" borderId="0" xfId="0" applyBorder="1" applyAlignment="1">
      <alignment vertical="center"/>
    </xf>
    <xf numFmtId="1" fontId="15" fillId="0" borderId="0" xfId="0" applyNumberFormat="1" applyFont="1" applyFill="1" applyBorder="1" applyAlignment="1">
      <alignment horizontal="center" vertical="center"/>
    </xf>
    <xf numFmtId="0" fontId="3" fillId="0" borderId="66" xfId="0" applyFont="1" applyBorder="1" applyAlignment="1">
      <alignment vertical="center"/>
    </xf>
    <xf numFmtId="0" fontId="3" fillId="0" borderId="0" xfId="0" applyFont="1" applyFill="1" applyBorder="1" applyAlignment="1">
      <alignment vertical="center"/>
    </xf>
    <xf numFmtId="0" fontId="15" fillId="0" borderId="0" xfId="0" applyFont="1" applyBorder="1" applyAlignment="1">
      <alignment horizontal="center" vertical="center"/>
    </xf>
    <xf numFmtId="1" fontId="15" fillId="0" borderId="0" xfId="0" applyNumberFormat="1" applyFont="1" applyBorder="1" applyAlignment="1">
      <alignment horizontal="center" vertical="center"/>
    </xf>
    <xf numFmtId="0" fontId="0" fillId="0" borderId="0" xfId="0" applyBorder="1" applyAlignment="1">
      <alignment horizontal="center"/>
    </xf>
    <xf numFmtId="1" fontId="0" fillId="0" borderId="0" xfId="0" applyNumberFormat="1" applyBorder="1" applyAlignment="1">
      <alignment horizontal="center"/>
    </xf>
    <xf numFmtId="0" fontId="0" fillId="0" borderId="56" xfId="0" applyBorder="1"/>
    <xf numFmtId="166" fontId="0" fillId="0" borderId="0" xfId="0" applyNumberFormat="1" applyBorder="1" applyAlignment="1">
      <alignment horizontal="center"/>
    </xf>
    <xf numFmtId="166" fontId="0" fillId="0" borderId="0" xfId="0" applyNumberFormat="1" applyBorder="1"/>
    <xf numFmtId="0" fontId="0" fillId="0" borderId="56" xfId="0" applyFill="1" applyBorder="1"/>
    <xf numFmtId="1" fontId="0" fillId="0" borderId="0" xfId="0" applyNumberFormat="1" applyBorder="1"/>
    <xf numFmtId="0" fontId="0" fillId="0" borderId="64" xfId="0" applyBorder="1"/>
    <xf numFmtId="0" fontId="0" fillId="0" borderId="65" xfId="0" applyFill="1" applyBorder="1"/>
    <xf numFmtId="0" fontId="0" fillId="0" borderId="65" xfId="0" applyBorder="1"/>
    <xf numFmtId="166" fontId="0" fillId="0" borderId="65" xfId="0" applyNumberFormat="1" applyBorder="1"/>
    <xf numFmtId="1" fontId="0" fillId="0" borderId="65" xfId="0" applyNumberFormat="1" applyBorder="1"/>
    <xf numFmtId="0" fontId="15" fillId="0" borderId="65" xfId="0" applyFont="1" applyBorder="1" applyAlignment="1">
      <alignment horizontal="center" vertical="center"/>
    </xf>
    <xf numFmtId="0" fontId="25" fillId="0" borderId="65" xfId="0" applyNumberFormat="1" applyFont="1" applyFill="1" applyBorder="1"/>
    <xf numFmtId="0" fontId="25" fillId="0" borderId="65" xfId="0" applyFont="1" applyFill="1" applyBorder="1"/>
    <xf numFmtId="0" fontId="25" fillId="0" borderId="65" xfId="0" applyFont="1" applyFill="1" applyBorder="1" applyAlignment="1">
      <alignment horizontal="center"/>
    </xf>
    <xf numFmtId="166" fontId="33" fillId="0" borderId="65" xfId="0" applyNumberFormat="1" applyFont="1" applyFill="1" applyBorder="1" applyAlignment="1">
      <alignment horizontal="center"/>
    </xf>
    <xf numFmtId="0" fontId="13" fillId="0" borderId="62" xfId="0" applyFont="1" applyBorder="1" applyAlignment="1">
      <alignment horizontal="left" vertical="center"/>
    </xf>
    <xf numFmtId="0" fontId="13" fillId="0" borderId="63" xfId="0" applyFont="1" applyFill="1" applyBorder="1" applyAlignment="1">
      <alignment horizontal="left" vertical="center"/>
    </xf>
    <xf numFmtId="0" fontId="0" fillId="0" borderId="63" xfId="0" applyBorder="1"/>
    <xf numFmtId="0" fontId="15" fillId="0" borderId="63" xfId="0" applyFont="1" applyBorder="1" applyAlignment="1">
      <alignment horizontal="center" vertical="center"/>
    </xf>
    <xf numFmtId="0" fontId="15" fillId="0" borderId="63" xfId="0" applyFont="1" applyFill="1" applyBorder="1" applyAlignment="1">
      <alignment horizontal="center" vertical="center"/>
    </xf>
    <xf numFmtId="0" fontId="15" fillId="0" borderId="63" xfId="0" applyFont="1" applyFill="1" applyBorder="1"/>
    <xf numFmtId="0" fontId="3" fillId="0" borderId="63" xfId="0" applyFont="1" applyFill="1" applyBorder="1" applyAlignment="1">
      <alignment horizontal="center" vertical="center"/>
    </xf>
    <xf numFmtId="0" fontId="0" fillId="0" borderId="63" xfId="0" applyFill="1" applyBorder="1" applyAlignment="1">
      <alignment horizontal="center" vertical="center"/>
    </xf>
    <xf numFmtId="0" fontId="0" fillId="0" borderId="11" xfId="0" applyBorder="1" applyAlignment="1">
      <alignment horizontal="center" vertical="center"/>
    </xf>
    <xf numFmtId="0" fontId="15" fillId="0" borderId="0" xfId="0" applyFont="1" applyBorder="1"/>
    <xf numFmtId="166" fontId="6" fillId="0" borderId="0" xfId="0" applyNumberFormat="1" applyFont="1" applyFill="1" applyBorder="1" applyAlignment="1">
      <alignment horizontal="center" vertical="center"/>
    </xf>
    <xf numFmtId="0" fontId="15" fillId="0" borderId="0" xfId="0" applyFont="1" applyBorder="1" applyAlignment="1">
      <alignment horizontal="left" vertical="center"/>
    </xf>
    <xf numFmtId="16" fontId="6" fillId="0" borderId="63" xfId="0" applyNumberFormat="1" applyFont="1" applyFill="1" applyBorder="1" applyAlignment="1" applyProtection="1">
      <alignment horizontal="center" vertical="center" wrapText="1"/>
    </xf>
    <xf numFmtId="16" fontId="15" fillId="0" borderId="65" xfId="0" applyNumberFormat="1" applyFont="1" applyFill="1" applyBorder="1" applyAlignment="1" applyProtection="1">
      <alignment horizontal="center" vertical="center" wrapText="1"/>
    </xf>
    <xf numFmtId="1" fontId="15" fillId="0" borderId="61" xfId="0" applyNumberFormat="1" applyFont="1" applyBorder="1" applyAlignment="1" applyProtection="1">
      <alignment horizontal="center" vertical="center"/>
    </xf>
    <xf numFmtId="1" fontId="15" fillId="0" borderId="51" xfId="0" applyNumberFormat="1" applyFont="1" applyBorder="1" applyAlignment="1" applyProtection="1">
      <alignment horizontal="center" vertical="center"/>
    </xf>
    <xf numFmtId="16" fontId="6" fillId="0" borderId="50" xfId="0" applyNumberFormat="1" applyFont="1" applyFill="1" applyBorder="1" applyAlignment="1" applyProtection="1">
      <alignment horizontal="center" vertical="center" wrapText="1"/>
    </xf>
    <xf numFmtId="16" fontId="15" fillId="0" borderId="5" xfId="0" applyNumberFormat="1" applyFont="1" applyFill="1" applyBorder="1" applyAlignment="1" applyProtection="1">
      <alignment horizontal="center" vertical="center" wrapText="1"/>
    </xf>
    <xf numFmtId="0" fontId="0" fillId="0" borderId="5" xfId="0" applyBorder="1"/>
    <xf numFmtId="0" fontId="0" fillId="0" borderId="22" xfId="0" applyBorder="1"/>
    <xf numFmtId="0" fontId="0" fillId="0" borderId="67" xfId="0" applyBorder="1" applyAlignment="1">
      <alignment horizontal="center" vertical="center"/>
    </xf>
    <xf numFmtId="0" fontId="18" fillId="0" borderId="0" xfId="0" applyFont="1" applyBorder="1"/>
    <xf numFmtId="0" fontId="15" fillId="0" borderId="65" xfId="0" applyNumberFormat="1" applyFont="1" applyFill="1" applyBorder="1" applyAlignment="1">
      <alignment vertical="center"/>
    </xf>
    <xf numFmtId="0" fontId="0" fillId="0" borderId="11" xfId="0" applyFill="1" applyBorder="1"/>
    <xf numFmtId="0" fontId="0" fillId="0" borderId="46" xfId="0" applyFill="1" applyBorder="1"/>
    <xf numFmtId="0" fontId="18" fillId="0" borderId="65" xfId="0" applyFont="1" applyBorder="1"/>
    <xf numFmtId="0" fontId="0" fillId="0" borderId="46" xfId="0" applyBorder="1"/>
    <xf numFmtId="0" fontId="5" fillId="0" borderId="0" xfId="0" applyFont="1" applyFill="1" applyBorder="1" applyAlignment="1" applyProtection="1">
      <alignment horizontal="center" vertical="center"/>
    </xf>
    <xf numFmtId="0" fontId="3" fillId="0" borderId="14" xfId="0" applyFont="1" applyFill="1" applyBorder="1" applyAlignment="1" applyProtection="1">
      <alignment horizontal="center" vertical="center"/>
    </xf>
    <xf numFmtId="166" fontId="5" fillId="0" borderId="0" xfId="0" applyNumberFormat="1" applyFont="1" applyFill="1" applyBorder="1" applyAlignment="1" applyProtection="1">
      <alignment horizontal="center" vertical="center"/>
    </xf>
    <xf numFmtId="166" fontId="3" fillId="0" borderId="0" xfId="0" applyNumberFormat="1" applyFont="1" applyFill="1" applyBorder="1" applyAlignment="1" applyProtection="1">
      <alignment horizontal="center" vertical="center"/>
    </xf>
    <xf numFmtId="166" fontId="4" fillId="0" borderId="0" xfId="0" applyNumberFormat="1" applyFont="1" applyBorder="1" applyAlignment="1" applyProtection="1">
      <alignment horizontal="center" vertical="center"/>
    </xf>
    <xf numFmtId="2" fontId="3" fillId="0" borderId="0" xfId="0" applyNumberFormat="1" applyFont="1" applyFill="1" applyBorder="1" applyAlignment="1" applyProtection="1">
      <alignment horizontal="center" vertical="center"/>
    </xf>
    <xf numFmtId="0" fontId="3" fillId="0" borderId="0" xfId="0" applyFont="1" applyFill="1" applyBorder="1" applyAlignment="1" applyProtection="1">
      <alignment vertical="center"/>
    </xf>
    <xf numFmtId="1" fontId="3" fillId="0" borderId="0" xfId="0" applyNumberFormat="1" applyFont="1" applyFill="1" applyBorder="1" applyAlignment="1" applyProtection="1">
      <alignment horizontal="center" vertical="center"/>
    </xf>
    <xf numFmtId="0" fontId="3" fillId="0" borderId="0" xfId="0" applyFont="1" applyFill="1" applyBorder="1" applyAlignment="1" applyProtection="1">
      <alignment horizontal="left" vertical="center"/>
    </xf>
    <xf numFmtId="0" fontId="50" fillId="0" borderId="0" xfId="0" applyFont="1"/>
    <xf numFmtId="0" fontId="3" fillId="0" borderId="0" xfId="0" applyFont="1" applyFill="1"/>
    <xf numFmtId="0" fontId="3" fillId="0" borderId="0" xfId="0" applyFont="1" applyProtection="1">
      <protection locked="0"/>
    </xf>
    <xf numFmtId="165" fontId="3" fillId="0" borderId="0" xfId="0" applyNumberFormat="1" applyFont="1" applyFill="1"/>
    <xf numFmtId="0" fontId="3" fillId="0" borderId="0" xfId="0" applyFont="1" applyFill="1" applyBorder="1"/>
    <xf numFmtId="0" fontId="3" fillId="0" borderId="0" xfId="0" applyFont="1" applyAlignment="1" applyProtection="1">
      <alignment horizontal="right"/>
      <protection locked="0"/>
    </xf>
    <xf numFmtId="165" fontId="3" fillId="0" borderId="0" xfId="0" applyNumberFormat="1" applyFont="1"/>
    <xf numFmtId="0" fontId="3" fillId="0" borderId="0" xfId="0" applyFont="1" applyAlignment="1">
      <alignment horizontal="right"/>
    </xf>
    <xf numFmtId="2" fontId="3" fillId="0" borderId="0" xfId="0" applyNumberFormat="1" applyFont="1"/>
    <xf numFmtId="166" fontId="3" fillId="0" borderId="0" xfId="0" applyNumberFormat="1" applyFont="1"/>
    <xf numFmtId="168" fontId="3" fillId="0" borderId="0" xfId="0" applyNumberFormat="1" applyFont="1"/>
    <xf numFmtId="0" fontId="3" fillId="0" borderId="0" xfId="0" applyNumberFormat="1" applyFont="1"/>
    <xf numFmtId="167" fontId="3" fillId="0" borderId="0" xfId="0" applyNumberFormat="1" applyFont="1"/>
    <xf numFmtId="16" fontId="3" fillId="0" borderId="0" xfId="0" applyNumberFormat="1" applyFont="1" applyFill="1" applyBorder="1" applyAlignment="1" applyProtection="1">
      <alignment horizontal="center" vertical="center"/>
    </xf>
    <xf numFmtId="16" fontId="3" fillId="0" borderId="0" xfId="0" applyNumberFormat="1" applyFont="1" applyFill="1" applyBorder="1" applyAlignment="1" applyProtection="1">
      <alignment horizontal="center" vertical="center" wrapText="1"/>
    </xf>
    <xf numFmtId="0" fontId="3" fillId="0" borderId="0" xfId="0" applyFont="1" applyAlignment="1">
      <alignment horizontal="center"/>
    </xf>
    <xf numFmtId="16" fontId="3" fillId="0" borderId="4" xfId="0" applyNumberFormat="1" applyFont="1" applyFill="1" applyBorder="1" applyAlignment="1" applyProtection="1">
      <alignment horizontal="center" vertical="center"/>
    </xf>
    <xf numFmtId="9" fontId="0" fillId="0" borderId="0" xfId="0" applyNumberFormat="1"/>
    <xf numFmtId="9" fontId="6" fillId="0" borderId="0" xfId="0" applyNumberFormat="1" applyFont="1" applyBorder="1" applyAlignment="1" applyProtection="1">
      <alignment horizontal="center" vertical="center"/>
    </xf>
    <xf numFmtId="9" fontId="16" fillId="0" borderId="0" xfId="0" applyNumberFormat="1" applyFont="1" applyBorder="1" applyAlignment="1" applyProtection="1">
      <alignment horizontal="center" vertical="center"/>
    </xf>
    <xf numFmtId="9" fontId="0" fillId="0" borderId="0" xfId="0" applyNumberFormat="1" applyBorder="1"/>
    <xf numFmtId="2" fontId="0" fillId="0" borderId="0" xfId="0" applyNumberFormat="1" applyBorder="1"/>
    <xf numFmtId="16" fontId="3" fillId="0" borderId="31" xfId="0" applyNumberFormat="1" applyFont="1" applyFill="1" applyBorder="1" applyAlignment="1" applyProtection="1">
      <alignment horizontal="center" vertical="center"/>
    </xf>
    <xf numFmtId="16" fontId="3" fillId="0" borderId="31" xfId="0" applyNumberFormat="1" applyFont="1" applyFill="1" applyBorder="1" applyAlignment="1" applyProtection="1">
      <alignment horizontal="center" vertical="center" wrapText="1"/>
    </xf>
    <xf numFmtId="0" fontId="3" fillId="0" borderId="31" xfId="0" applyFont="1" applyBorder="1"/>
    <xf numFmtId="0" fontId="14" fillId="0" borderId="0" xfId="0" applyFont="1" applyAlignment="1">
      <alignment horizontal="center" vertical="center"/>
    </xf>
    <xf numFmtId="171" fontId="18" fillId="0" borderId="19" xfId="6" applyFont="1" applyBorder="1"/>
    <xf numFmtId="171" fontId="18" fillId="0" borderId="26" xfId="6" applyFont="1" applyBorder="1"/>
    <xf numFmtId="171" fontId="66" fillId="0" borderId="26" xfId="6" applyFont="1" applyFill="1" applyBorder="1" applyAlignment="1">
      <alignment vertical="center"/>
    </xf>
    <xf numFmtId="171" fontId="67" fillId="0" borderId="26" xfId="6" applyFont="1" applyFill="1" applyBorder="1" applyAlignment="1">
      <alignment vertical="center"/>
    </xf>
    <xf numFmtId="171" fontId="67" fillId="0" borderId="32" xfId="6" applyFont="1" applyFill="1" applyBorder="1" applyAlignment="1">
      <alignment vertical="center"/>
    </xf>
    <xf numFmtId="171" fontId="67" fillId="0" borderId="15" xfId="6" applyFont="1" applyFill="1" applyBorder="1" applyAlignment="1">
      <alignment vertical="center"/>
    </xf>
    <xf numFmtId="171" fontId="18" fillId="0" borderId="0" xfId="6" applyFont="1"/>
    <xf numFmtId="171" fontId="18" fillId="0" borderId="29" xfId="6" applyFont="1" applyBorder="1"/>
    <xf numFmtId="171" fontId="18" fillId="0" borderId="27" xfId="6" applyFont="1" applyBorder="1"/>
    <xf numFmtId="171" fontId="68" fillId="0" borderId="15" xfId="6" applyFont="1" applyFill="1" applyBorder="1" applyAlignment="1">
      <alignment vertical="top"/>
    </xf>
    <xf numFmtId="171" fontId="18" fillId="0" borderId="52" xfId="6" applyFont="1" applyBorder="1"/>
    <xf numFmtId="171" fontId="18" fillId="0" borderId="47" xfId="6" applyFont="1" applyBorder="1"/>
    <xf numFmtId="171" fontId="68" fillId="0" borderId="52" xfId="6" applyFont="1" applyBorder="1" applyAlignment="1">
      <alignment vertical="top"/>
    </xf>
    <xf numFmtId="171" fontId="68" fillId="0" borderId="61" xfId="6" applyFont="1" applyBorder="1" applyAlignment="1">
      <alignment vertical="top"/>
    </xf>
    <xf numFmtId="171" fontId="68" fillId="0" borderId="47" xfId="6" applyFont="1" applyBorder="1" applyAlignment="1">
      <alignment vertical="top"/>
    </xf>
    <xf numFmtId="171" fontId="18" fillId="0" borderId="32" xfId="6" applyFont="1" applyBorder="1"/>
    <xf numFmtId="171" fontId="69" fillId="0" borderId="4" xfId="6" applyFont="1" applyBorder="1" applyAlignment="1" applyProtection="1">
      <alignment horizontal="right" vertical="center"/>
      <protection locked="0"/>
    </xf>
    <xf numFmtId="171" fontId="12" fillId="0" borderId="29" xfId="6" applyFont="1" applyFill="1" applyBorder="1" applyAlignment="1">
      <alignment vertical="center"/>
    </xf>
    <xf numFmtId="171" fontId="18" fillId="0" borderId="27" xfId="6" applyFont="1" applyBorder="1" applyAlignment="1"/>
    <xf numFmtId="171" fontId="18" fillId="0" borderId="27" xfId="6" applyFont="1" applyFill="1" applyBorder="1" applyAlignment="1">
      <alignment horizontal="right" vertical="center"/>
    </xf>
    <xf numFmtId="1" fontId="70" fillId="8" borderId="33" xfId="6" applyNumberFormat="1" applyFont="1" applyFill="1" applyBorder="1" applyAlignment="1" applyProtection="1">
      <alignment horizontal="left" vertical="center"/>
      <protection locked="0"/>
    </xf>
    <xf numFmtId="171" fontId="18" fillId="0" borderId="15" xfId="6" applyFont="1" applyFill="1" applyBorder="1"/>
    <xf numFmtId="171" fontId="53" fillId="0" borderId="4" xfId="6" applyFont="1" applyFill="1" applyBorder="1"/>
    <xf numFmtId="171" fontId="53" fillId="0" borderId="4" xfId="6" applyFont="1" applyFill="1" applyBorder="1" applyAlignment="1">
      <alignment horizontal="right"/>
    </xf>
    <xf numFmtId="171" fontId="53" fillId="9" borderId="4" xfId="6" applyFont="1" applyFill="1" applyBorder="1"/>
    <xf numFmtId="171" fontId="53" fillId="10" borderId="32" xfId="6" applyFont="1" applyFill="1" applyBorder="1"/>
    <xf numFmtId="0" fontId="53" fillId="9" borderId="32" xfId="6" applyNumberFormat="1" applyFont="1" applyFill="1" applyBorder="1"/>
    <xf numFmtId="171" fontId="53" fillId="0" borderId="32" xfId="6" applyFont="1" applyFill="1" applyBorder="1"/>
    <xf numFmtId="171" fontId="13" fillId="0" borderId="4" xfId="6" applyBorder="1"/>
    <xf numFmtId="171" fontId="53" fillId="9" borderId="32" xfId="6" applyFont="1" applyFill="1" applyBorder="1"/>
    <xf numFmtId="171" fontId="18" fillId="0" borderId="4" xfId="6" applyFont="1" applyBorder="1" applyAlignment="1">
      <alignment horizontal="center"/>
    </xf>
    <xf numFmtId="171" fontId="71" fillId="0" borderId="15" xfId="6" applyFont="1" applyFill="1" applyBorder="1" applyAlignment="1">
      <alignment vertical="center"/>
    </xf>
    <xf numFmtId="171" fontId="13" fillId="0" borderId="68" xfId="6" applyFont="1" applyBorder="1" applyAlignment="1">
      <alignment horizontal="left"/>
    </xf>
    <xf numFmtId="171" fontId="13" fillId="0" borderId="68" xfId="6" applyFont="1" applyBorder="1"/>
    <xf numFmtId="171" fontId="13" fillId="9" borderId="68" xfId="6" applyFont="1" applyFill="1" applyBorder="1" applyAlignment="1">
      <alignment horizontal="left"/>
    </xf>
    <xf numFmtId="0" fontId="13" fillId="9" borderId="68" xfId="6" applyNumberFormat="1" applyFont="1" applyFill="1" applyBorder="1"/>
    <xf numFmtId="0" fontId="13" fillId="10" borderId="68" xfId="6" applyNumberFormat="1" applyFont="1" applyFill="1" applyBorder="1"/>
    <xf numFmtId="0" fontId="13" fillId="0" borderId="68" xfId="6" applyNumberFormat="1" applyFont="1" applyBorder="1"/>
    <xf numFmtId="171" fontId="13" fillId="9" borderId="68" xfId="6" applyFont="1" applyFill="1" applyBorder="1"/>
    <xf numFmtId="171" fontId="13" fillId="0" borderId="68" xfId="6" applyBorder="1"/>
    <xf numFmtId="171" fontId="13" fillId="9" borderId="68" xfId="6" applyFill="1" applyBorder="1"/>
    <xf numFmtId="171" fontId="13" fillId="0" borderId="68" xfId="6" applyFill="1" applyBorder="1"/>
    <xf numFmtId="171" fontId="13" fillId="0" borderId="68" xfId="6" applyFont="1" applyFill="1" applyBorder="1"/>
    <xf numFmtId="171" fontId="69" fillId="0" borderId="4" xfId="6" applyFont="1" applyBorder="1" applyAlignment="1">
      <alignment horizontal="center"/>
    </xf>
    <xf numFmtId="171" fontId="18" fillId="7" borderId="15" xfId="6" applyFont="1" applyFill="1" applyBorder="1" applyAlignment="1">
      <alignment vertical="center"/>
    </xf>
    <xf numFmtId="171" fontId="72" fillId="7" borderId="69" xfId="6" applyFont="1" applyFill="1" applyBorder="1" applyAlignment="1">
      <alignment horizontal="right" vertical="center"/>
    </xf>
    <xf numFmtId="171" fontId="74" fillId="0" borderId="0" xfId="6" applyFont="1" applyFill="1" applyBorder="1" applyAlignment="1">
      <alignment vertical="center"/>
    </xf>
    <xf numFmtId="171" fontId="18" fillId="0" borderId="0" xfId="6" applyFont="1" applyBorder="1"/>
    <xf numFmtId="171" fontId="75" fillId="0" borderId="0" xfId="6" applyFont="1" applyFill="1" applyBorder="1" applyAlignment="1">
      <alignment horizontal="right" vertical="center"/>
    </xf>
    <xf numFmtId="171" fontId="18" fillId="0" borderId="55" xfId="6" applyFont="1" applyBorder="1"/>
    <xf numFmtId="171" fontId="13" fillId="0" borderId="70" xfId="6" applyFont="1" applyBorder="1" applyAlignment="1">
      <alignment horizontal="left"/>
    </xf>
    <xf numFmtId="171" fontId="13" fillId="0" borderId="70" xfId="6" applyFont="1" applyBorder="1"/>
    <xf numFmtId="171" fontId="13" fillId="9" borderId="70" xfId="6" applyFont="1" applyFill="1" applyBorder="1" applyAlignment="1">
      <alignment horizontal="left"/>
    </xf>
    <xf numFmtId="0" fontId="13" fillId="9" borderId="70" xfId="6" applyNumberFormat="1" applyFont="1" applyFill="1" applyBorder="1"/>
    <xf numFmtId="0" fontId="13" fillId="10" borderId="70" xfId="6" applyNumberFormat="1" applyFont="1" applyFill="1" applyBorder="1"/>
    <xf numFmtId="0" fontId="13" fillId="0" borderId="70" xfId="6" applyNumberFormat="1" applyFont="1" applyBorder="1"/>
    <xf numFmtId="171" fontId="13" fillId="9" borderId="70" xfId="6" applyFont="1" applyFill="1" applyBorder="1"/>
    <xf numFmtId="171" fontId="13" fillId="0" borderId="70" xfId="6" applyBorder="1"/>
    <xf numFmtId="171" fontId="69" fillId="0" borderId="70" xfId="6" applyFont="1" applyFill="1" applyBorder="1"/>
    <xf numFmtId="171" fontId="13" fillId="9" borderId="70" xfId="6" applyFill="1" applyBorder="1"/>
    <xf numFmtId="171" fontId="13" fillId="0" borderId="70" xfId="6" applyFill="1" applyBorder="1"/>
    <xf numFmtId="171" fontId="13" fillId="0" borderId="70" xfId="6" applyFont="1" applyFill="1" applyBorder="1"/>
    <xf numFmtId="171" fontId="18" fillId="7" borderId="71" xfId="6" applyFont="1" applyFill="1" applyBorder="1" applyAlignment="1">
      <alignment vertical="center"/>
    </xf>
    <xf numFmtId="171" fontId="72" fillId="7" borderId="72" xfId="6" applyFont="1" applyFill="1" applyBorder="1" applyAlignment="1">
      <alignment horizontal="right" vertical="center"/>
    </xf>
    <xf numFmtId="171" fontId="71" fillId="0" borderId="15" xfId="6" applyFont="1" applyFill="1" applyBorder="1" applyAlignment="1">
      <alignment horizontal="centerContinuous" vertical="center"/>
    </xf>
    <xf numFmtId="171" fontId="72" fillId="0" borderId="0" xfId="6" applyFont="1" applyFill="1" applyBorder="1" applyAlignment="1">
      <alignment horizontal="right" vertical="center"/>
    </xf>
    <xf numFmtId="171" fontId="74" fillId="0" borderId="15" xfId="6" applyFont="1" applyFill="1" applyBorder="1" applyAlignment="1">
      <alignment vertical="center"/>
    </xf>
    <xf numFmtId="171" fontId="13" fillId="0" borderId="70" xfId="3" applyFont="1" applyBorder="1"/>
    <xf numFmtId="171" fontId="18" fillId="0" borderId="70" xfId="6" applyFont="1" applyBorder="1"/>
    <xf numFmtId="4" fontId="13" fillId="0" borderId="70" xfId="6" applyNumberFormat="1" applyFont="1" applyBorder="1"/>
    <xf numFmtId="171" fontId="76" fillId="0" borderId="70" xfId="3" applyFont="1" applyBorder="1"/>
    <xf numFmtId="171" fontId="12" fillId="0" borderId="70" xfId="6" applyFont="1" applyBorder="1"/>
    <xf numFmtId="171" fontId="18" fillId="0" borderId="73" xfId="6" applyFont="1" applyBorder="1"/>
    <xf numFmtId="171" fontId="13" fillId="0" borderId="73" xfId="6" applyBorder="1"/>
    <xf numFmtId="171" fontId="76" fillId="0" borderId="73" xfId="3" applyFont="1" applyBorder="1"/>
    <xf numFmtId="171" fontId="13" fillId="0" borderId="73" xfId="6" applyFont="1" applyBorder="1"/>
    <xf numFmtId="0" fontId="13" fillId="0" borderId="73" xfId="6" applyNumberFormat="1" applyFont="1" applyBorder="1"/>
    <xf numFmtId="171" fontId="13" fillId="0" borderId="73" xfId="3" applyFont="1" applyBorder="1"/>
    <xf numFmtId="171" fontId="13" fillId="9" borderId="73" xfId="6" applyFont="1" applyFill="1" applyBorder="1"/>
    <xf numFmtId="171" fontId="13" fillId="0" borderId="73" xfId="6" applyFont="1" applyFill="1" applyBorder="1"/>
    <xf numFmtId="171" fontId="13" fillId="0" borderId="0" xfId="6" applyFont="1" applyFill="1" applyBorder="1" applyAlignment="1">
      <alignment horizontal="left"/>
    </xf>
    <xf numFmtId="171" fontId="69" fillId="0" borderId="4" xfId="6" applyFont="1" applyFill="1" applyBorder="1" applyAlignment="1">
      <alignment horizontal="center"/>
    </xf>
    <xf numFmtId="171" fontId="72" fillId="7" borderId="0" xfId="6" applyFont="1" applyFill="1" applyBorder="1" applyAlignment="1">
      <alignment horizontal="right" vertical="center"/>
    </xf>
    <xf numFmtId="171" fontId="18" fillId="0" borderId="15" xfId="6" applyFont="1" applyBorder="1"/>
    <xf numFmtId="171" fontId="70" fillId="0" borderId="0" xfId="6" applyFont="1" applyFill="1" applyBorder="1" applyAlignment="1">
      <alignment vertical="center"/>
    </xf>
    <xf numFmtId="171" fontId="73" fillId="0" borderId="0" xfId="6" applyFont="1" applyFill="1" applyBorder="1" applyAlignment="1">
      <alignment vertical="center"/>
    </xf>
    <xf numFmtId="171" fontId="70" fillId="0" borderId="0" xfId="6" applyFont="1" applyFill="1" applyBorder="1" applyAlignment="1">
      <alignment horizontal="center" vertical="center"/>
    </xf>
    <xf numFmtId="171" fontId="72" fillId="0" borderId="15" xfId="6" applyFont="1" applyFill="1" applyBorder="1" applyAlignment="1">
      <alignment horizontal="center" vertical="center" wrapText="1"/>
    </xf>
    <xf numFmtId="166" fontId="73" fillId="0" borderId="15" xfId="7" applyNumberFormat="1" applyFont="1" applyFill="1" applyBorder="1" applyAlignment="1" applyProtection="1">
      <alignment horizontal="center" vertical="center"/>
      <protection locked="0"/>
    </xf>
    <xf numFmtId="171" fontId="18" fillId="0" borderId="0" xfId="6" applyFont="1" applyBorder="1" applyAlignment="1">
      <alignment vertical="center"/>
    </xf>
    <xf numFmtId="164" fontId="18" fillId="0" borderId="0" xfId="6" applyNumberFormat="1" applyFont="1"/>
    <xf numFmtId="171" fontId="18" fillId="0" borderId="0" xfId="6" applyFont="1" applyAlignment="1">
      <alignment horizontal="right"/>
    </xf>
    <xf numFmtId="171" fontId="72" fillId="0" borderId="55" xfId="6" applyFont="1" applyFill="1" applyBorder="1" applyAlignment="1">
      <alignment horizontal="right" vertical="center"/>
    </xf>
    <xf numFmtId="171" fontId="13" fillId="0" borderId="0" xfId="8"/>
    <xf numFmtId="14" fontId="13" fillId="0" borderId="0" xfId="8" applyNumberFormat="1" applyAlignment="1">
      <alignment horizontal="left"/>
    </xf>
    <xf numFmtId="171" fontId="13" fillId="0" borderId="0" xfId="8" applyAlignment="1">
      <alignment wrapText="1"/>
    </xf>
    <xf numFmtId="171" fontId="13" fillId="0" borderId="0" xfId="8" applyAlignment="1">
      <alignment horizontal="center"/>
    </xf>
    <xf numFmtId="0" fontId="13" fillId="0" borderId="0" xfId="8" applyNumberFormat="1"/>
    <xf numFmtId="14" fontId="13" fillId="12" borderId="62" xfId="8" applyNumberFormat="1" applyFill="1" applyBorder="1" applyAlignment="1">
      <alignment horizontal="left"/>
    </xf>
    <xf numFmtId="0" fontId="13" fillId="0" borderId="0" xfId="8" applyNumberFormat="1" applyFill="1"/>
    <xf numFmtId="171" fontId="53" fillId="0" borderId="0" xfId="8" applyFont="1" applyFill="1" applyBorder="1" applyAlignment="1">
      <alignment wrapText="1"/>
    </xf>
    <xf numFmtId="14" fontId="13" fillId="12" borderId="66" xfId="8" applyNumberFormat="1" applyFill="1" applyBorder="1" applyAlignment="1">
      <alignment horizontal="left"/>
    </xf>
    <xf numFmtId="171" fontId="13" fillId="0" borderId="0" xfId="8" applyBorder="1"/>
    <xf numFmtId="14" fontId="13" fillId="12" borderId="77" xfId="8" applyNumberFormat="1" applyFill="1" applyBorder="1" applyAlignment="1">
      <alignment horizontal="left"/>
    </xf>
    <xf numFmtId="171" fontId="79" fillId="12" borderId="0" xfId="8" applyFont="1" applyFill="1"/>
    <xf numFmtId="49" fontId="12" fillId="8" borderId="34" xfId="8" applyNumberFormat="1" applyFont="1" applyFill="1" applyBorder="1" applyAlignment="1">
      <alignment horizontal="left"/>
    </xf>
    <xf numFmtId="171" fontId="12" fillId="8" borderId="2" xfId="8" applyFont="1" applyFill="1" applyBorder="1" applyAlignment="1">
      <alignment horizontal="center" wrapText="1"/>
    </xf>
    <xf numFmtId="171" fontId="12" fillId="8" borderId="2" xfId="8" applyFont="1" applyFill="1" applyBorder="1"/>
    <xf numFmtId="171" fontId="12" fillId="8" borderId="2" xfId="8" applyFont="1" applyFill="1" applyBorder="1" applyAlignment="1">
      <alignment horizontal="center"/>
    </xf>
    <xf numFmtId="171" fontId="12" fillId="8" borderId="3" xfId="8" applyFont="1" applyFill="1" applyBorder="1" applyAlignment="1">
      <alignment horizontal="center"/>
    </xf>
    <xf numFmtId="171" fontId="53" fillId="0" borderId="0" xfId="8" applyFont="1"/>
    <xf numFmtId="0" fontId="53" fillId="0" borderId="0" xfId="8" applyNumberFormat="1" applyFont="1"/>
    <xf numFmtId="49" fontId="13" fillId="8" borderId="0" xfId="8" applyNumberFormat="1" applyFont="1" applyFill="1" applyBorder="1"/>
    <xf numFmtId="171" fontId="13" fillId="8" borderId="83" xfId="8" applyFont="1" applyFill="1" applyBorder="1" applyAlignment="1">
      <alignment horizontal="left" wrapText="1"/>
    </xf>
    <xf numFmtId="171" fontId="13" fillId="8" borderId="83" xfId="8" applyFont="1" applyFill="1" applyBorder="1" applyAlignment="1">
      <alignment horizontal="centerContinuous"/>
    </xf>
    <xf numFmtId="171" fontId="13" fillId="8" borderId="84" xfId="8" applyFont="1" applyFill="1" applyBorder="1" applyAlignment="1">
      <alignment horizontal="centerContinuous"/>
    </xf>
    <xf numFmtId="49" fontId="13" fillId="8" borderId="7" xfId="8" applyNumberFormat="1" applyFont="1" applyFill="1" applyBorder="1" applyAlignment="1">
      <alignment horizontal="left" vertical="center"/>
    </xf>
    <xf numFmtId="171" fontId="13" fillId="8" borderId="14" xfId="8" applyFont="1" applyFill="1" applyBorder="1" applyAlignment="1">
      <alignment horizontal="center" vertical="center" wrapText="1"/>
    </xf>
    <xf numFmtId="0" fontId="13" fillId="8" borderId="0" xfId="8" applyNumberFormat="1" applyFont="1" applyFill="1" applyBorder="1"/>
    <xf numFmtId="49" fontId="13" fillId="8" borderId="66" xfId="8" quotePrefix="1" applyNumberFormat="1" applyFont="1" applyFill="1" applyBorder="1" applyAlignment="1">
      <alignment horizontal="left" vertical="center"/>
    </xf>
    <xf numFmtId="171" fontId="13" fillId="8" borderId="14" xfId="8" applyFont="1" applyFill="1" applyBorder="1" applyAlignment="1">
      <alignment wrapText="1"/>
    </xf>
    <xf numFmtId="49" fontId="13" fillId="8" borderId="66" xfId="8" quotePrefix="1" applyNumberFormat="1" applyFont="1" applyFill="1" applyBorder="1" applyAlignment="1">
      <alignment horizontal="left"/>
    </xf>
    <xf numFmtId="171" fontId="13" fillId="8" borderId="14" xfId="8" applyFont="1" applyFill="1" applyBorder="1" applyAlignment="1">
      <alignment horizontal="center" wrapText="1"/>
    </xf>
    <xf numFmtId="171" fontId="13" fillId="8" borderId="14" xfId="8" applyFont="1" applyFill="1" applyBorder="1"/>
    <xf numFmtId="171" fontId="13" fillId="8" borderId="14" xfId="8" applyFont="1" applyFill="1" applyBorder="1" applyAlignment="1">
      <alignment horizontal="center"/>
    </xf>
    <xf numFmtId="171" fontId="13" fillId="8" borderId="56" xfId="8" applyFont="1" applyFill="1" applyBorder="1" applyAlignment="1">
      <alignment horizontal="center"/>
    </xf>
    <xf numFmtId="49" fontId="12" fillId="8" borderId="66" xfId="8" quotePrefix="1" applyNumberFormat="1" applyFont="1" applyFill="1" applyBorder="1" applyAlignment="1">
      <alignment horizontal="left"/>
    </xf>
    <xf numFmtId="14" fontId="12" fillId="8" borderId="15" xfId="8" applyNumberFormat="1" applyFont="1" applyFill="1" applyBorder="1" applyAlignment="1">
      <alignment horizontal="centerContinuous"/>
    </xf>
    <xf numFmtId="14" fontId="12" fillId="8" borderId="18" xfId="8" applyNumberFormat="1" applyFont="1" applyFill="1" applyBorder="1" applyAlignment="1">
      <alignment horizontal="centerContinuous"/>
    </xf>
    <xf numFmtId="49" fontId="13" fillId="8" borderId="7" xfId="8" quotePrefix="1" applyNumberFormat="1" applyFont="1" applyFill="1" applyBorder="1" applyAlignment="1">
      <alignment horizontal="left"/>
    </xf>
    <xf numFmtId="171" fontId="13" fillId="8" borderId="18" xfId="8" applyFont="1" applyFill="1" applyBorder="1" applyAlignment="1">
      <alignment horizontal="center"/>
    </xf>
    <xf numFmtId="49" fontId="13" fillId="8" borderId="7" xfId="8" applyNumberFormat="1" applyFont="1" applyFill="1" applyBorder="1" applyAlignment="1">
      <alignment horizontal="left"/>
    </xf>
    <xf numFmtId="49" fontId="18" fillId="8" borderId="7" xfId="8" applyNumberFormat="1" applyFont="1" applyFill="1" applyBorder="1" applyAlignment="1">
      <alignment horizontal="left"/>
    </xf>
    <xf numFmtId="171" fontId="18" fillId="8" borderId="14" xfId="8" applyFont="1" applyFill="1" applyBorder="1" applyAlignment="1">
      <alignment horizontal="center" wrapText="1"/>
    </xf>
    <xf numFmtId="171" fontId="18" fillId="8" borderId="14" xfId="8" applyFont="1" applyFill="1" applyBorder="1"/>
    <xf numFmtId="171" fontId="18" fillId="8" borderId="14" xfId="8" applyFont="1" applyFill="1" applyBorder="1" applyAlignment="1">
      <alignment horizontal="center"/>
    </xf>
    <xf numFmtId="171" fontId="18" fillId="8" borderId="18" xfId="8" applyFont="1" applyFill="1" applyBorder="1" applyAlignment="1">
      <alignment horizontal="center"/>
    </xf>
    <xf numFmtId="171" fontId="13" fillId="0" borderId="0" xfId="8" applyAlignment="1">
      <alignment horizontal="right"/>
    </xf>
    <xf numFmtId="49" fontId="13" fillId="0" borderId="0" xfId="8" applyNumberFormat="1" applyFont="1" applyAlignment="1">
      <alignment horizontal="left"/>
    </xf>
    <xf numFmtId="171" fontId="13" fillId="0" borderId="0" xfId="8" applyFont="1" applyAlignment="1">
      <alignment wrapText="1"/>
    </xf>
    <xf numFmtId="171" fontId="13" fillId="0" borderId="0" xfId="8" applyFont="1"/>
    <xf numFmtId="171" fontId="13" fillId="0" borderId="0" xfId="8" applyFont="1" applyAlignment="1">
      <alignment horizontal="center"/>
    </xf>
    <xf numFmtId="0" fontId="13" fillId="0" borderId="0" xfId="8" applyNumberFormat="1" applyFont="1"/>
    <xf numFmtId="49" fontId="13" fillId="0" borderId="0" xfId="8" applyNumberFormat="1" applyAlignment="1">
      <alignment horizontal="left"/>
    </xf>
    <xf numFmtId="171" fontId="13" fillId="8" borderId="14" xfId="8" applyFont="1" applyFill="1" applyBorder="1" applyAlignment="1">
      <alignment horizontal="left" wrapText="1"/>
    </xf>
    <xf numFmtId="49" fontId="13" fillId="8" borderId="82" xfId="8" applyNumberFormat="1" applyFont="1" applyFill="1" applyBorder="1" applyAlignment="1">
      <alignment horizontal="left" vertical="top"/>
    </xf>
    <xf numFmtId="171" fontId="13" fillId="8" borderId="83" xfId="8" applyFont="1" applyFill="1" applyBorder="1" applyAlignment="1">
      <alignment horizontal="left" vertical="top" wrapText="1"/>
    </xf>
    <xf numFmtId="171" fontId="13" fillId="8" borderId="14" xfId="8" applyFont="1" applyFill="1" applyBorder="1" applyAlignment="1">
      <alignment horizontal="center" vertical="center"/>
    </xf>
    <xf numFmtId="171" fontId="13" fillId="8" borderId="56" xfId="8" applyFont="1" applyFill="1" applyBorder="1" applyAlignment="1">
      <alignment horizontal="center" vertical="center"/>
    </xf>
    <xf numFmtId="49" fontId="13" fillId="8" borderId="66" xfId="8" applyNumberFormat="1" applyFont="1" applyFill="1" applyBorder="1" applyAlignment="1">
      <alignment horizontal="left" vertical="center"/>
    </xf>
    <xf numFmtId="49" fontId="12" fillId="8" borderId="66" xfId="8" applyNumberFormat="1" applyFont="1" applyFill="1" applyBorder="1" applyAlignment="1">
      <alignment horizontal="left"/>
    </xf>
    <xf numFmtId="14" fontId="13" fillId="8" borderId="14" xfId="8" applyNumberFormat="1" applyFont="1" applyFill="1" applyBorder="1" applyAlignment="1">
      <alignment horizontal="center"/>
    </xf>
    <xf numFmtId="14" fontId="13" fillId="8" borderId="14" xfId="8" applyNumberFormat="1" applyFont="1" applyFill="1" applyBorder="1" applyAlignment="1">
      <alignment horizontal="left"/>
    </xf>
    <xf numFmtId="171" fontId="13" fillId="8" borderId="14" xfId="8" applyFont="1" applyFill="1" applyBorder="1" applyAlignment="1">
      <alignment horizontal="centerContinuous"/>
    </xf>
    <xf numFmtId="171" fontId="13" fillId="8" borderId="18" xfId="8" applyFont="1" applyFill="1" applyBorder="1" applyAlignment="1">
      <alignment horizontal="centerContinuous"/>
    </xf>
    <xf numFmtId="173" fontId="56" fillId="0" borderId="0" xfId="2" applyNumberFormat="1" applyFont="1" applyFill="1" applyBorder="1" applyAlignment="1">
      <alignment vertical="center"/>
    </xf>
    <xf numFmtId="0" fontId="82" fillId="13" borderId="58" xfId="0" applyFont="1" applyFill="1" applyBorder="1" applyAlignment="1">
      <alignment vertical="center"/>
    </xf>
    <xf numFmtId="0" fontId="83" fillId="13" borderId="0" xfId="0" applyFont="1" applyFill="1" applyAlignment="1">
      <alignment vertical="center"/>
    </xf>
    <xf numFmtId="0" fontId="82" fillId="13" borderId="58" xfId="0" applyFont="1" applyFill="1" applyBorder="1" applyAlignment="1">
      <alignment horizontal="center" vertical="center"/>
    </xf>
    <xf numFmtId="0" fontId="0" fillId="0" borderId="69" xfId="0" applyBorder="1" applyAlignment="1">
      <alignment vertical="center"/>
    </xf>
    <xf numFmtId="0" fontId="0" fillId="0" borderId="86" xfId="0" applyBorder="1" applyAlignment="1">
      <alignment vertical="center"/>
    </xf>
    <xf numFmtId="0" fontId="0" fillId="0" borderId="68" xfId="0" applyBorder="1" applyAlignment="1">
      <alignment horizontal="right" vertical="center"/>
    </xf>
    <xf numFmtId="0" fontId="0" fillId="0" borderId="72" xfId="0" applyBorder="1" applyAlignment="1">
      <alignment vertical="center"/>
    </xf>
    <xf numFmtId="0" fontId="0" fillId="0" borderId="88" xfId="0" applyBorder="1" applyAlignment="1">
      <alignment horizontal="right" vertical="center"/>
    </xf>
    <xf numFmtId="166" fontId="0" fillId="0" borderId="70" xfId="0" applyNumberFormat="1" applyBorder="1" applyAlignment="1">
      <alignment vertical="center"/>
    </xf>
    <xf numFmtId="166" fontId="0" fillId="5" borderId="70" xfId="0" applyNumberFormat="1" applyFill="1" applyBorder="1" applyAlignment="1">
      <alignment vertical="center"/>
    </xf>
    <xf numFmtId="3" fontId="0" fillId="0" borderId="70" xfId="0" applyNumberFormat="1" applyBorder="1" applyAlignment="1">
      <alignment vertical="center"/>
    </xf>
    <xf numFmtId="2" fontId="0" fillId="0" borderId="70" xfId="0" applyNumberFormat="1" applyBorder="1" applyAlignment="1">
      <alignment vertical="center"/>
    </xf>
    <xf numFmtId="2" fontId="0" fillId="5" borderId="70" xfId="0" applyNumberFormat="1" applyFill="1" applyBorder="1" applyAlignment="1">
      <alignment vertical="center"/>
    </xf>
    <xf numFmtId="0" fontId="0" fillId="0" borderId="74" xfId="0" applyBorder="1" applyAlignment="1">
      <alignment vertical="center"/>
    </xf>
    <xf numFmtId="0" fontId="0" fillId="0" borderId="90" xfId="0" applyBorder="1" applyAlignment="1">
      <alignment vertical="center"/>
    </xf>
    <xf numFmtId="165" fontId="0" fillId="0" borderId="73" xfId="0" applyNumberFormat="1" applyBorder="1" applyAlignment="1">
      <alignment vertical="center"/>
    </xf>
    <xf numFmtId="0" fontId="0" fillId="0" borderId="87" xfId="0" applyBorder="1" applyAlignment="1">
      <alignment horizontal="right" vertical="center"/>
    </xf>
    <xf numFmtId="3" fontId="0" fillId="0" borderId="68" xfId="0" applyNumberFormat="1" applyBorder="1" applyAlignment="1">
      <alignment vertical="center"/>
    </xf>
    <xf numFmtId="165" fontId="0" fillId="0" borderId="70" xfId="0" applyNumberFormat="1" applyBorder="1" applyAlignment="1">
      <alignment vertical="center"/>
    </xf>
    <xf numFmtId="165" fontId="0" fillId="5" borderId="70" xfId="0" applyNumberFormat="1" applyFill="1" applyBorder="1" applyAlignment="1">
      <alignment vertical="center"/>
    </xf>
    <xf numFmtId="164" fontId="0" fillId="0" borderId="70" xfId="0" applyNumberFormat="1" applyBorder="1" applyAlignment="1">
      <alignment vertical="center"/>
    </xf>
    <xf numFmtId="164" fontId="0" fillId="5" borderId="70" xfId="0" applyNumberFormat="1" applyFill="1" applyBorder="1" applyAlignment="1">
      <alignment vertical="center"/>
    </xf>
    <xf numFmtId="0" fontId="0" fillId="0" borderId="76" xfId="0" applyBorder="1" applyAlignment="1">
      <alignment horizontal="right" vertical="center"/>
    </xf>
    <xf numFmtId="165" fontId="0" fillId="5" borderId="73" xfId="0" applyNumberFormat="1" applyFill="1" applyBorder="1" applyAlignment="1">
      <alignment vertical="center"/>
    </xf>
    <xf numFmtId="165" fontId="0" fillId="0" borderId="73" xfId="0" applyNumberFormat="1" applyFill="1" applyBorder="1" applyAlignment="1">
      <alignment vertical="center"/>
    </xf>
    <xf numFmtId="2" fontId="0" fillId="0" borderId="73" xfId="0" applyNumberFormat="1" applyBorder="1" applyAlignment="1">
      <alignment vertical="center"/>
    </xf>
    <xf numFmtId="0" fontId="0" fillId="0" borderId="69" xfId="0" applyBorder="1"/>
    <xf numFmtId="0" fontId="0" fillId="0" borderId="68" xfId="0" applyBorder="1" applyAlignment="1">
      <alignment horizontal="center" vertical="center"/>
    </xf>
    <xf numFmtId="2" fontId="0" fillId="0" borderId="68" xfId="0" applyNumberFormat="1" applyBorder="1" applyAlignment="1">
      <alignment vertical="center"/>
    </xf>
    <xf numFmtId="166" fontId="0" fillId="0" borderId="68" xfId="0" applyNumberFormat="1" applyBorder="1" applyAlignment="1">
      <alignment vertical="center"/>
    </xf>
    <xf numFmtId="0" fontId="0" fillId="0" borderId="72" xfId="0" applyBorder="1"/>
    <xf numFmtId="0" fontId="0" fillId="0" borderId="70" xfId="0" applyBorder="1" applyAlignment="1">
      <alignment horizontal="center" vertical="center"/>
    </xf>
    <xf numFmtId="0" fontId="0" fillId="3" borderId="72" xfId="0" applyFill="1" applyBorder="1"/>
    <xf numFmtId="0" fontId="0" fillId="6" borderId="72" xfId="0" applyFill="1" applyBorder="1"/>
    <xf numFmtId="0" fontId="0" fillId="6" borderId="74" xfId="0" applyFill="1" applyBorder="1"/>
    <xf numFmtId="0" fontId="0" fillId="0" borderId="74" xfId="0" applyBorder="1"/>
    <xf numFmtId="0" fontId="47" fillId="0" borderId="4" xfId="0" applyFont="1" applyBorder="1" applyAlignment="1">
      <alignment horizontal="center" vertical="center" wrapText="1"/>
    </xf>
    <xf numFmtId="0" fontId="47" fillId="0" borderId="4" xfId="0" applyFont="1" applyBorder="1" applyAlignment="1">
      <alignment horizontal="center" vertical="center"/>
    </xf>
    <xf numFmtId="0" fontId="0" fillId="0" borderId="91" xfId="0" applyBorder="1" applyAlignment="1">
      <alignment horizontal="center" vertical="center"/>
    </xf>
    <xf numFmtId="2" fontId="0" fillId="0" borderId="91" xfId="0" applyNumberFormat="1" applyBorder="1" applyAlignment="1">
      <alignment vertical="center"/>
    </xf>
    <xf numFmtId="166" fontId="0" fillId="0" borderId="91" xfId="0" applyNumberFormat="1" applyBorder="1" applyAlignment="1">
      <alignment vertical="center"/>
    </xf>
    <xf numFmtId="0" fontId="0" fillId="0" borderId="75" xfId="0" applyBorder="1" applyAlignment="1">
      <alignment horizontal="center" vertical="center"/>
    </xf>
    <xf numFmtId="2" fontId="0" fillId="0" borderId="75" xfId="0" applyNumberFormat="1" applyBorder="1" applyAlignment="1">
      <alignment vertical="center"/>
    </xf>
    <xf numFmtId="166" fontId="0" fillId="0" borderId="75" xfId="0" applyNumberFormat="1" applyBorder="1" applyAlignment="1">
      <alignment vertical="center"/>
    </xf>
    <xf numFmtId="0" fontId="0" fillId="12" borderId="0" xfId="0" applyFill="1" applyProtection="1"/>
    <xf numFmtId="49" fontId="18" fillId="12" borderId="0" xfId="0" applyNumberFormat="1" applyFont="1" applyFill="1" applyBorder="1" applyAlignment="1" applyProtection="1">
      <alignment horizontal="right" vertical="center"/>
    </xf>
    <xf numFmtId="1" fontId="84" fillId="14" borderId="0" xfId="0" applyNumberFormat="1" applyFont="1" applyFill="1" applyBorder="1" applyAlignment="1" applyProtection="1">
      <alignment horizontal="right" vertical="center"/>
    </xf>
    <xf numFmtId="0" fontId="6" fillId="7" borderId="62" xfId="0" applyFont="1" applyFill="1" applyBorder="1" applyAlignment="1" applyProtection="1"/>
    <xf numFmtId="0" fontId="6" fillId="7" borderId="63" xfId="0" applyFont="1" applyFill="1" applyBorder="1" applyAlignment="1" applyProtection="1"/>
    <xf numFmtId="171" fontId="43" fillId="12" borderId="92" xfId="12" applyFont="1" applyFill="1" applyBorder="1" applyAlignment="1" applyProtection="1">
      <alignment horizontal="center"/>
    </xf>
    <xf numFmtId="177" fontId="53" fillId="12" borderId="66" xfId="0" applyNumberFormat="1" applyFont="1" applyFill="1" applyBorder="1" applyAlignment="1" applyProtection="1">
      <alignment vertical="center"/>
    </xf>
    <xf numFmtId="177" fontId="53" fillId="12" borderId="0" xfId="0" applyNumberFormat="1" applyFont="1" applyFill="1" applyBorder="1" applyAlignment="1" applyProtection="1">
      <alignment vertical="center"/>
    </xf>
    <xf numFmtId="178" fontId="86" fillId="12" borderId="0" xfId="13" applyFont="1" applyFill="1" applyBorder="1" applyAlignment="1" applyProtection="1">
      <alignment horizontal="right" vertical="center"/>
    </xf>
    <xf numFmtId="171" fontId="43" fillId="12" borderId="93" xfId="12" applyFont="1" applyFill="1" applyBorder="1" applyAlignment="1" applyProtection="1">
      <alignment horizontal="center"/>
    </xf>
    <xf numFmtId="14" fontId="43" fillId="12" borderId="93" xfId="12" quotePrefix="1" applyNumberFormat="1" applyFont="1" applyFill="1" applyBorder="1" applyAlignment="1" applyProtection="1">
      <alignment horizontal="center"/>
    </xf>
    <xf numFmtId="0" fontId="62" fillId="12" borderId="77" xfId="14" applyFont="1" applyFill="1" applyBorder="1" applyAlignment="1" applyProtection="1">
      <alignment vertical="center"/>
    </xf>
    <xf numFmtId="0" fontId="62" fillId="12" borderId="0" xfId="14" applyFont="1" applyFill="1" applyBorder="1" applyAlignment="1" applyProtection="1">
      <alignment vertical="center"/>
    </xf>
    <xf numFmtId="171" fontId="43" fillId="12" borderId="94" xfId="12" applyFont="1" applyFill="1" applyBorder="1" applyAlignment="1" applyProtection="1">
      <alignment horizontal="center"/>
    </xf>
    <xf numFmtId="0" fontId="6" fillId="7" borderId="0" xfId="0" applyFont="1" applyFill="1" applyBorder="1" applyAlignment="1" applyProtection="1">
      <alignment vertical="center"/>
    </xf>
    <xf numFmtId="0" fontId="6" fillId="7" borderId="61" xfId="0" applyFont="1" applyFill="1" applyBorder="1" applyAlignment="1" applyProtection="1">
      <alignment vertical="center"/>
    </xf>
    <xf numFmtId="0" fontId="6" fillId="7" borderId="63" xfId="0" applyFont="1" applyFill="1" applyBorder="1" applyAlignment="1" applyProtection="1">
      <alignment horizontal="center" vertical="center"/>
    </xf>
    <xf numFmtId="0" fontId="6" fillId="7" borderId="0" xfId="0" applyFont="1" applyFill="1" applyBorder="1" applyAlignment="1" applyProtection="1">
      <alignment horizontal="center" vertical="center"/>
    </xf>
    <xf numFmtId="0" fontId="0" fillId="0" borderId="63" xfId="0" applyBorder="1" applyAlignment="1">
      <alignment vertical="center"/>
    </xf>
    <xf numFmtId="0" fontId="0" fillId="3" borderId="29" xfId="0" applyFill="1" applyBorder="1" applyAlignment="1">
      <alignment vertical="center"/>
    </xf>
    <xf numFmtId="0" fontId="0" fillId="3" borderId="27" xfId="0" applyFill="1" applyBorder="1" applyAlignment="1">
      <alignment vertical="center"/>
    </xf>
    <xf numFmtId="0" fontId="0" fillId="3" borderId="33" xfId="0" applyFill="1" applyBorder="1" applyAlignment="1">
      <alignment vertical="center"/>
    </xf>
    <xf numFmtId="0" fontId="0" fillId="12" borderId="63" xfId="0" applyFill="1" applyBorder="1" applyProtection="1"/>
    <xf numFmtId="49" fontId="18" fillId="12" borderId="63" xfId="0" applyNumberFormat="1" applyFont="1" applyFill="1" applyBorder="1" applyAlignment="1" applyProtection="1">
      <alignment horizontal="right" vertical="center"/>
    </xf>
    <xf numFmtId="1" fontId="84" fillId="14" borderId="63" xfId="0" applyNumberFormat="1" applyFont="1" applyFill="1" applyBorder="1" applyAlignment="1" applyProtection="1">
      <alignment horizontal="right" vertical="center"/>
    </xf>
    <xf numFmtId="1" fontId="84" fillId="14" borderId="11" xfId="0" applyNumberFormat="1" applyFont="1" applyFill="1" applyBorder="1" applyAlignment="1" applyProtection="1">
      <alignment horizontal="right" vertical="center"/>
    </xf>
    <xf numFmtId="0" fontId="47" fillId="0" borderId="5" xfId="0" applyFont="1" applyBorder="1" applyAlignment="1">
      <alignment horizontal="center" vertical="center" wrapText="1"/>
    </xf>
    <xf numFmtId="0" fontId="42" fillId="0" borderId="5" xfId="0" applyFont="1" applyBorder="1" applyAlignment="1">
      <alignment horizontal="center" vertical="center"/>
    </xf>
    <xf numFmtId="0" fontId="0" fillId="0" borderId="98" xfId="0" applyBorder="1" applyAlignment="1">
      <alignment horizontal="right" vertical="center"/>
    </xf>
    <xf numFmtId="166" fontId="0" fillId="0" borderId="100" xfId="0" applyNumberFormat="1" applyBorder="1" applyAlignment="1">
      <alignment vertical="center"/>
    </xf>
    <xf numFmtId="3" fontId="0" fillId="0" borderId="100" xfId="0" applyNumberFormat="1" applyBorder="1" applyAlignment="1">
      <alignment vertical="center"/>
    </xf>
    <xf numFmtId="2" fontId="0" fillId="0" borderId="100" xfId="0" applyNumberFormat="1" applyBorder="1" applyAlignment="1">
      <alignment vertical="center"/>
    </xf>
    <xf numFmtId="165" fontId="0" fillId="0" borderId="101" xfId="0" applyNumberFormat="1" applyBorder="1" applyAlignment="1">
      <alignment vertical="center"/>
    </xf>
    <xf numFmtId="3" fontId="0" fillId="0" borderId="98" xfId="0" applyNumberFormat="1" applyBorder="1" applyAlignment="1">
      <alignment vertical="center"/>
    </xf>
    <xf numFmtId="165" fontId="0" fillId="0" borderId="100" xfId="0" applyNumberFormat="1" applyBorder="1" applyAlignment="1">
      <alignment vertical="center"/>
    </xf>
    <xf numFmtId="164" fontId="0" fillId="0" borderId="100" xfId="0" applyNumberFormat="1" applyBorder="1" applyAlignment="1">
      <alignment vertical="center"/>
    </xf>
    <xf numFmtId="2" fontId="0" fillId="0" borderId="101" xfId="0" applyNumberFormat="1" applyBorder="1" applyAlignment="1">
      <alignment vertical="center"/>
    </xf>
    <xf numFmtId="0" fontId="82" fillId="13" borderId="102" xfId="0" applyFont="1" applyFill="1" applyBorder="1" applyAlignment="1">
      <alignment vertical="center"/>
    </xf>
    <xf numFmtId="0" fontId="0" fillId="0" borderId="103" xfId="0" applyBorder="1" applyAlignment="1">
      <alignment horizontal="center" vertical="center"/>
    </xf>
    <xf numFmtId="2" fontId="0" fillId="0" borderId="103" xfId="0" applyNumberFormat="1" applyBorder="1" applyAlignment="1">
      <alignment vertical="center"/>
    </xf>
    <xf numFmtId="166" fontId="0" fillId="0" borderId="103" xfId="0" applyNumberFormat="1" applyBorder="1" applyAlignment="1">
      <alignment vertical="center"/>
    </xf>
    <xf numFmtId="3" fontId="0" fillId="0" borderId="103" xfId="0" applyNumberFormat="1" applyBorder="1" applyAlignment="1">
      <alignment vertical="center"/>
    </xf>
    <xf numFmtId="3" fontId="0" fillId="0" borderId="104" xfId="0" applyNumberFormat="1" applyBorder="1" applyAlignment="1">
      <alignment vertical="center"/>
    </xf>
    <xf numFmtId="0" fontId="0" fillId="12" borderId="62" xfId="0" applyFill="1" applyBorder="1" applyProtection="1"/>
    <xf numFmtId="169" fontId="0" fillId="0" borderId="99" xfId="0" applyNumberFormat="1" applyBorder="1" applyAlignment="1">
      <alignment vertical="center"/>
    </xf>
    <xf numFmtId="169" fontId="0" fillId="0" borderId="105" xfId="0" applyNumberFormat="1" applyBorder="1" applyAlignment="1">
      <alignment vertical="center"/>
    </xf>
    <xf numFmtId="169" fontId="0" fillId="0" borderId="106" xfId="0" applyNumberFormat="1" applyBorder="1" applyAlignment="1">
      <alignment vertical="center"/>
    </xf>
    <xf numFmtId="169" fontId="82" fillId="13" borderId="79" xfId="0" applyNumberFormat="1" applyFont="1" applyFill="1" applyBorder="1" applyAlignment="1">
      <alignment vertical="center"/>
    </xf>
    <xf numFmtId="0" fontId="0" fillId="0" borderId="107" xfId="0" applyBorder="1" applyAlignment="1">
      <alignment horizontal="left" vertical="center" indent="2"/>
    </xf>
    <xf numFmtId="0" fontId="0" fillId="0" borderId="108" xfId="0" applyBorder="1" applyAlignment="1">
      <alignment horizontal="left" vertical="center" indent="2"/>
    </xf>
    <xf numFmtId="0" fontId="0" fillId="0" borderId="109" xfId="0" applyBorder="1" applyAlignment="1">
      <alignment horizontal="left" vertical="center" indent="2"/>
    </xf>
    <xf numFmtId="0" fontId="0" fillId="0" borderId="110" xfId="0" applyBorder="1" applyAlignment="1">
      <alignment horizontal="left" vertical="center" indent="2"/>
    </xf>
    <xf numFmtId="0" fontId="0" fillId="0" borderId="111" xfId="0" applyBorder="1" applyAlignment="1">
      <alignment horizontal="left" vertical="center" indent="2"/>
    </xf>
    <xf numFmtId="0" fontId="1" fillId="0" borderId="63" xfId="2" applyBorder="1"/>
    <xf numFmtId="0" fontId="1" fillId="0" borderId="63" xfId="2" applyFill="1" applyBorder="1" applyAlignment="1">
      <alignment vertical="center"/>
    </xf>
    <xf numFmtId="0" fontId="1" fillId="0" borderId="63" xfId="2" applyBorder="1" applyAlignment="1">
      <alignment vertical="center"/>
    </xf>
    <xf numFmtId="0" fontId="1" fillId="0" borderId="11" xfId="2" applyBorder="1" applyAlignment="1">
      <alignment vertical="center"/>
    </xf>
    <xf numFmtId="0" fontId="1" fillId="0" borderId="56" xfId="2" applyBorder="1"/>
    <xf numFmtId="0" fontId="1" fillId="0" borderId="56" xfId="2" applyFill="1" applyBorder="1"/>
    <xf numFmtId="0" fontId="1" fillId="0" borderId="56" xfId="2" applyFill="1" applyBorder="1" applyAlignment="1">
      <alignment vertical="center"/>
    </xf>
    <xf numFmtId="0" fontId="49" fillId="0" borderId="56" xfId="2" applyFont="1" applyFill="1" applyBorder="1" applyAlignment="1">
      <alignment vertical="center"/>
    </xf>
    <xf numFmtId="0" fontId="1" fillId="0" borderId="66" xfId="2" applyFill="1" applyBorder="1" applyAlignment="1">
      <alignment vertical="center"/>
    </xf>
    <xf numFmtId="0" fontId="49" fillId="0" borderId="56" xfId="2" applyFont="1" applyBorder="1" applyAlignment="1">
      <alignment vertical="center"/>
    </xf>
    <xf numFmtId="0" fontId="1" fillId="0" borderId="56" xfId="2" applyBorder="1" applyAlignment="1">
      <alignment vertical="center"/>
    </xf>
    <xf numFmtId="0" fontId="1" fillId="0" borderId="64" xfId="2" applyFill="1" applyBorder="1" applyAlignment="1">
      <alignment vertical="center"/>
    </xf>
    <xf numFmtId="0" fontId="1" fillId="0" borderId="65" xfId="2" applyFill="1" applyBorder="1" applyAlignment="1">
      <alignment vertical="center"/>
    </xf>
    <xf numFmtId="0" fontId="56" fillId="0" borderId="65" xfId="2" applyFont="1" applyFill="1" applyBorder="1" applyAlignment="1">
      <alignment vertical="center"/>
    </xf>
    <xf numFmtId="0" fontId="1" fillId="0" borderId="65" xfId="2" applyBorder="1"/>
    <xf numFmtId="0" fontId="1" fillId="0" borderId="65" xfId="2" applyFill="1" applyBorder="1" applyAlignment="1">
      <alignment horizontal="center" vertical="center"/>
    </xf>
    <xf numFmtId="0" fontId="1" fillId="0" borderId="65" xfId="2" applyBorder="1" applyAlignment="1">
      <alignment vertical="center"/>
    </xf>
    <xf numFmtId="0" fontId="1" fillId="0" borderId="46" xfId="2" applyBorder="1" applyAlignment="1">
      <alignment vertical="center"/>
    </xf>
    <xf numFmtId="0" fontId="8" fillId="0" borderId="66" xfId="0" applyFont="1" applyBorder="1" applyAlignment="1">
      <alignment vertical="center"/>
    </xf>
    <xf numFmtId="0" fontId="8" fillId="0" borderId="0" xfId="0" applyFont="1" applyBorder="1" applyAlignment="1">
      <alignment vertical="center"/>
    </xf>
    <xf numFmtId="0" fontId="89" fillId="13" borderId="26" xfId="0" applyFont="1" applyFill="1" applyBorder="1" applyAlignment="1" applyProtection="1">
      <alignment horizontal="center" vertical="center"/>
    </xf>
    <xf numFmtId="16" fontId="89" fillId="13" borderId="26" xfId="0" applyNumberFormat="1" applyFont="1" applyFill="1" applyBorder="1" applyAlignment="1" applyProtection="1">
      <alignment horizontal="center" vertical="center" wrapText="1"/>
    </xf>
    <xf numFmtId="0" fontId="0" fillId="13" borderId="26" xfId="0" applyFill="1" applyBorder="1"/>
    <xf numFmtId="0" fontId="0" fillId="13" borderId="32" xfId="0" applyFill="1" applyBorder="1"/>
    <xf numFmtId="4" fontId="16" fillId="13" borderId="26" xfId="11" applyNumberFormat="1" applyFont="1" applyFill="1" applyBorder="1" applyAlignment="1" applyProtection="1">
      <alignment horizontal="center" vertical="center"/>
    </xf>
    <xf numFmtId="0" fontId="3" fillId="0" borderId="2" xfId="0" applyFont="1" applyFill="1" applyBorder="1" applyAlignment="1" applyProtection="1">
      <alignment horizontal="center" vertical="center"/>
    </xf>
    <xf numFmtId="0" fontId="3" fillId="0" borderId="31" xfId="0" applyFont="1" applyFill="1" applyBorder="1" applyAlignment="1" applyProtection="1">
      <alignment horizontal="center" vertical="center"/>
    </xf>
    <xf numFmtId="4" fontId="5" fillId="8" borderId="2" xfId="11" quotePrefix="1" applyNumberFormat="1" applyFont="1" applyFill="1" applyBorder="1" applyAlignment="1" applyProtection="1">
      <alignment horizontal="center" vertical="center"/>
    </xf>
    <xf numFmtId="4" fontId="5" fillId="8" borderId="14" xfId="11" quotePrefix="1" applyNumberFormat="1" applyFont="1" applyFill="1" applyBorder="1" applyAlignment="1" applyProtection="1">
      <alignment horizontal="center" vertical="center"/>
    </xf>
    <xf numFmtId="3" fontId="5" fillId="8" borderId="14" xfId="11" quotePrefix="1" applyNumberFormat="1" applyFont="1" applyFill="1" applyBorder="1" applyAlignment="1" applyProtection="1">
      <alignment horizontal="center" vertical="center"/>
    </xf>
    <xf numFmtId="4" fontId="3" fillId="0" borderId="14" xfId="11" applyNumberFormat="1" applyFont="1" applyFill="1" applyBorder="1" applyAlignment="1" applyProtection="1">
      <alignment horizontal="center" vertical="center"/>
    </xf>
    <xf numFmtId="4" fontId="3" fillId="0" borderId="14" xfId="11" quotePrefix="1" applyNumberFormat="1" applyFont="1" applyFill="1" applyBorder="1" applyAlignment="1" applyProtection="1">
      <alignment horizontal="center" vertical="center"/>
    </xf>
    <xf numFmtId="4" fontId="3" fillId="0" borderId="31" xfId="11" applyNumberFormat="1" applyFont="1" applyFill="1" applyBorder="1" applyAlignment="1" applyProtection="1">
      <alignment horizontal="center" vertical="center"/>
    </xf>
    <xf numFmtId="4" fontId="5" fillId="8" borderId="2" xfId="11" applyNumberFormat="1" applyFont="1" applyFill="1" applyBorder="1" applyAlignment="1" applyProtection="1">
      <alignment horizontal="center" vertical="center"/>
    </xf>
    <xf numFmtId="4" fontId="5" fillId="8" borderId="14" xfId="11" applyNumberFormat="1" applyFont="1" applyFill="1" applyBorder="1" applyAlignment="1" applyProtection="1">
      <alignment horizontal="center" vertical="center"/>
    </xf>
    <xf numFmtId="3" fontId="5" fillId="8" borderId="14" xfId="11" applyNumberFormat="1" applyFont="1" applyFill="1" applyBorder="1" applyAlignment="1" applyProtection="1">
      <alignment horizontal="center" vertical="center"/>
    </xf>
    <xf numFmtId="4" fontId="25" fillId="0" borderId="70" xfId="11" applyNumberFormat="1" applyFont="1" applyFill="1" applyBorder="1" applyAlignment="1" applyProtection="1">
      <alignment horizontal="center" vertical="top"/>
    </xf>
    <xf numFmtId="4" fontId="25" fillId="0" borderId="73" xfId="11" applyNumberFormat="1" applyFont="1" applyFill="1" applyBorder="1" applyAlignment="1" applyProtection="1">
      <alignment horizontal="center" vertical="top"/>
    </xf>
    <xf numFmtId="171" fontId="43" fillId="12" borderId="92" xfId="12" applyFont="1" applyFill="1" applyBorder="1" applyAlignment="1" applyProtection="1">
      <alignment horizontal="center"/>
    </xf>
    <xf numFmtId="0" fontId="12" fillId="0" borderId="10" xfId="0" applyFont="1" applyBorder="1"/>
    <xf numFmtId="0" fontId="0" fillId="0" borderId="63" xfId="0" applyFill="1" applyBorder="1"/>
    <xf numFmtId="0" fontId="3" fillId="0" borderId="63" xfId="0" applyFont="1" applyBorder="1" applyAlignment="1" applyProtection="1">
      <alignment vertical="center"/>
    </xf>
    <xf numFmtId="166" fontId="3" fillId="0" borderId="63" xfId="0" applyNumberFormat="1" applyFont="1" applyFill="1" applyBorder="1" applyAlignment="1" applyProtection="1">
      <alignment horizontal="center" vertical="center"/>
    </xf>
    <xf numFmtId="0" fontId="0" fillId="0" borderId="11" xfId="0" applyBorder="1"/>
    <xf numFmtId="0" fontId="0" fillId="0" borderId="15" xfId="0" applyBorder="1"/>
    <xf numFmtId="0" fontId="0" fillId="0" borderId="44" xfId="0" applyBorder="1"/>
    <xf numFmtId="0" fontId="6" fillId="7" borderId="63" xfId="0" applyFont="1" applyFill="1" applyBorder="1" applyAlignment="1" applyProtection="1">
      <alignment vertical="center"/>
    </xf>
    <xf numFmtId="0" fontId="62" fillId="12" borderId="61" xfId="14" applyFont="1" applyFill="1" applyBorder="1" applyAlignment="1" applyProtection="1">
      <alignment vertical="center"/>
    </xf>
    <xf numFmtId="0" fontId="5" fillId="8" borderId="68" xfId="0" applyFont="1" applyFill="1" applyBorder="1" applyAlignment="1">
      <alignment horizontal="center"/>
    </xf>
    <xf numFmtId="0" fontId="5" fillId="8" borderId="70" xfId="0" applyFont="1" applyFill="1" applyBorder="1" applyAlignment="1">
      <alignment horizontal="center"/>
    </xf>
    <xf numFmtId="0" fontId="3" fillId="0" borderId="70" xfId="0" applyFont="1" applyFill="1" applyBorder="1" applyAlignment="1" applyProtection="1">
      <alignment horizontal="center" vertical="center"/>
    </xf>
    <xf numFmtId="0" fontId="31" fillId="0" borderId="70" xfId="0" applyFont="1" applyFill="1" applyBorder="1" applyAlignment="1" applyProtection="1">
      <alignment horizontal="center" vertical="center"/>
    </xf>
    <xf numFmtId="1" fontId="3" fillId="0" borderId="70" xfId="0" applyNumberFormat="1" applyFont="1" applyFill="1" applyBorder="1" applyAlignment="1" applyProtection="1">
      <alignment horizontal="center" vertical="center"/>
    </xf>
    <xf numFmtId="0" fontId="3" fillId="0" borderId="70" xfId="0" applyFont="1" applyBorder="1" applyAlignment="1">
      <alignment horizontal="center"/>
    </xf>
    <xf numFmtId="166" fontId="3" fillId="0" borderId="70" xfId="0" applyNumberFormat="1" applyFont="1" applyFill="1" applyBorder="1" applyAlignment="1" applyProtection="1">
      <alignment horizontal="center" vertical="center"/>
    </xf>
    <xf numFmtId="165" fontId="3" fillId="0" borderId="70" xfId="0" applyNumberFormat="1" applyFont="1" applyFill="1" applyBorder="1" applyAlignment="1" applyProtection="1">
      <alignment horizontal="center" vertical="center"/>
    </xf>
    <xf numFmtId="2" fontId="3" fillId="0" borderId="70" xfId="0" applyNumberFormat="1" applyFont="1" applyFill="1" applyBorder="1" applyAlignment="1" applyProtection="1">
      <alignment horizontal="center" vertical="center"/>
    </xf>
    <xf numFmtId="164" fontId="65" fillId="0" borderId="70" xfId="0" applyNumberFormat="1" applyFont="1" applyFill="1" applyBorder="1" applyAlignment="1" applyProtection="1">
      <alignment horizontal="center" vertical="center"/>
    </xf>
    <xf numFmtId="166" fontId="65" fillId="0" borderId="70" xfId="0" applyNumberFormat="1" applyFont="1" applyFill="1" applyBorder="1" applyAlignment="1" applyProtection="1">
      <alignment horizontal="center" vertical="center"/>
    </xf>
    <xf numFmtId="166" fontId="3" fillId="0" borderId="73" xfId="0" applyNumberFormat="1" applyFont="1" applyFill="1" applyBorder="1" applyAlignment="1" applyProtection="1">
      <alignment horizontal="center" vertical="center"/>
    </xf>
    <xf numFmtId="0" fontId="3" fillId="0" borderId="52" xfId="0" applyFont="1" applyBorder="1"/>
    <xf numFmtId="0" fontId="5" fillId="8" borderId="85" xfId="0" applyFont="1" applyFill="1" applyBorder="1" applyAlignment="1">
      <alignment horizontal="center"/>
    </xf>
    <xf numFmtId="0" fontId="5" fillId="8" borderId="71" xfId="0" applyFont="1" applyFill="1" applyBorder="1" applyAlignment="1">
      <alignment horizontal="center"/>
    </xf>
    <xf numFmtId="0" fontId="31" fillId="0" borderId="71" xfId="0" applyFont="1" applyFill="1" applyBorder="1" applyAlignment="1" applyProtection="1">
      <alignment horizontal="center" vertical="center"/>
    </xf>
    <xf numFmtId="165" fontId="3" fillId="0" borderId="71" xfId="0" applyNumberFormat="1" applyFont="1" applyFill="1" applyBorder="1" applyAlignment="1" applyProtection="1">
      <alignment horizontal="center" vertical="center"/>
    </xf>
    <xf numFmtId="2" fontId="3" fillId="0" borderId="71" xfId="0" applyNumberFormat="1" applyFont="1" applyFill="1" applyBorder="1" applyAlignment="1" applyProtection="1">
      <alignment horizontal="center" vertical="center"/>
    </xf>
    <xf numFmtId="166" fontId="3" fillId="0" borderId="71" xfId="0" applyNumberFormat="1" applyFont="1" applyFill="1" applyBorder="1" applyAlignment="1" applyProtection="1">
      <alignment horizontal="center" vertical="center"/>
    </xf>
    <xf numFmtId="164" fontId="65" fillId="0" borderId="71" xfId="0" applyNumberFormat="1" applyFont="1" applyFill="1" applyBorder="1" applyAlignment="1" applyProtection="1">
      <alignment horizontal="center" vertical="center"/>
    </xf>
    <xf numFmtId="166" fontId="65" fillId="0" borderId="71" xfId="0" applyNumberFormat="1" applyFont="1" applyFill="1" applyBorder="1" applyAlignment="1" applyProtection="1">
      <alignment horizontal="center" vertical="center"/>
    </xf>
    <xf numFmtId="166" fontId="3" fillId="0" borderId="89" xfId="0" applyNumberFormat="1" applyFont="1" applyFill="1" applyBorder="1" applyAlignment="1" applyProtection="1">
      <alignment horizontal="center" vertical="center"/>
    </xf>
    <xf numFmtId="0" fontId="3" fillId="0" borderId="26" xfId="0" applyFont="1" applyBorder="1"/>
    <xf numFmtId="164" fontId="3" fillId="0" borderId="70" xfId="0" applyNumberFormat="1" applyFont="1" applyFill="1" applyBorder="1" applyAlignment="1" applyProtection="1">
      <alignment horizontal="center" vertical="center"/>
    </xf>
    <xf numFmtId="16" fontId="3" fillId="0" borderId="4" xfId="0" applyNumberFormat="1" applyFont="1" applyFill="1" applyBorder="1" applyAlignment="1" applyProtection="1">
      <alignment horizontal="center" vertical="center" wrapText="1"/>
    </xf>
    <xf numFmtId="0" fontId="3" fillId="0" borderId="66" xfId="0" applyFont="1" applyBorder="1"/>
    <xf numFmtId="0" fontId="50" fillId="0" borderId="0" xfId="0" applyFont="1" applyBorder="1"/>
    <xf numFmtId="0" fontId="3" fillId="0" borderId="56" xfId="0" applyFont="1" applyBorder="1"/>
    <xf numFmtId="0" fontId="3" fillId="0" borderId="66" xfId="0" applyFont="1" applyFill="1" applyBorder="1"/>
    <xf numFmtId="0" fontId="3" fillId="0" borderId="66" xfId="0" applyFont="1" applyFill="1" applyBorder="1" applyAlignment="1" applyProtection="1">
      <alignment horizontal="center" vertical="center"/>
    </xf>
    <xf numFmtId="0" fontId="3" fillId="0" borderId="66" xfId="0" applyFont="1" applyFill="1" applyBorder="1" applyAlignment="1" applyProtection="1">
      <alignment vertical="center"/>
    </xf>
    <xf numFmtId="0" fontId="3" fillId="0" borderId="103" xfId="0" applyFont="1" applyBorder="1"/>
    <xf numFmtId="0" fontId="3" fillId="0" borderId="79" xfId="0" applyFont="1" applyBorder="1"/>
    <xf numFmtId="0" fontId="3" fillId="0" borderId="80" xfId="0" applyFont="1" applyBorder="1"/>
    <xf numFmtId="0" fontId="3" fillId="0" borderId="77" xfId="0" applyFont="1" applyBorder="1"/>
    <xf numFmtId="0" fontId="3" fillId="0" borderId="61" xfId="0" applyFont="1" applyBorder="1"/>
    <xf numFmtId="0" fontId="3" fillId="0" borderId="78" xfId="0" applyFont="1" applyBorder="1"/>
    <xf numFmtId="169" fontId="0" fillId="0" borderId="99" xfId="0" applyNumberFormat="1" applyBorder="1" applyAlignment="1">
      <alignment vertical="center"/>
    </xf>
    <xf numFmtId="169" fontId="0" fillId="0" borderId="72" xfId="0" applyNumberFormat="1" applyBorder="1" applyAlignment="1">
      <alignment vertical="center"/>
    </xf>
    <xf numFmtId="169" fontId="0" fillId="0" borderId="88" xfId="0" applyNumberFormat="1" applyBorder="1" applyAlignment="1">
      <alignment vertical="center"/>
    </xf>
    <xf numFmtId="169" fontId="0" fillId="0" borderId="106" xfId="0" applyNumberFormat="1" applyBorder="1" applyAlignment="1">
      <alignment vertical="center"/>
    </xf>
    <xf numFmtId="169" fontId="0" fillId="0" borderId="90" xfId="0" applyNumberFormat="1" applyBorder="1" applyAlignment="1">
      <alignment vertical="center"/>
    </xf>
    <xf numFmtId="169" fontId="0" fillId="0" borderId="76" xfId="0" applyNumberFormat="1" applyBorder="1" applyAlignment="1">
      <alignment vertical="center"/>
    </xf>
    <xf numFmtId="171" fontId="43" fillId="12" borderId="92" xfId="12" applyFont="1" applyFill="1" applyBorder="1" applyAlignment="1" applyProtection="1">
      <alignment horizontal="center"/>
    </xf>
    <xf numFmtId="0" fontId="8" fillId="0" borderId="0" xfId="0" applyFont="1" applyBorder="1" applyAlignment="1">
      <alignment horizontal="center" vertical="center"/>
    </xf>
    <xf numFmtId="0" fontId="3" fillId="0" borderId="0" xfId="0" applyFont="1" applyBorder="1" applyAlignment="1" applyProtection="1">
      <alignment vertical="center"/>
    </xf>
    <xf numFmtId="0" fontId="0" fillId="0" borderId="27" xfId="0" applyBorder="1"/>
    <xf numFmtId="0" fontId="0" fillId="0" borderId="52" xfId="0" applyBorder="1"/>
    <xf numFmtId="166" fontId="4" fillId="0" borderId="31" xfId="0" applyNumberFormat="1" applyFont="1" applyBorder="1" applyAlignment="1" applyProtection="1">
      <alignment horizontal="center" vertical="center"/>
    </xf>
    <xf numFmtId="0" fontId="0" fillId="0" borderId="85" xfId="0" applyBorder="1"/>
    <xf numFmtId="0" fontId="3" fillId="0" borderId="68" xfId="0" applyFont="1" applyBorder="1" applyAlignment="1" applyProtection="1">
      <alignment horizontal="center" vertical="center"/>
    </xf>
    <xf numFmtId="0" fontId="0" fillId="0" borderId="71" xfId="0" applyBorder="1"/>
    <xf numFmtId="0" fontId="3" fillId="0" borderId="70" xfId="0" applyFont="1" applyBorder="1" applyAlignment="1" applyProtection="1">
      <alignment horizontal="center" vertical="center"/>
    </xf>
    <xf numFmtId="0" fontId="0" fillId="0" borderId="112" xfId="0" applyBorder="1"/>
    <xf numFmtId="1" fontId="3" fillId="0" borderId="91" xfId="0" applyNumberFormat="1" applyFont="1" applyFill="1" applyBorder="1" applyAlignment="1" applyProtection="1">
      <alignment horizontal="center" vertical="center"/>
    </xf>
    <xf numFmtId="0" fontId="3" fillId="0" borderId="31" xfId="0" applyFont="1" applyBorder="1" applyAlignment="1" applyProtection="1">
      <alignment horizontal="center" vertical="center"/>
    </xf>
    <xf numFmtId="166" fontId="4" fillId="0" borderId="14" xfId="0" applyNumberFormat="1" applyFont="1" applyFill="1" applyBorder="1" applyAlignment="1" applyProtection="1">
      <alignment horizontal="center" vertical="center"/>
    </xf>
    <xf numFmtId="166" fontId="3" fillId="0" borderId="68" xfId="0" applyNumberFormat="1" applyFont="1" applyBorder="1" applyAlignment="1" applyProtection="1">
      <alignment horizontal="center" vertical="center"/>
    </xf>
    <xf numFmtId="166" fontId="3" fillId="0" borderId="68" xfId="0" applyNumberFormat="1" applyFont="1" applyFill="1" applyBorder="1" applyAlignment="1" applyProtection="1">
      <alignment horizontal="center" vertical="center"/>
    </xf>
    <xf numFmtId="166" fontId="3" fillId="0" borderId="70" xfId="0" applyNumberFormat="1" applyFont="1" applyBorder="1" applyAlignment="1" applyProtection="1">
      <alignment horizontal="center" vertical="center"/>
    </xf>
    <xf numFmtId="0" fontId="3" fillId="0" borderId="73" xfId="0" applyFont="1" applyBorder="1" applyAlignment="1" applyProtection="1">
      <alignment horizontal="center" vertical="center"/>
    </xf>
    <xf numFmtId="166" fontId="3" fillId="0" borderId="73" xfId="0" applyNumberFormat="1" applyFont="1" applyBorder="1" applyAlignment="1" applyProtection="1">
      <alignment horizontal="center" vertical="center"/>
    </xf>
    <xf numFmtId="166" fontId="5" fillId="8" borderId="68" xfId="0" applyNumberFormat="1" applyFont="1" applyFill="1" applyBorder="1" applyAlignment="1" applyProtection="1">
      <alignment horizontal="center" vertical="center"/>
    </xf>
    <xf numFmtId="166" fontId="5" fillId="8" borderId="70" xfId="0" applyNumberFormat="1" applyFont="1" applyFill="1" applyBorder="1" applyAlignment="1" applyProtection="1">
      <alignment horizontal="center" vertical="center"/>
    </xf>
    <xf numFmtId="0" fontId="5" fillId="8" borderId="70" xfId="0" applyFont="1" applyFill="1" applyBorder="1" applyAlignment="1" applyProtection="1">
      <alignment horizontal="center" vertical="center"/>
    </xf>
    <xf numFmtId="1" fontId="5" fillId="8" borderId="70" xfId="0" applyNumberFormat="1" applyFont="1" applyFill="1" applyBorder="1" applyAlignment="1" applyProtection="1">
      <alignment horizontal="center" vertical="center"/>
    </xf>
    <xf numFmtId="1" fontId="5" fillId="8" borderId="91" xfId="0" applyNumberFormat="1" applyFont="1" applyFill="1" applyBorder="1" applyAlignment="1" applyProtection="1">
      <alignment horizontal="center" vertical="center"/>
    </xf>
    <xf numFmtId="0" fontId="3" fillId="0" borderId="0" xfId="0" applyFont="1" applyBorder="1" applyAlignment="1">
      <alignment vertical="center"/>
    </xf>
    <xf numFmtId="0" fontId="0" fillId="0" borderId="81" xfId="0" applyBorder="1"/>
    <xf numFmtId="0" fontId="11" fillId="0" borderId="27" xfId="0" applyFont="1" applyBorder="1" applyAlignment="1">
      <alignment vertical="center"/>
    </xf>
    <xf numFmtId="0" fontId="0" fillId="0" borderId="115" xfId="0" applyBorder="1"/>
    <xf numFmtId="1" fontId="4" fillId="0" borderId="4" xfId="0" applyNumberFormat="1" applyFont="1" applyFill="1" applyBorder="1" applyAlignment="1" applyProtection="1">
      <alignment horizontal="center" vertical="center"/>
    </xf>
    <xf numFmtId="1" fontId="3" fillId="0" borderId="73" xfId="0" applyNumberFormat="1" applyFont="1" applyFill="1" applyBorder="1" applyAlignment="1" applyProtection="1">
      <alignment horizontal="center" vertical="center"/>
    </xf>
    <xf numFmtId="16" fontId="89" fillId="13" borderId="4" xfId="0" applyNumberFormat="1" applyFont="1" applyFill="1" applyBorder="1" applyAlignment="1" applyProtection="1">
      <alignment horizontal="center" vertical="center"/>
    </xf>
    <xf numFmtId="16" fontId="89" fillId="13" borderId="4" xfId="0" applyNumberFormat="1" applyFont="1" applyFill="1" applyBorder="1" applyAlignment="1" applyProtection="1">
      <alignment horizontal="center" vertical="center" wrapText="1"/>
    </xf>
    <xf numFmtId="1" fontId="5" fillId="8" borderId="68" xfId="0" applyNumberFormat="1" applyFont="1" applyFill="1" applyBorder="1" applyAlignment="1" applyProtection="1">
      <alignment horizontal="center" vertical="center"/>
    </xf>
    <xf numFmtId="165" fontId="5" fillId="8" borderId="73" xfId="0" applyNumberFormat="1" applyFont="1" applyFill="1" applyBorder="1" applyAlignment="1" applyProtection="1">
      <alignment horizontal="center" vertical="center"/>
    </xf>
    <xf numFmtId="0" fontId="5" fillId="8" borderId="68" xfId="0" applyFont="1" applyFill="1" applyBorder="1" applyAlignment="1" applyProtection="1">
      <alignment horizontal="center" vertical="center"/>
    </xf>
    <xf numFmtId="2" fontId="5" fillId="8" borderId="70" xfId="0" applyNumberFormat="1" applyFont="1" applyFill="1" applyBorder="1" applyAlignment="1" applyProtection="1">
      <alignment horizontal="center" vertical="center"/>
    </xf>
    <xf numFmtId="166" fontId="5" fillId="8" borderId="73" xfId="0" applyNumberFormat="1" applyFont="1" applyFill="1" applyBorder="1" applyAlignment="1" applyProtection="1">
      <alignment horizontal="center" vertical="center"/>
    </xf>
    <xf numFmtId="166" fontId="4" fillId="0" borderId="4" xfId="0" applyNumberFormat="1" applyFont="1" applyBorder="1" applyAlignment="1" applyProtection="1">
      <alignment horizontal="center" vertical="center"/>
    </xf>
    <xf numFmtId="165" fontId="5" fillId="8" borderId="70" xfId="0" applyNumberFormat="1" applyFont="1" applyFill="1" applyBorder="1" applyAlignment="1" applyProtection="1">
      <alignment horizontal="center" vertical="center"/>
    </xf>
    <xf numFmtId="0" fontId="7" fillId="0" borderId="66" xfId="0" applyFont="1" applyBorder="1" applyAlignment="1">
      <alignment horizontal="left" vertical="center"/>
    </xf>
    <xf numFmtId="0" fontId="0" fillId="0" borderId="4" xfId="0" applyBorder="1"/>
    <xf numFmtId="0" fontId="3" fillId="0" borderId="4" xfId="0" applyFont="1" applyBorder="1" applyAlignment="1">
      <alignment horizontal="center"/>
    </xf>
    <xf numFmtId="0" fontId="12" fillId="0" borderId="4" xfId="0" applyFont="1" applyBorder="1"/>
    <xf numFmtId="0" fontId="18" fillId="0" borderId="4" xfId="0" applyFont="1" applyBorder="1"/>
    <xf numFmtId="0" fontId="0" fillId="0" borderId="68" xfId="0" applyBorder="1"/>
    <xf numFmtId="0" fontId="0" fillId="0" borderId="70" xfId="0" applyBorder="1"/>
    <xf numFmtId="0" fontId="22" fillId="0" borderId="70" xfId="0" applyFont="1" applyBorder="1"/>
    <xf numFmtId="0" fontId="0" fillId="0" borderId="73" xfId="0" applyBorder="1"/>
    <xf numFmtId="0" fontId="43" fillId="8" borderId="68" xfId="0" applyFont="1" applyFill="1" applyBorder="1" applyAlignment="1">
      <alignment horizontal="center"/>
    </xf>
    <xf numFmtId="0" fontId="43" fillId="8" borderId="70" xfId="0" applyFont="1" applyFill="1" applyBorder="1" applyAlignment="1">
      <alignment horizontal="center"/>
    </xf>
    <xf numFmtId="0" fontId="22" fillId="8" borderId="70" xfId="0" applyFont="1" applyFill="1" applyBorder="1"/>
    <xf numFmtId="16" fontId="44" fillId="8" borderId="70" xfId="0" applyNumberFormat="1" applyFont="1" applyFill="1" applyBorder="1" applyAlignment="1" applyProtection="1">
      <alignment horizontal="center" vertical="center"/>
    </xf>
    <xf numFmtId="16" fontId="32" fillId="8" borderId="70" xfId="0" applyNumberFormat="1" applyFont="1" applyFill="1" applyBorder="1" applyAlignment="1" applyProtection="1">
      <alignment horizontal="center" vertical="center" wrapText="1"/>
    </xf>
    <xf numFmtId="0" fontId="45" fillId="8" borderId="70" xfId="0" applyFont="1" applyFill="1" applyBorder="1" applyAlignment="1" applyProtection="1">
      <alignment horizontal="center" vertical="center"/>
    </xf>
    <xf numFmtId="0" fontId="31" fillId="8" borderId="70" xfId="0" applyFont="1" applyFill="1" applyBorder="1" applyAlignment="1" applyProtection="1">
      <alignment horizontal="center" vertical="center"/>
    </xf>
    <xf numFmtId="0" fontId="45" fillId="8" borderId="73" xfId="0" applyFont="1" applyFill="1" applyBorder="1" applyAlignment="1" applyProtection="1">
      <alignment horizontal="center" vertical="center"/>
    </xf>
    <xf numFmtId="0" fontId="5" fillId="8" borderId="73" xfId="0" applyFont="1" applyFill="1" applyBorder="1" applyAlignment="1" applyProtection="1">
      <alignment horizontal="center" vertical="center"/>
    </xf>
    <xf numFmtId="0" fontId="5" fillId="8" borderId="73" xfId="0" quotePrefix="1" applyFont="1" applyFill="1" applyBorder="1" applyAlignment="1" applyProtection="1">
      <alignment horizontal="center" vertical="center"/>
    </xf>
    <xf numFmtId="16" fontId="32" fillId="8" borderId="70" xfId="0" applyNumberFormat="1" applyFont="1" applyFill="1" applyBorder="1" applyAlignment="1" applyProtection="1">
      <alignment horizontal="center" vertical="center"/>
    </xf>
    <xf numFmtId="16" fontId="89" fillId="13" borderId="4" xfId="0" applyNumberFormat="1" applyFont="1" applyFill="1" applyBorder="1" applyAlignment="1" applyProtection="1">
      <alignment vertical="center"/>
    </xf>
    <xf numFmtId="0" fontId="83" fillId="13" borderId="4" xfId="0" applyFont="1" applyFill="1" applyBorder="1"/>
    <xf numFmtId="0" fontId="22" fillId="0" borderId="56" xfId="0" applyFont="1" applyBorder="1"/>
    <xf numFmtId="0" fontId="12" fillId="0" borderId="66" xfId="0" applyFont="1" applyBorder="1"/>
    <xf numFmtId="0" fontId="12" fillId="0" borderId="56" xfId="0" applyFont="1" applyBorder="1"/>
    <xf numFmtId="0" fontId="18" fillId="0" borderId="66" xfId="0" applyFont="1" applyBorder="1"/>
    <xf numFmtId="0" fontId="18" fillId="0" borderId="56" xfId="0" applyFont="1" applyBorder="1"/>
    <xf numFmtId="0" fontId="22" fillId="0" borderId="66" xfId="0" applyFont="1" applyFill="1" applyBorder="1"/>
    <xf numFmtId="0" fontId="30" fillId="0" borderId="0" xfId="0" applyFont="1" applyFill="1" applyBorder="1"/>
    <xf numFmtId="0" fontId="30" fillId="0" borderId="0" xfId="0" applyFont="1" applyBorder="1"/>
    <xf numFmtId="0" fontId="30" fillId="0" borderId="56" xfId="0" applyFont="1" applyBorder="1"/>
    <xf numFmtId="0" fontId="0" fillId="0" borderId="66" xfId="0" applyFill="1" applyBorder="1"/>
    <xf numFmtId="0" fontId="15" fillId="0" borderId="4" xfId="0" applyFont="1" applyFill="1" applyBorder="1" applyAlignment="1" applyProtection="1">
      <alignment vertical="center"/>
    </xf>
    <xf numFmtId="0" fontId="88" fillId="13" borderId="4" xfId="0" applyFont="1" applyFill="1" applyBorder="1" applyAlignment="1" applyProtection="1">
      <alignment horizontal="center" vertical="center"/>
    </xf>
    <xf numFmtId="0" fontId="15" fillId="0" borderId="68" xfId="0" applyFont="1" applyFill="1" applyBorder="1" applyAlignment="1" applyProtection="1">
      <alignment horizontal="center" vertical="center"/>
    </xf>
    <xf numFmtId="0" fontId="15" fillId="0" borderId="70" xfId="0" applyFont="1" applyFill="1" applyBorder="1" applyAlignment="1" applyProtection="1">
      <alignment horizontal="center" vertical="center"/>
    </xf>
    <xf numFmtId="0" fontId="15" fillId="0" borderId="73" xfId="0" applyFont="1" applyFill="1" applyBorder="1" applyAlignment="1" applyProtection="1">
      <alignment horizontal="center" vertical="center"/>
    </xf>
    <xf numFmtId="0" fontId="14" fillId="0" borderId="0" xfId="0" applyFont="1" applyBorder="1" applyAlignment="1">
      <alignment vertical="center"/>
    </xf>
    <xf numFmtId="0" fontId="16" fillId="8" borderId="4" xfId="0" applyNumberFormat="1" applyFont="1" applyFill="1" applyBorder="1" applyAlignment="1" applyProtection="1">
      <alignment horizontal="center" vertical="center"/>
      <protection locked="0"/>
    </xf>
    <xf numFmtId="16" fontId="88" fillId="13" borderId="4" xfId="0" applyNumberFormat="1" applyFont="1" applyFill="1" applyBorder="1" applyAlignment="1" applyProtection="1">
      <alignment horizontal="center" vertical="center" wrapText="1"/>
    </xf>
    <xf numFmtId="16" fontId="94" fillId="13" borderId="4" xfId="0" applyNumberFormat="1" applyFont="1" applyFill="1" applyBorder="1" applyAlignment="1" applyProtection="1">
      <alignment horizontal="center" vertical="center" wrapText="1"/>
    </xf>
    <xf numFmtId="16" fontId="95" fillId="13" borderId="4" xfId="0" applyNumberFormat="1" applyFont="1" applyFill="1" applyBorder="1" applyAlignment="1" applyProtection="1">
      <alignment horizontal="center" vertical="center" wrapText="1"/>
    </xf>
    <xf numFmtId="175" fontId="16" fillId="0" borderId="4" xfId="0" applyNumberFormat="1" applyFont="1" applyBorder="1" applyAlignment="1" applyProtection="1">
      <alignment horizontal="center" vertical="center"/>
    </xf>
    <xf numFmtId="2" fontId="16" fillId="0" borderId="4" xfId="0" quotePrefix="1" applyNumberFormat="1" applyFont="1" applyBorder="1" applyAlignment="1" applyProtection="1">
      <alignment horizontal="center" vertical="center"/>
    </xf>
    <xf numFmtId="2" fontId="15" fillId="0" borderId="4" xfId="0" quotePrefix="1" applyNumberFormat="1" applyFont="1" applyBorder="1" applyAlignment="1" applyProtection="1">
      <alignment horizontal="center" vertical="center"/>
    </xf>
    <xf numFmtId="0" fontId="15" fillId="0" borderId="68" xfId="0" applyFont="1" applyBorder="1" applyAlignment="1" applyProtection="1">
      <alignment vertical="center"/>
    </xf>
    <xf numFmtId="1" fontId="15" fillId="0" borderId="68" xfId="0" applyNumberFormat="1" applyFont="1" applyBorder="1" applyAlignment="1" applyProtection="1">
      <alignment horizontal="center" vertical="center"/>
    </xf>
    <xf numFmtId="0" fontId="16" fillId="8" borderId="68" xfId="0" applyNumberFormat="1" applyFont="1" applyFill="1" applyBorder="1" applyAlignment="1" applyProtection="1">
      <alignment horizontal="center" vertical="center"/>
      <protection locked="0"/>
    </xf>
    <xf numFmtId="2" fontId="16" fillId="0" borderId="68" xfId="0" applyNumberFormat="1" applyFont="1" applyBorder="1" applyAlignment="1" applyProtection="1">
      <alignment horizontal="center" vertical="center"/>
    </xf>
    <xf numFmtId="175" fontId="16" fillId="0" borderId="68" xfId="0" applyNumberFormat="1" applyFont="1" applyBorder="1" applyAlignment="1" applyProtection="1">
      <alignment horizontal="center" vertical="center"/>
    </xf>
    <xf numFmtId="2" fontId="15" fillId="0" borderId="68" xfId="0" applyNumberFormat="1" applyFont="1" applyBorder="1" applyAlignment="1" applyProtection="1">
      <alignment horizontal="center" vertical="center"/>
    </xf>
    <xf numFmtId="0" fontId="15" fillId="0" borderId="70" xfId="0" applyFont="1" applyFill="1" applyBorder="1" applyAlignment="1" applyProtection="1">
      <alignment vertical="center"/>
    </xf>
    <xf numFmtId="1" fontId="15" fillId="0" borderId="70" xfId="0" applyNumberFormat="1" applyFont="1" applyBorder="1" applyAlignment="1" applyProtection="1">
      <alignment horizontal="center" vertical="center"/>
    </xf>
    <xf numFmtId="0" fontId="16" fillId="8" borderId="70" xfId="0" applyNumberFormat="1" applyFont="1" applyFill="1" applyBorder="1" applyAlignment="1" applyProtection="1">
      <alignment horizontal="center" vertical="center"/>
      <protection locked="0"/>
    </xf>
    <xf numFmtId="2" fontId="16" fillId="0" borderId="70" xfId="0" applyNumberFormat="1" applyFont="1" applyBorder="1" applyAlignment="1" applyProtection="1">
      <alignment horizontal="center" vertical="center"/>
    </xf>
    <xf numFmtId="175" fontId="16" fillId="0" borderId="70" xfId="0" applyNumberFormat="1" applyFont="1" applyBorder="1" applyAlignment="1" applyProtection="1">
      <alignment horizontal="center" vertical="center"/>
    </xf>
    <xf numFmtId="2" fontId="15" fillId="0" borderId="70" xfId="0" applyNumberFormat="1" applyFont="1" applyBorder="1" applyAlignment="1" applyProtection="1">
      <alignment horizontal="center" vertical="center"/>
    </xf>
    <xf numFmtId="0" fontId="15" fillId="0" borderId="73" xfId="0" applyFont="1" applyBorder="1" applyAlignment="1" applyProtection="1">
      <alignment vertical="center"/>
    </xf>
    <xf numFmtId="1" fontId="15" fillId="0" borderId="73" xfId="0" applyNumberFormat="1" applyFont="1" applyBorder="1" applyAlignment="1" applyProtection="1">
      <alignment horizontal="center" vertical="center"/>
    </xf>
    <xf numFmtId="0" fontId="6" fillId="0" borderId="73" xfId="0" applyNumberFormat="1" applyFont="1" applyFill="1" applyBorder="1" applyAlignment="1" applyProtection="1">
      <alignment horizontal="center" vertical="center"/>
    </xf>
    <xf numFmtId="2" fontId="6" fillId="0" borderId="73" xfId="0" applyNumberFormat="1" applyFont="1" applyBorder="1" applyAlignment="1" applyProtection="1">
      <alignment horizontal="center" vertical="center"/>
    </xf>
    <xf numFmtId="175" fontId="6" fillId="0" borderId="73" xfId="0" applyNumberFormat="1" applyFont="1" applyBorder="1" applyAlignment="1" applyProtection="1">
      <alignment horizontal="center" vertical="center"/>
    </xf>
    <xf numFmtId="2" fontId="15" fillId="0" borderId="73" xfId="0" applyNumberFormat="1" applyFont="1" applyBorder="1" applyAlignment="1" applyProtection="1">
      <alignment horizontal="center" vertical="center"/>
    </xf>
    <xf numFmtId="0" fontId="15" fillId="0" borderId="73" xfId="0" applyFont="1" applyFill="1" applyBorder="1" applyAlignment="1" applyProtection="1">
      <alignment vertical="center"/>
    </xf>
    <xf numFmtId="2" fontId="16" fillId="0" borderId="70" xfId="0" quotePrefix="1" applyNumberFormat="1" applyFont="1" applyBorder="1" applyAlignment="1" applyProtection="1">
      <alignment horizontal="center" vertical="center"/>
    </xf>
    <xf numFmtId="2" fontId="16" fillId="0" borderId="68" xfId="0" applyNumberFormat="1" applyFont="1" applyBorder="1" applyAlignment="1" applyProtection="1">
      <alignment horizontal="center" vertical="center"/>
      <protection locked="0"/>
    </xf>
    <xf numFmtId="175" fontId="16" fillId="0" borderId="68" xfId="0" applyNumberFormat="1" applyFont="1" applyBorder="1" applyAlignment="1" applyProtection="1">
      <alignment horizontal="center" vertical="center"/>
      <protection locked="0"/>
    </xf>
    <xf numFmtId="2" fontId="15" fillId="0" borderId="68" xfId="0" applyNumberFormat="1" applyFont="1" applyBorder="1" applyAlignment="1" applyProtection="1">
      <alignment horizontal="center" vertical="center"/>
      <protection locked="0"/>
    </xf>
    <xf numFmtId="0" fontId="14" fillId="0" borderId="66" xfId="0" applyFont="1" applyBorder="1" applyAlignment="1">
      <alignment horizontal="center" vertical="center"/>
    </xf>
    <xf numFmtId="0" fontId="14" fillId="0" borderId="0" xfId="0" applyFont="1" applyBorder="1" applyAlignment="1">
      <alignment horizontal="center" vertical="center"/>
    </xf>
    <xf numFmtId="0" fontId="14" fillId="0" borderId="56" xfId="0" applyFont="1" applyBorder="1" applyAlignment="1">
      <alignment horizontal="center" vertical="center"/>
    </xf>
    <xf numFmtId="0" fontId="8" fillId="0" borderId="66" xfId="0" applyFont="1" applyBorder="1" applyAlignment="1">
      <alignment horizontal="center" vertical="center"/>
    </xf>
    <xf numFmtId="0" fontId="14" fillId="0" borderId="66" xfId="0" applyFont="1" applyBorder="1" applyAlignment="1">
      <alignment vertical="center"/>
    </xf>
    <xf numFmtId="1" fontId="15" fillId="0" borderId="66" xfId="0" applyNumberFormat="1" applyFont="1" applyBorder="1" applyAlignment="1" applyProtection="1">
      <alignment horizontal="center" vertical="center"/>
    </xf>
    <xf numFmtId="1" fontId="15" fillId="0" borderId="64" xfId="0" applyNumberFormat="1" applyFont="1" applyBorder="1" applyAlignment="1" applyProtection="1">
      <alignment horizontal="center" vertical="center"/>
    </xf>
    <xf numFmtId="0" fontId="6" fillId="0" borderId="65" xfId="0" applyNumberFormat="1" applyFont="1" applyBorder="1" applyAlignment="1" applyProtection="1">
      <alignment horizontal="center" vertical="center"/>
    </xf>
    <xf numFmtId="2" fontId="6" fillId="0" borderId="65" xfId="0" applyNumberFormat="1" applyFont="1" applyBorder="1" applyAlignment="1" applyProtection="1">
      <alignment horizontal="center" vertical="center"/>
    </xf>
    <xf numFmtId="9" fontId="6" fillId="0" borderId="65" xfId="0" applyNumberFormat="1" applyFont="1" applyBorder="1" applyAlignment="1" applyProtection="1">
      <alignment horizontal="center" vertical="center"/>
    </xf>
    <xf numFmtId="2" fontId="15" fillId="0" borderId="65" xfId="0" applyNumberFormat="1" applyFont="1" applyBorder="1" applyAlignment="1" applyProtection="1">
      <alignment horizontal="center" vertical="center"/>
    </xf>
    <xf numFmtId="0" fontId="14" fillId="0" borderId="0" xfId="0" applyFont="1" applyAlignment="1">
      <alignment vertical="center"/>
    </xf>
    <xf numFmtId="1" fontId="15" fillId="0" borderId="2" xfId="0" applyNumberFormat="1" applyFont="1" applyBorder="1" applyAlignment="1" applyProtection="1">
      <alignment horizontal="center" vertical="center"/>
    </xf>
    <xf numFmtId="0" fontId="0" fillId="0" borderId="13" xfId="0" applyBorder="1"/>
    <xf numFmtId="1" fontId="15" fillId="0" borderId="55" xfId="0" applyNumberFormat="1" applyFont="1" applyFill="1" applyBorder="1" applyAlignment="1" applyProtection="1">
      <alignment horizontal="center" vertical="center"/>
    </xf>
    <xf numFmtId="166" fontId="16" fillId="0" borderId="2" xfId="0" applyNumberFormat="1" applyFont="1" applyBorder="1" applyAlignment="1" applyProtection="1">
      <alignment horizontal="center" vertical="center"/>
    </xf>
    <xf numFmtId="1" fontId="15" fillId="0" borderId="4" xfId="0" applyNumberFormat="1" applyFont="1" applyFill="1" applyBorder="1" applyAlignment="1" applyProtection="1">
      <alignment horizontal="center" vertical="center"/>
    </xf>
    <xf numFmtId="1" fontId="15" fillId="0" borderId="13" xfId="0" applyNumberFormat="1" applyFont="1" applyFill="1" applyBorder="1" applyAlignment="1" applyProtection="1">
      <alignment horizontal="center" vertical="center"/>
    </xf>
    <xf numFmtId="0" fontId="7" fillId="7" borderId="52" xfId="15" applyFont="1" applyFill="1" applyBorder="1" applyAlignment="1" applyProtection="1">
      <alignment horizontal="right"/>
    </xf>
    <xf numFmtId="0" fontId="87" fillId="12" borderId="86" xfId="15" applyFont="1" applyFill="1" applyBorder="1" applyAlignment="1" applyProtection="1"/>
    <xf numFmtId="0" fontId="87" fillId="12" borderId="72" xfId="15" applyFont="1" applyFill="1" applyBorder="1" applyAlignment="1" applyProtection="1"/>
    <xf numFmtId="0" fontId="87" fillId="12" borderId="90" xfId="15" applyFont="1" applyFill="1" applyBorder="1" applyAlignment="1" applyProtection="1"/>
    <xf numFmtId="0" fontId="7" fillId="7" borderId="29" xfId="15" applyFont="1" applyFill="1" applyBorder="1" applyAlignment="1" applyProtection="1">
      <alignment horizontal="right"/>
    </xf>
    <xf numFmtId="0" fontId="7" fillId="7" borderId="15" xfId="15" applyFont="1" applyFill="1" applyBorder="1" applyAlignment="1" applyProtection="1">
      <alignment horizontal="right"/>
    </xf>
    <xf numFmtId="0" fontId="7" fillId="7" borderId="66" xfId="15" applyFont="1" applyFill="1" applyBorder="1" applyAlignment="1" applyProtection="1">
      <alignment horizontal="right"/>
      <protection hidden="1"/>
    </xf>
    <xf numFmtId="0" fontId="7" fillId="7" borderId="77" xfId="15" applyFont="1" applyFill="1" applyBorder="1" applyAlignment="1" applyProtection="1">
      <alignment horizontal="right"/>
      <protection hidden="1"/>
    </xf>
    <xf numFmtId="0" fontId="7" fillId="7" borderId="81" xfId="15" applyFont="1" applyFill="1" applyBorder="1" applyAlignment="1" applyProtection="1">
      <alignment horizontal="right"/>
      <protection hidden="1"/>
    </xf>
    <xf numFmtId="1" fontId="84" fillId="14" borderId="11" xfId="0" applyNumberFormat="1" applyFont="1" applyFill="1" applyBorder="1" applyAlignment="1" applyProtection="1">
      <alignment horizontal="right" vertical="center"/>
    </xf>
    <xf numFmtId="171" fontId="43" fillId="12" borderId="92" xfId="12" applyFont="1" applyFill="1" applyBorder="1" applyAlignment="1" applyProtection="1">
      <alignment horizontal="center"/>
    </xf>
    <xf numFmtId="49" fontId="18" fillId="12" borderId="63" xfId="0" applyNumberFormat="1" applyFont="1" applyFill="1" applyBorder="1" applyAlignment="1" applyProtection="1">
      <alignment horizontal="right" vertical="center"/>
    </xf>
    <xf numFmtId="0" fontId="87" fillId="12" borderId="85" xfId="15" applyFont="1" applyFill="1" applyBorder="1" applyAlignment="1" applyProtection="1"/>
    <xf numFmtId="0" fontId="87" fillId="12" borderId="71" xfId="15" applyFont="1" applyFill="1" applyBorder="1" applyAlignment="1" applyProtection="1"/>
    <xf numFmtId="0" fontId="87" fillId="12" borderId="89" xfId="15" applyFont="1" applyFill="1" applyBorder="1" applyAlignment="1" applyProtection="1"/>
    <xf numFmtId="0" fontId="8" fillId="0" borderId="0" xfId="0" applyFont="1" applyBorder="1" applyAlignment="1">
      <alignment horizontal="center" vertical="center"/>
    </xf>
    <xf numFmtId="0" fontId="11" fillId="0" borderId="27" xfId="0" applyFont="1" applyBorder="1" applyAlignment="1">
      <alignment vertical="center"/>
    </xf>
    <xf numFmtId="0" fontId="3" fillId="0" borderId="0" xfId="0" applyFont="1" applyBorder="1" applyAlignment="1">
      <alignment vertical="center"/>
    </xf>
    <xf numFmtId="166" fontId="3" fillId="0" borderId="70" xfId="0" applyNumberFormat="1" applyFont="1" applyBorder="1" applyAlignment="1" applyProtection="1">
      <alignment horizontal="center" vertical="center"/>
    </xf>
    <xf numFmtId="166" fontId="3" fillId="0" borderId="73" xfId="0" applyNumberFormat="1" applyFont="1" applyBorder="1" applyAlignment="1" applyProtection="1">
      <alignment horizontal="center" vertical="center"/>
    </xf>
    <xf numFmtId="16" fontId="89" fillId="13" borderId="4" xfId="0" applyNumberFormat="1" applyFont="1" applyFill="1" applyBorder="1" applyAlignment="1" applyProtection="1">
      <alignment horizontal="center" vertical="center"/>
    </xf>
    <xf numFmtId="0" fontId="3" fillId="0" borderId="68" xfId="0" applyFont="1" applyBorder="1" applyAlignment="1" applyProtection="1">
      <alignment horizontal="center" vertical="center"/>
    </xf>
    <xf numFmtId="0" fontId="3" fillId="0" borderId="70" xfId="0" applyFont="1" applyBorder="1" applyAlignment="1" applyProtection="1">
      <alignment horizontal="center" vertical="center"/>
    </xf>
    <xf numFmtId="166" fontId="3" fillId="0" borderId="68" xfId="0" applyNumberFormat="1" applyFont="1" applyBorder="1" applyAlignment="1" applyProtection="1">
      <alignment horizontal="center" vertical="center"/>
    </xf>
    <xf numFmtId="0" fontId="7" fillId="7" borderId="86" xfId="15" applyFont="1" applyFill="1" applyBorder="1" applyAlignment="1" applyProtection="1"/>
    <xf numFmtId="0" fontId="7" fillId="7" borderId="95" xfId="15" applyFont="1" applyFill="1" applyBorder="1" applyAlignment="1" applyProtection="1"/>
    <xf numFmtId="0" fontId="7" fillId="7" borderId="72" xfId="15" applyFont="1" applyFill="1" applyBorder="1" applyAlignment="1" applyProtection="1"/>
    <xf numFmtId="0" fontId="7" fillId="7" borderId="96" xfId="15" applyFont="1" applyFill="1" applyBorder="1" applyAlignment="1" applyProtection="1"/>
    <xf numFmtId="0" fontId="7" fillId="7" borderId="90" xfId="15" applyFont="1" applyFill="1" applyBorder="1" applyAlignment="1" applyProtection="1"/>
    <xf numFmtId="0" fontId="7" fillId="7" borderId="97" xfId="15" applyFont="1" applyFill="1" applyBorder="1" applyAlignment="1" applyProtection="1"/>
    <xf numFmtId="0" fontId="15" fillId="0" borderId="0" xfId="0" applyFont="1" applyBorder="1" applyAlignment="1">
      <alignment horizontal="right" vertical="center"/>
    </xf>
    <xf numFmtId="0" fontId="16" fillId="0" borderId="27" xfId="0" applyNumberFormat="1" applyFont="1" applyFill="1" applyBorder="1" applyAlignment="1" applyProtection="1">
      <alignment horizontal="center" vertical="center"/>
      <protection locked="0"/>
    </xf>
    <xf numFmtId="0" fontId="16" fillId="8" borderId="70" xfId="0" applyNumberFormat="1" applyFont="1" applyFill="1" applyBorder="1" applyAlignment="1">
      <alignment horizontal="center" vertical="center"/>
    </xf>
    <xf numFmtId="0" fontId="6" fillId="0" borderId="73" xfId="0" applyNumberFormat="1" applyFont="1" applyFill="1" applyBorder="1" applyAlignment="1">
      <alignment horizontal="center" vertical="center"/>
    </xf>
    <xf numFmtId="0" fontId="16" fillId="8" borderId="68" xfId="0" applyNumberFormat="1" applyFont="1" applyFill="1" applyBorder="1" applyAlignment="1">
      <alignment horizontal="center" vertical="center"/>
    </xf>
    <xf numFmtId="0" fontId="16" fillId="8" borderId="4" xfId="0" applyNumberFormat="1" applyFont="1" applyFill="1" applyBorder="1" applyAlignment="1">
      <alignment horizontal="center" vertical="center"/>
    </xf>
    <xf numFmtId="0" fontId="16" fillId="8" borderId="73" xfId="0" applyNumberFormat="1" applyFont="1" applyFill="1" applyBorder="1" applyAlignment="1">
      <alignment horizontal="center" vertical="center"/>
    </xf>
    <xf numFmtId="0" fontId="6" fillId="0" borderId="68" xfId="0" applyNumberFormat="1" applyFont="1" applyFill="1" applyBorder="1" applyAlignment="1">
      <alignment horizontal="center" vertical="center"/>
    </xf>
    <xf numFmtId="0" fontId="6" fillId="0" borderId="70" xfId="0" applyNumberFormat="1" applyFont="1" applyFill="1" applyBorder="1" applyAlignment="1">
      <alignment horizontal="center" vertical="center"/>
    </xf>
    <xf numFmtId="175" fontId="16" fillId="0" borderId="31" xfId="0" applyNumberFormat="1" applyFont="1" applyBorder="1" applyAlignment="1" applyProtection="1">
      <alignment horizontal="center" vertical="center"/>
    </xf>
    <xf numFmtId="2" fontId="16" fillId="0" borderId="31" xfId="0" applyNumberFormat="1" applyFont="1" applyBorder="1" applyAlignment="1" applyProtection="1">
      <alignment horizontal="center" vertical="center"/>
    </xf>
    <xf numFmtId="2" fontId="16" fillId="0" borderId="31" xfId="0" applyNumberFormat="1" applyFont="1" applyFill="1" applyBorder="1" applyAlignment="1" applyProtection="1">
      <alignment horizontal="center" vertical="center"/>
    </xf>
    <xf numFmtId="2" fontId="16" fillId="0" borderId="4" xfId="0" applyNumberFormat="1" applyFont="1" applyFill="1" applyBorder="1" applyAlignment="1" applyProtection="1">
      <alignment horizontal="center" vertical="center"/>
    </xf>
    <xf numFmtId="171" fontId="43" fillId="12" borderId="101" xfId="12" applyFont="1" applyFill="1" applyBorder="1" applyAlignment="1" applyProtection="1">
      <alignment horizontal="center"/>
    </xf>
    <xf numFmtId="49" fontId="13" fillId="8" borderId="34" xfId="8" quotePrefix="1" applyNumberFormat="1" applyFont="1" applyFill="1" applyBorder="1" applyAlignment="1">
      <alignment horizontal="left"/>
    </xf>
    <xf numFmtId="171" fontId="13" fillId="8" borderId="2" xfId="8" applyFont="1" applyFill="1" applyBorder="1" applyAlignment="1">
      <alignment wrapText="1"/>
    </xf>
    <xf numFmtId="0" fontId="13" fillId="8" borderId="27" xfId="8" applyNumberFormat="1" applyFont="1" applyFill="1" applyBorder="1"/>
    <xf numFmtId="171" fontId="13" fillId="8" borderId="14" xfId="8" applyFont="1" applyFill="1" applyBorder="1" applyAlignment="1"/>
    <xf numFmtId="171" fontId="13" fillId="8" borderId="2" xfId="8" applyFont="1" applyFill="1" applyBorder="1" applyAlignment="1">
      <alignment horizontal="center"/>
    </xf>
    <xf numFmtId="171" fontId="13" fillId="8" borderId="18" xfId="8" applyFont="1" applyFill="1" applyBorder="1" applyAlignment="1"/>
    <xf numFmtId="171" fontId="13" fillId="8" borderId="3" xfId="8" applyFont="1" applyFill="1" applyBorder="1" applyAlignment="1">
      <alignment horizontal="center"/>
    </xf>
    <xf numFmtId="171" fontId="13" fillId="8" borderId="2" xfId="8" applyFont="1" applyFill="1" applyBorder="1" applyAlignment="1">
      <alignment horizontal="left" vertical="center" wrapText="1"/>
    </xf>
    <xf numFmtId="16" fontId="25" fillId="0" borderId="0" xfId="0" applyNumberFormat="1" applyFont="1" applyFill="1" applyBorder="1" applyAlignment="1" applyProtection="1">
      <alignment horizontal="center" vertical="center" wrapText="1"/>
    </xf>
    <xf numFmtId="16" fontId="34" fillId="0" borderId="0" xfId="0" applyNumberFormat="1" applyFont="1" applyFill="1" applyBorder="1" applyAlignment="1" applyProtection="1">
      <alignment horizontal="center" vertical="center" wrapText="1"/>
    </xf>
    <xf numFmtId="166" fontId="34" fillId="0" borderId="0" xfId="0" applyNumberFormat="1" applyFont="1" applyFill="1" applyBorder="1" applyAlignment="1" applyProtection="1">
      <alignment horizontal="center" vertical="center"/>
    </xf>
    <xf numFmtId="1" fontId="34" fillId="0" borderId="0" xfId="0" applyNumberFormat="1" applyFont="1" applyFill="1" applyBorder="1" applyAlignment="1" applyProtection="1">
      <alignment horizontal="center" vertical="center"/>
    </xf>
    <xf numFmtId="1" fontId="39" fillId="0" borderId="0" xfId="0" applyNumberFormat="1" applyFont="1" applyFill="1" applyBorder="1" applyAlignment="1" applyProtection="1">
      <alignment horizontal="center" vertical="center"/>
    </xf>
    <xf numFmtId="0" fontId="34" fillId="0" borderId="66" xfId="0" applyFont="1" applyBorder="1"/>
    <xf numFmtId="0" fontId="34" fillId="0" borderId="0" xfId="0" applyFont="1" applyBorder="1"/>
    <xf numFmtId="0" fontId="34" fillId="0" borderId="56" xfId="0" applyFont="1" applyBorder="1"/>
    <xf numFmtId="0" fontId="37" fillId="0" borderId="66" xfId="0" applyFont="1" applyBorder="1"/>
    <xf numFmtId="16" fontId="25" fillId="0" borderId="56" xfId="0" applyNumberFormat="1" applyFont="1" applyFill="1" applyBorder="1" applyAlignment="1" applyProtection="1">
      <alignment horizontal="center" vertical="center" wrapText="1"/>
    </xf>
    <xf numFmtId="16" fontId="34" fillId="0" borderId="56" xfId="0" applyNumberFormat="1" applyFont="1" applyFill="1" applyBorder="1" applyAlignment="1" applyProtection="1">
      <alignment horizontal="center" vertical="center" wrapText="1"/>
    </xf>
    <xf numFmtId="0" fontId="37" fillId="0" borderId="66" xfId="0" applyFont="1" applyFill="1" applyBorder="1"/>
    <xf numFmtId="166" fontId="34" fillId="0" borderId="56" xfId="0" applyNumberFormat="1" applyFont="1" applyFill="1" applyBorder="1" applyAlignment="1" applyProtection="1">
      <alignment horizontal="center" vertical="center"/>
    </xf>
    <xf numFmtId="1" fontId="34" fillId="0" borderId="56" xfId="0" applyNumberFormat="1" applyFont="1" applyFill="1" applyBorder="1" applyAlignment="1" applyProtection="1">
      <alignment horizontal="center" vertical="center"/>
    </xf>
    <xf numFmtId="1" fontId="39" fillId="0" borderId="56" xfId="0" applyNumberFormat="1" applyFont="1" applyFill="1" applyBorder="1" applyAlignment="1" applyProtection="1">
      <alignment horizontal="center" vertical="center"/>
    </xf>
    <xf numFmtId="0" fontId="26" fillId="0" borderId="66" xfId="0" applyFont="1" applyBorder="1"/>
    <xf numFmtId="0" fontId="15" fillId="0" borderId="0" xfId="0" applyFont="1" applyBorder="1" applyAlignment="1">
      <alignment wrapText="1"/>
    </xf>
    <xf numFmtId="0" fontId="6" fillId="0" borderId="0" xfId="0" applyFont="1" applyBorder="1" applyAlignment="1">
      <alignment wrapText="1"/>
    </xf>
    <xf numFmtId="0" fontId="37" fillId="0" borderId="0" xfId="0" applyFont="1" applyFill="1" applyBorder="1"/>
    <xf numFmtId="0" fontId="37" fillId="0" borderId="56" xfId="0" applyFont="1" applyFill="1" applyBorder="1"/>
    <xf numFmtId="0" fontId="0" fillId="0" borderId="87" xfId="0" applyBorder="1"/>
    <xf numFmtId="0" fontId="0" fillId="0" borderId="88" xfId="0" applyBorder="1"/>
    <xf numFmtId="0" fontId="0" fillId="0" borderId="76" xfId="0" applyBorder="1"/>
    <xf numFmtId="0" fontId="0" fillId="0" borderId="89" xfId="0" applyBorder="1"/>
    <xf numFmtId="1" fontId="3" fillId="0" borderId="70" xfId="0" applyNumberFormat="1" applyFont="1" applyBorder="1" applyAlignment="1" applyProtection="1">
      <alignment horizontal="center" vertical="center"/>
    </xf>
    <xf numFmtId="164" fontId="3" fillId="0" borderId="70" xfId="0" applyNumberFormat="1" applyFont="1" applyBorder="1" applyAlignment="1" applyProtection="1">
      <alignment horizontal="center" vertical="center"/>
    </xf>
    <xf numFmtId="2" fontId="3" fillId="0" borderId="73" xfId="0" applyNumberFormat="1" applyFont="1" applyBorder="1" applyAlignment="1" applyProtection="1">
      <alignment horizontal="center" vertical="center"/>
    </xf>
    <xf numFmtId="1" fontId="10" fillId="0" borderId="70" xfId="0" applyNumberFormat="1" applyFont="1" applyFill="1" applyBorder="1" applyAlignment="1" applyProtection="1">
      <alignment horizontal="center" vertical="center"/>
    </xf>
    <xf numFmtId="1" fontId="9" fillId="0" borderId="70" xfId="0" applyNumberFormat="1" applyFont="1" applyFill="1" applyBorder="1" applyAlignment="1" applyProtection="1">
      <alignment horizontal="center" vertical="center"/>
    </xf>
    <xf numFmtId="166" fontId="3" fillId="8" borderId="73" xfId="0" applyNumberFormat="1" applyFont="1" applyFill="1" applyBorder="1" applyAlignment="1" applyProtection="1">
      <alignment horizontal="center" vertical="center"/>
    </xf>
    <xf numFmtId="1" fontId="97" fillId="13" borderId="4" xfId="0" applyNumberFormat="1" applyFont="1" applyFill="1" applyBorder="1" applyAlignment="1" applyProtection="1">
      <alignment horizontal="center" vertical="center"/>
    </xf>
    <xf numFmtId="164" fontId="97" fillId="13" borderId="4" xfId="0" applyNumberFormat="1" applyFont="1" applyFill="1" applyBorder="1" applyAlignment="1" applyProtection="1">
      <alignment horizontal="center" vertical="center"/>
    </xf>
    <xf numFmtId="0" fontId="89" fillId="13" borderId="26" xfId="0" applyFont="1" applyFill="1" applyBorder="1" applyAlignment="1" applyProtection="1">
      <alignment horizontal="center" vertical="center"/>
    </xf>
    <xf numFmtId="0" fontId="3" fillId="0" borderId="70" xfId="0" applyFont="1" applyBorder="1" applyAlignment="1" applyProtection="1">
      <alignment horizontal="center" vertical="center"/>
    </xf>
    <xf numFmtId="166" fontId="4" fillId="0" borderId="31" xfId="0" applyNumberFormat="1" applyFont="1" applyBorder="1" applyAlignment="1" applyProtection="1">
      <alignment horizontal="center" vertical="center"/>
    </xf>
    <xf numFmtId="16" fontId="89" fillId="13" borderId="4" xfId="0" applyNumberFormat="1" applyFont="1" applyFill="1" applyBorder="1" applyAlignment="1" applyProtection="1">
      <alignment horizontal="center" vertical="center"/>
    </xf>
    <xf numFmtId="0" fontId="3" fillId="0" borderId="68" xfId="0" applyFont="1" applyBorder="1" applyAlignment="1" applyProtection="1">
      <alignment horizontal="center" vertical="center"/>
    </xf>
    <xf numFmtId="0" fontId="98" fillId="0" borderId="70" xfId="0" applyFont="1" applyFill="1" applyBorder="1" applyAlignment="1" applyProtection="1">
      <alignment horizontal="center" vertical="center"/>
    </xf>
    <xf numFmtId="0" fontId="98" fillId="0" borderId="71" xfId="0" applyFont="1" applyFill="1" applyBorder="1" applyAlignment="1" applyProtection="1">
      <alignment horizontal="center" vertical="center"/>
    </xf>
    <xf numFmtId="165" fontId="98" fillId="0" borderId="70" xfId="0" applyNumberFormat="1" applyFont="1" applyFill="1" applyBorder="1" applyAlignment="1" applyProtection="1">
      <alignment horizontal="center" vertical="center"/>
    </xf>
    <xf numFmtId="165" fontId="98" fillId="0" borderId="71" xfId="0" applyNumberFormat="1" applyFont="1" applyFill="1" applyBorder="1" applyAlignment="1" applyProtection="1">
      <alignment horizontal="center" vertical="center"/>
    </xf>
    <xf numFmtId="166" fontId="98" fillId="0" borderId="70" xfId="0" applyNumberFormat="1" applyFont="1" applyFill="1" applyBorder="1" applyAlignment="1" applyProtection="1">
      <alignment horizontal="center" vertical="center"/>
    </xf>
    <xf numFmtId="166" fontId="98" fillId="0" borderId="71" xfId="0" applyNumberFormat="1" applyFont="1" applyFill="1" applyBorder="1" applyAlignment="1" applyProtection="1">
      <alignment horizontal="center" vertical="center"/>
    </xf>
    <xf numFmtId="16" fontId="3" fillId="8" borderId="75" xfId="0" applyNumberFormat="1" applyFont="1" applyFill="1" applyBorder="1" applyAlignment="1" applyProtection="1">
      <alignment horizontal="center" vertical="center"/>
    </xf>
    <xf numFmtId="16" fontId="5" fillId="8" borderId="75" xfId="0" applyNumberFormat="1" applyFont="1" applyFill="1" applyBorder="1" applyAlignment="1" applyProtection="1">
      <alignment horizontal="center" vertical="center" wrapText="1"/>
    </xf>
    <xf numFmtId="0" fontId="3" fillId="8" borderId="70" xfId="0" applyFont="1" applyFill="1" applyBorder="1" applyAlignment="1" applyProtection="1">
      <alignment horizontal="center" vertical="center"/>
    </xf>
    <xf numFmtId="1" fontId="3" fillId="8" borderId="70" xfId="0" applyNumberFormat="1" applyFont="1" applyFill="1" applyBorder="1" applyAlignment="1" applyProtection="1">
      <alignment horizontal="center" vertical="center"/>
    </xf>
    <xf numFmtId="0" fontId="3" fillId="8" borderId="70" xfId="0" applyFont="1" applyFill="1" applyBorder="1" applyAlignment="1">
      <alignment horizontal="center"/>
    </xf>
    <xf numFmtId="166" fontId="5" fillId="8" borderId="75" xfId="0" applyNumberFormat="1" applyFont="1" applyFill="1" applyBorder="1" applyAlignment="1" applyProtection="1">
      <alignment horizontal="center" vertical="center"/>
    </xf>
    <xf numFmtId="166" fontId="4" fillId="0" borderId="70" xfId="0" applyNumberFormat="1" applyFont="1" applyBorder="1" applyAlignment="1" applyProtection="1">
      <alignment horizontal="center" vertical="center"/>
    </xf>
    <xf numFmtId="0" fontId="62" fillId="0" borderId="15" xfId="0" applyFont="1" applyBorder="1" applyAlignment="1">
      <alignment vertical="center" wrapText="1"/>
    </xf>
    <xf numFmtId="0" fontId="63" fillId="0" borderId="0" xfId="0" applyFont="1" applyBorder="1" applyAlignment="1">
      <alignment vertical="center" wrapText="1"/>
    </xf>
    <xf numFmtId="0" fontId="63" fillId="0" borderId="15" xfId="0" applyFont="1" applyBorder="1" applyAlignment="1">
      <alignment vertical="center" wrapText="1"/>
    </xf>
    <xf numFmtId="0" fontId="63" fillId="0" borderId="0" xfId="0" applyFont="1" applyBorder="1" applyAlignment="1">
      <alignment horizontal="right" vertical="center" wrapText="1"/>
    </xf>
    <xf numFmtId="0" fontId="62" fillId="0" borderId="0" xfId="0" applyFont="1" applyBorder="1" applyAlignment="1">
      <alignment vertical="center" wrapText="1"/>
    </xf>
    <xf numFmtId="2" fontId="16" fillId="0" borderId="70" xfId="0" applyNumberFormat="1" applyFont="1" applyBorder="1" applyAlignment="1" applyProtection="1">
      <alignment horizontal="center" vertical="center"/>
      <protection locked="0"/>
    </xf>
    <xf numFmtId="175" fontId="16" fillId="0" borderId="70" xfId="0" applyNumberFormat="1" applyFont="1" applyBorder="1" applyAlignment="1" applyProtection="1">
      <alignment horizontal="center" vertical="center"/>
      <protection locked="0"/>
    </xf>
    <xf numFmtId="2" fontId="15" fillId="0" borderId="70" xfId="0" applyNumberFormat="1" applyFont="1" applyBorder="1" applyAlignment="1" applyProtection="1">
      <alignment horizontal="center" vertical="center"/>
      <protection locked="0"/>
    </xf>
    <xf numFmtId="0" fontId="87" fillId="12" borderId="86" xfId="15" applyFont="1" applyFill="1" applyBorder="1" applyAlignment="1" applyProtection="1"/>
    <xf numFmtId="0" fontId="87" fillId="12" borderId="72" xfId="15" applyFont="1" applyFill="1" applyBorder="1" applyAlignment="1" applyProtection="1"/>
    <xf numFmtId="0" fontId="87" fillId="12" borderId="90" xfId="15" applyFont="1" applyFill="1" applyBorder="1" applyAlignment="1" applyProtection="1"/>
    <xf numFmtId="0" fontId="7" fillId="7" borderId="66" xfId="15" applyFont="1" applyFill="1" applyBorder="1" applyAlignment="1" applyProtection="1">
      <alignment horizontal="right"/>
      <protection hidden="1"/>
    </xf>
    <xf numFmtId="0" fontId="7" fillId="7" borderId="77" xfId="15" applyFont="1" applyFill="1" applyBorder="1" applyAlignment="1" applyProtection="1">
      <alignment horizontal="right"/>
      <protection hidden="1"/>
    </xf>
    <xf numFmtId="0" fontId="7" fillId="7" borderId="81" xfId="15" applyFont="1" applyFill="1" applyBorder="1" applyAlignment="1" applyProtection="1">
      <alignment horizontal="right"/>
      <protection hidden="1"/>
    </xf>
    <xf numFmtId="171" fontId="43" fillId="12" borderId="92" xfId="12" applyFont="1" applyFill="1" applyBorder="1" applyAlignment="1" applyProtection="1">
      <alignment horizontal="center"/>
    </xf>
    <xf numFmtId="0" fontId="87" fillId="12" borderId="85" xfId="15" applyFont="1" applyFill="1" applyBorder="1" applyAlignment="1" applyProtection="1"/>
    <xf numFmtId="0" fontId="87" fillId="12" borderId="71" xfId="15" applyFont="1" applyFill="1" applyBorder="1" applyAlignment="1" applyProtection="1"/>
    <xf numFmtId="0" fontId="87" fillId="12" borderId="89" xfId="15" applyFont="1" applyFill="1" applyBorder="1" applyAlignment="1" applyProtection="1"/>
    <xf numFmtId="0" fontId="3" fillId="0" borderId="0" xfId="0" applyFont="1" applyFill="1" applyBorder="1" applyAlignment="1" applyProtection="1">
      <alignment horizontal="center" vertical="center"/>
    </xf>
    <xf numFmtId="0" fontId="3" fillId="0" borderId="70" xfId="0" applyFont="1" applyBorder="1"/>
    <xf numFmtId="0" fontId="3" fillId="0" borderId="0" xfId="0" applyFont="1" applyBorder="1" applyAlignment="1">
      <alignment horizontal="center"/>
    </xf>
    <xf numFmtId="0" fontId="0" fillId="8" borderId="70" xfId="0" applyFill="1" applyBorder="1"/>
    <xf numFmtId="0" fontId="43" fillId="8" borderId="70" xfId="0" applyFont="1" applyFill="1" applyBorder="1"/>
    <xf numFmtId="2" fontId="16" fillId="0" borderId="70" xfId="0" quotePrefix="1" applyNumberFormat="1" applyFont="1" applyBorder="1" applyAlignment="1" applyProtection="1">
      <alignment horizontal="center" vertical="center"/>
      <protection locked="0"/>
    </xf>
    <xf numFmtId="2" fontId="16" fillId="0" borderId="68" xfId="0" quotePrefix="1" applyNumberFormat="1" applyFont="1" applyBorder="1" applyAlignment="1" applyProtection="1">
      <alignment horizontal="center" vertical="center"/>
      <protection locked="0"/>
    </xf>
    <xf numFmtId="175" fontId="16" fillId="0" borderId="4" xfId="0" applyNumberFormat="1" applyFont="1" applyFill="1" applyBorder="1" applyAlignment="1" applyProtection="1">
      <alignment horizontal="center" vertical="center"/>
    </xf>
    <xf numFmtId="177" fontId="73" fillId="8" borderId="72" xfId="6" applyNumberFormat="1" applyFont="1" applyFill="1" applyBorder="1" applyAlignment="1" applyProtection="1">
      <alignment horizontal="left" vertical="center"/>
      <protection locked="0"/>
    </xf>
    <xf numFmtId="0" fontId="73" fillId="8" borderId="72" xfId="6" applyNumberFormat="1" applyFont="1" applyFill="1" applyBorder="1" applyAlignment="1" applyProtection="1">
      <alignment horizontal="left" vertical="center"/>
      <protection locked="0"/>
    </xf>
    <xf numFmtId="0" fontId="73" fillId="8" borderId="74" xfId="6" applyNumberFormat="1" applyFont="1" applyFill="1" applyBorder="1" applyAlignment="1" applyProtection="1">
      <alignment horizontal="left" vertical="center"/>
      <protection locked="0"/>
    </xf>
    <xf numFmtId="2" fontId="73" fillId="8" borderId="72" xfId="6" applyNumberFormat="1" applyFont="1" applyFill="1" applyBorder="1" applyAlignment="1" applyProtection="1">
      <alignment horizontal="left" vertical="center"/>
      <protection locked="0"/>
    </xf>
    <xf numFmtId="0" fontId="73" fillId="8" borderId="69" xfId="6" applyNumberFormat="1" applyFont="1" applyFill="1" applyBorder="1" applyAlignment="1" applyProtection="1">
      <alignment horizontal="left" vertical="center"/>
      <protection locked="0"/>
    </xf>
    <xf numFmtId="171" fontId="18" fillId="0" borderId="29" xfId="6" applyFont="1" applyBorder="1" applyAlignment="1">
      <alignment horizontal="left" vertical="top" wrapText="1"/>
    </xf>
    <xf numFmtId="171" fontId="18" fillId="0" borderId="27" xfId="6" applyFont="1" applyBorder="1" applyAlignment="1">
      <alignment horizontal="left" vertical="top" wrapText="1"/>
    </xf>
    <xf numFmtId="171" fontId="18" fillId="0" borderId="33" xfId="6" applyFont="1" applyBorder="1" applyAlignment="1">
      <alignment horizontal="left" vertical="top" wrapText="1"/>
    </xf>
    <xf numFmtId="171" fontId="12" fillId="0" borderId="27" xfId="6" applyFont="1" applyBorder="1" applyAlignment="1">
      <alignment horizontal="center" vertical="center"/>
    </xf>
    <xf numFmtId="171" fontId="12" fillId="0" borderId="33" xfId="6" applyFont="1" applyBorder="1" applyAlignment="1">
      <alignment horizontal="center" vertical="center"/>
    </xf>
    <xf numFmtId="171" fontId="71" fillId="11" borderId="19" xfId="6" applyFont="1" applyFill="1" applyBorder="1" applyAlignment="1">
      <alignment horizontal="center" vertical="center"/>
    </xf>
    <xf numFmtId="171" fontId="71" fillId="11" borderId="26" xfId="6" applyFont="1" applyFill="1" applyBorder="1" applyAlignment="1">
      <alignment horizontal="center" vertical="center"/>
    </xf>
    <xf numFmtId="171" fontId="71" fillId="11" borderId="32" xfId="6" applyFont="1" applyFill="1" applyBorder="1" applyAlignment="1">
      <alignment horizontal="center" vertical="center"/>
    </xf>
    <xf numFmtId="176" fontId="71" fillId="11" borderId="19" xfId="6" applyNumberFormat="1" applyFont="1" applyFill="1" applyBorder="1" applyAlignment="1">
      <alignment horizontal="center" vertical="center"/>
    </xf>
    <xf numFmtId="176" fontId="71" fillId="11" borderId="26" xfId="6" applyNumberFormat="1" applyFont="1" applyFill="1" applyBorder="1" applyAlignment="1">
      <alignment horizontal="center" vertical="center"/>
    </xf>
    <xf numFmtId="176" fontId="71" fillId="11" borderId="32" xfId="6" applyNumberFormat="1" applyFont="1" applyFill="1" applyBorder="1" applyAlignment="1">
      <alignment horizontal="center" vertical="center"/>
    </xf>
    <xf numFmtId="0" fontId="7" fillId="7" borderId="52" xfId="15" applyFont="1" applyFill="1" applyBorder="1" applyAlignment="1" applyProtection="1">
      <alignment horizontal="right"/>
    </xf>
    <xf numFmtId="0" fontId="7" fillId="7" borderId="61" xfId="15" applyFont="1" applyFill="1" applyBorder="1" applyAlignment="1" applyProtection="1">
      <alignment horizontal="right"/>
    </xf>
    <xf numFmtId="0" fontId="7" fillId="7" borderId="47" xfId="15" applyFont="1" applyFill="1" applyBorder="1" applyAlignment="1" applyProtection="1">
      <alignment horizontal="right"/>
    </xf>
    <xf numFmtId="0" fontId="87" fillId="12" borderId="89" xfId="15" applyFont="1" applyFill="1" applyBorder="1" applyAlignment="1" applyProtection="1">
      <alignment horizontal="left"/>
    </xf>
    <xf numFmtId="0" fontId="87" fillId="12" borderId="90" xfId="15" applyFont="1" applyFill="1" applyBorder="1" applyAlignment="1" applyProtection="1">
      <alignment horizontal="left"/>
    </xf>
    <xf numFmtId="0" fontId="87" fillId="12" borderId="97" xfId="15" applyFont="1" applyFill="1" applyBorder="1" applyAlignment="1" applyProtection="1">
      <alignment horizontal="left"/>
    </xf>
    <xf numFmtId="0" fontId="12" fillId="0" borderId="26" xfId="0" applyFont="1" applyBorder="1" applyAlignment="1">
      <alignment vertical="center"/>
    </xf>
    <xf numFmtId="0" fontId="87" fillId="12" borderId="105" xfId="15" applyFont="1" applyFill="1" applyBorder="1" applyAlignment="1" applyProtection="1"/>
    <xf numFmtId="0" fontId="87" fillId="12" borderId="86" xfId="15" applyFont="1" applyFill="1" applyBorder="1" applyAlignment="1" applyProtection="1"/>
    <xf numFmtId="0" fontId="87" fillId="12" borderId="87" xfId="15" applyFont="1" applyFill="1" applyBorder="1" applyAlignment="1" applyProtection="1"/>
    <xf numFmtId="0" fontId="87" fillId="12" borderId="99" xfId="15" applyFont="1" applyFill="1" applyBorder="1" applyAlignment="1" applyProtection="1"/>
    <xf numFmtId="0" fontId="87" fillId="12" borderId="72" xfId="15" applyFont="1" applyFill="1" applyBorder="1" applyAlignment="1" applyProtection="1"/>
    <xf numFmtId="0" fontId="87" fillId="12" borderId="88" xfId="15" applyFont="1" applyFill="1" applyBorder="1" applyAlignment="1" applyProtection="1"/>
    <xf numFmtId="0" fontId="87" fillId="12" borderId="106" xfId="15" applyFont="1" applyFill="1" applyBorder="1" applyAlignment="1" applyProtection="1"/>
    <xf numFmtId="0" fontId="87" fillId="12" borderId="90" xfId="15" applyFont="1" applyFill="1" applyBorder="1" applyAlignment="1" applyProtection="1"/>
    <xf numFmtId="0" fontId="87" fillId="12" borderId="76" xfId="15" applyFont="1" applyFill="1" applyBorder="1" applyAlignment="1" applyProtection="1"/>
    <xf numFmtId="0" fontId="7" fillId="7" borderId="29" xfId="15" applyFont="1" applyFill="1" applyBorder="1" applyAlignment="1" applyProtection="1">
      <alignment horizontal="right"/>
    </xf>
    <xf numFmtId="0" fontId="7" fillId="7" borderId="27" xfId="15" applyFont="1" applyFill="1" applyBorder="1" applyAlignment="1" applyProtection="1">
      <alignment horizontal="right"/>
    </xf>
    <xf numFmtId="0" fontId="7" fillId="7" borderId="33" xfId="15" applyFont="1" applyFill="1" applyBorder="1" applyAlignment="1" applyProtection="1">
      <alignment horizontal="right"/>
    </xf>
    <xf numFmtId="0" fontId="12" fillId="0" borderId="80" xfId="0" applyFont="1" applyBorder="1" applyAlignment="1">
      <alignment vertical="center"/>
    </xf>
    <xf numFmtId="0" fontId="12" fillId="0" borderId="26" xfId="0" applyFont="1" applyBorder="1" applyAlignment="1">
      <alignment horizontal="left" vertical="center"/>
    </xf>
    <xf numFmtId="0" fontId="7" fillId="7" borderId="15" xfId="15" applyFont="1" applyFill="1" applyBorder="1" applyAlignment="1" applyProtection="1">
      <alignment horizontal="right"/>
    </xf>
    <xf numFmtId="0" fontId="7" fillId="7" borderId="0" xfId="15" applyFont="1" applyFill="1" applyBorder="1" applyAlignment="1" applyProtection="1">
      <alignment horizontal="right"/>
    </xf>
    <xf numFmtId="0" fontId="7" fillId="7" borderId="55" xfId="15" applyFont="1" applyFill="1" applyBorder="1" applyAlignment="1" applyProtection="1">
      <alignment horizontal="right"/>
    </xf>
    <xf numFmtId="0" fontId="87" fillId="12" borderId="85" xfId="15" applyFont="1" applyFill="1" applyBorder="1" applyAlignment="1" applyProtection="1">
      <alignment horizontal="left"/>
    </xf>
    <xf numFmtId="0" fontId="87" fillId="12" borderId="86" xfId="15" applyFont="1" applyFill="1" applyBorder="1" applyAlignment="1" applyProtection="1">
      <alignment horizontal="left"/>
    </xf>
    <xf numFmtId="0" fontId="87" fillId="12" borderId="95" xfId="15" applyFont="1" applyFill="1" applyBorder="1" applyAlignment="1" applyProtection="1">
      <alignment horizontal="left"/>
    </xf>
    <xf numFmtId="0" fontId="87" fillId="12" borderId="71" xfId="15" applyFont="1" applyFill="1" applyBorder="1" applyAlignment="1" applyProtection="1">
      <alignment horizontal="left"/>
    </xf>
    <xf numFmtId="0" fontId="87" fillId="12" borderId="72" xfId="15" applyFont="1" applyFill="1" applyBorder="1" applyAlignment="1" applyProtection="1">
      <alignment horizontal="left"/>
    </xf>
    <xf numFmtId="0" fontId="87" fillId="12" borderId="96" xfId="15" applyFont="1" applyFill="1" applyBorder="1" applyAlignment="1" applyProtection="1">
      <alignment horizontal="left"/>
    </xf>
    <xf numFmtId="0" fontId="6" fillId="7" borderId="63" xfId="0" applyFont="1" applyFill="1" applyBorder="1" applyAlignment="1" applyProtection="1">
      <alignment horizontal="center" vertical="center"/>
    </xf>
    <xf numFmtId="0" fontId="6" fillId="7" borderId="0" xfId="0" applyFont="1" applyFill="1" applyBorder="1" applyAlignment="1" applyProtection="1">
      <alignment horizontal="center" vertical="center"/>
    </xf>
    <xf numFmtId="0" fontId="6" fillId="7" borderId="61" xfId="0" applyFont="1" applyFill="1" applyBorder="1" applyAlignment="1" applyProtection="1">
      <alignment horizontal="center" vertical="center"/>
    </xf>
    <xf numFmtId="171" fontId="18" fillId="7" borderId="63" xfId="12" applyFont="1" applyFill="1" applyBorder="1" applyAlignment="1" applyProtection="1">
      <alignment horizontal="right"/>
    </xf>
    <xf numFmtId="171" fontId="18" fillId="7" borderId="36" xfId="12" applyFont="1" applyFill="1" applyBorder="1" applyAlignment="1" applyProtection="1">
      <alignment horizontal="right"/>
    </xf>
    <xf numFmtId="171" fontId="18" fillId="7" borderId="0" xfId="12" applyFont="1" applyFill="1" applyBorder="1" applyAlignment="1" applyProtection="1">
      <alignment horizontal="right"/>
    </xf>
    <xf numFmtId="171" fontId="18" fillId="7" borderId="55" xfId="12" applyFont="1" applyFill="1" applyBorder="1" applyAlignment="1" applyProtection="1">
      <alignment horizontal="right"/>
    </xf>
    <xf numFmtId="0" fontId="7" fillId="7" borderId="66" xfId="15" applyFont="1" applyFill="1" applyBorder="1" applyAlignment="1" applyProtection="1">
      <alignment horizontal="right"/>
      <protection hidden="1"/>
    </xf>
    <xf numFmtId="0" fontId="7" fillId="7" borderId="0" xfId="15" applyFont="1" applyFill="1" applyBorder="1" applyAlignment="1" applyProtection="1">
      <alignment horizontal="right"/>
      <protection hidden="1"/>
    </xf>
    <xf numFmtId="0" fontId="46" fillId="0" borderId="8" xfId="0" applyFont="1" applyBorder="1" applyAlignment="1">
      <alignment horizontal="center" vertical="center" wrapText="1"/>
    </xf>
    <xf numFmtId="0" fontId="46" fillId="0" borderId="4" xfId="0" applyFont="1" applyBorder="1" applyAlignment="1">
      <alignment horizontal="center" vertical="center"/>
    </xf>
    <xf numFmtId="169" fontId="0" fillId="0" borderId="79" xfId="0" applyNumberFormat="1" applyBorder="1" applyAlignment="1">
      <alignment vertical="center"/>
    </xf>
    <xf numFmtId="169" fontId="0" fillId="0" borderId="26" xfId="0" applyNumberFormat="1" applyBorder="1" applyAlignment="1">
      <alignment vertical="center"/>
    </xf>
    <xf numFmtId="169" fontId="0" fillId="0" borderId="32" xfId="0" applyNumberFormat="1" applyBorder="1" applyAlignment="1">
      <alignment vertical="center"/>
    </xf>
    <xf numFmtId="0" fontId="0" fillId="0" borderId="79" xfId="0" applyBorder="1" applyAlignment="1">
      <alignment horizontal="left" vertical="center" indent="2"/>
    </xf>
    <xf numFmtId="0" fontId="0" fillId="0" borderId="26" xfId="0" applyBorder="1" applyAlignment="1">
      <alignment horizontal="left" vertical="center" indent="2"/>
    </xf>
    <xf numFmtId="0" fontId="0" fillId="0" borderId="32" xfId="0" applyBorder="1" applyAlignment="1">
      <alignment horizontal="left" vertical="center" indent="2"/>
    </xf>
    <xf numFmtId="169" fontId="0" fillId="0" borderId="106" xfId="0" applyNumberFormat="1" applyBorder="1" applyAlignment="1">
      <alignment vertical="center"/>
    </xf>
    <xf numFmtId="169" fontId="0" fillId="0" borderId="90" xfId="0" applyNumberFormat="1" applyBorder="1" applyAlignment="1">
      <alignment vertical="center"/>
    </xf>
    <xf numFmtId="169" fontId="0" fillId="0" borderId="76" xfId="0" applyNumberFormat="1" applyBorder="1" applyAlignment="1">
      <alignment vertical="center"/>
    </xf>
    <xf numFmtId="169" fontId="0" fillId="0" borderId="105" xfId="0" applyNumberFormat="1" applyBorder="1" applyAlignment="1">
      <alignment vertical="center"/>
    </xf>
    <xf numFmtId="169" fontId="0" fillId="0" borderId="86" xfId="0" applyNumberFormat="1" applyBorder="1" applyAlignment="1">
      <alignment vertical="center"/>
    </xf>
    <xf numFmtId="169" fontId="0" fillId="0" borderId="87" xfId="0" applyNumberFormat="1" applyBorder="1" applyAlignment="1">
      <alignment vertical="center"/>
    </xf>
    <xf numFmtId="169" fontId="82" fillId="13" borderId="79" xfId="0" applyNumberFormat="1" applyFont="1" applyFill="1" applyBorder="1" applyAlignment="1"/>
    <xf numFmtId="169" fontId="82" fillId="13" borderId="26" xfId="0" applyNumberFormat="1" applyFont="1" applyFill="1" applyBorder="1" applyAlignment="1"/>
    <xf numFmtId="169" fontId="82" fillId="13" borderId="80" xfId="0" applyNumberFormat="1" applyFont="1" applyFill="1" applyBorder="1" applyAlignment="1"/>
    <xf numFmtId="169" fontId="82" fillId="13" borderId="79" xfId="0" applyNumberFormat="1" applyFont="1" applyFill="1" applyBorder="1" applyAlignment="1">
      <alignment vertical="center"/>
    </xf>
    <xf numFmtId="169" fontId="82" fillId="13" borderId="26" xfId="0" applyNumberFormat="1" applyFont="1" applyFill="1" applyBorder="1" applyAlignment="1">
      <alignment vertical="center"/>
    </xf>
    <xf numFmtId="169" fontId="82" fillId="13" borderId="80" xfId="0" applyNumberFormat="1" applyFont="1" applyFill="1" applyBorder="1" applyAlignment="1">
      <alignment vertical="center"/>
    </xf>
    <xf numFmtId="0" fontId="6" fillId="7" borderId="79" xfId="15" applyFont="1" applyFill="1" applyBorder="1" applyAlignment="1" applyProtection="1">
      <alignment horizontal="center"/>
    </xf>
    <xf numFmtId="0" fontId="6" fillId="7" borderId="26" xfId="15" applyFont="1" applyFill="1" applyBorder="1" applyAlignment="1" applyProtection="1">
      <alignment horizontal="center"/>
    </xf>
    <xf numFmtId="0" fontId="7" fillId="7" borderId="77" xfId="15" applyFont="1" applyFill="1" applyBorder="1" applyAlignment="1" applyProtection="1">
      <alignment horizontal="right"/>
      <protection hidden="1"/>
    </xf>
    <xf numFmtId="0" fontId="7" fillId="7" borderId="61" xfId="15" applyFont="1" applyFill="1" applyBorder="1" applyAlignment="1" applyProtection="1">
      <alignment horizontal="right"/>
      <protection hidden="1"/>
    </xf>
    <xf numFmtId="0" fontId="7" fillId="7" borderId="81" xfId="15" applyFont="1" applyFill="1" applyBorder="1" applyAlignment="1" applyProtection="1">
      <alignment horizontal="right"/>
      <protection hidden="1"/>
    </xf>
    <xf numFmtId="0" fontId="7" fillId="7" borderId="27" xfId="15" applyFont="1" applyFill="1" applyBorder="1" applyAlignment="1" applyProtection="1">
      <alignment horizontal="right"/>
      <protection hidden="1"/>
    </xf>
    <xf numFmtId="0" fontId="7" fillId="7" borderId="33" xfId="15" applyFont="1" applyFill="1" applyBorder="1" applyAlignment="1" applyProtection="1">
      <alignment horizontal="right"/>
      <protection hidden="1"/>
    </xf>
    <xf numFmtId="0" fontId="7" fillId="7" borderId="55" xfId="15" applyFont="1" applyFill="1" applyBorder="1" applyAlignment="1" applyProtection="1">
      <alignment horizontal="right"/>
      <protection hidden="1"/>
    </xf>
    <xf numFmtId="1" fontId="84" fillId="14" borderId="63" xfId="0" applyNumberFormat="1" applyFont="1" applyFill="1" applyBorder="1" applyAlignment="1" applyProtection="1">
      <alignment horizontal="right" vertical="center"/>
    </xf>
    <xf numFmtId="1" fontId="84" fillId="14" borderId="11" xfId="0" applyNumberFormat="1" applyFont="1" applyFill="1" applyBorder="1" applyAlignment="1" applyProtection="1">
      <alignment horizontal="right" vertical="center"/>
    </xf>
    <xf numFmtId="171" fontId="43" fillId="12" borderId="114" xfId="12" applyFont="1" applyFill="1" applyBorder="1" applyAlignment="1" applyProtection="1">
      <alignment horizontal="center"/>
    </xf>
    <xf numFmtId="171" fontId="43" fillId="12" borderId="92" xfId="12" applyFont="1" applyFill="1" applyBorder="1" applyAlignment="1" applyProtection="1">
      <alignment horizontal="center"/>
    </xf>
    <xf numFmtId="171" fontId="43" fillId="12" borderId="71" xfId="12" applyFont="1" applyFill="1" applyBorder="1" applyAlignment="1" applyProtection="1">
      <alignment horizontal="center"/>
    </xf>
    <xf numFmtId="171" fontId="43" fillId="12" borderId="96" xfId="12" applyFont="1" applyFill="1" applyBorder="1" applyAlignment="1" applyProtection="1">
      <alignment horizontal="center"/>
    </xf>
    <xf numFmtId="49" fontId="18" fillId="12" borderId="63" xfId="0" applyNumberFormat="1" applyFont="1" applyFill="1" applyBorder="1" applyAlignment="1" applyProtection="1">
      <alignment horizontal="right" vertical="center"/>
    </xf>
    <xf numFmtId="0" fontId="1" fillId="0" borderId="0" xfId="2" applyFill="1" applyBorder="1" applyAlignment="1">
      <alignment horizontal="left" vertical="center" textRotation="90"/>
    </xf>
    <xf numFmtId="0" fontId="1" fillId="0" borderId="0" xfId="2" applyBorder="1" applyAlignment="1">
      <alignment horizontal="left" vertical="center"/>
    </xf>
    <xf numFmtId="0" fontId="57" fillId="0" borderId="0" xfId="2" applyFont="1" applyFill="1" applyBorder="1" applyAlignment="1">
      <alignment horizontal="center"/>
    </xf>
    <xf numFmtId="0" fontId="57" fillId="0" borderId="0" xfId="2" applyFont="1" applyBorder="1" applyAlignment="1">
      <alignment horizontal="center"/>
    </xf>
    <xf numFmtId="173" fontId="56" fillId="0" borderId="0" xfId="2" applyNumberFormat="1" applyFont="1" applyFill="1" applyBorder="1" applyAlignment="1">
      <alignment vertical="center"/>
    </xf>
    <xf numFmtId="0" fontId="58" fillId="0" borderId="0" xfId="2" applyFont="1" applyFill="1" applyBorder="1" applyAlignment="1">
      <alignment horizontal="center" vertical="center" textRotation="90"/>
    </xf>
    <xf numFmtId="14" fontId="43" fillId="12" borderId="71" xfId="12" quotePrefix="1" applyNumberFormat="1" applyFont="1" applyFill="1" applyBorder="1" applyAlignment="1" applyProtection="1">
      <alignment horizontal="center"/>
    </xf>
    <xf numFmtId="14" fontId="43" fillId="12" borderId="96" xfId="12" quotePrefix="1" applyNumberFormat="1" applyFont="1" applyFill="1" applyBorder="1" applyAlignment="1" applyProtection="1">
      <alignment horizontal="center"/>
    </xf>
    <xf numFmtId="171" fontId="43" fillId="12" borderId="112" xfId="12" applyFont="1" applyFill="1" applyBorder="1" applyAlignment="1" applyProtection="1">
      <alignment horizontal="center"/>
    </xf>
    <xf numFmtId="171" fontId="43" fillId="12" borderId="113" xfId="12" applyFont="1" applyFill="1" applyBorder="1" applyAlignment="1" applyProtection="1">
      <alignment horizontal="center"/>
    </xf>
    <xf numFmtId="0" fontId="6" fillId="7" borderId="62" xfId="0" applyFont="1" applyFill="1" applyBorder="1" applyAlignment="1" applyProtection="1">
      <alignment horizontal="center"/>
    </xf>
    <xf numFmtId="0" fontId="6" fillId="7" borderId="63" xfId="0" applyFont="1" applyFill="1" applyBorder="1" applyAlignment="1" applyProtection="1">
      <alignment horizontal="center"/>
    </xf>
    <xf numFmtId="0" fontId="6" fillId="7" borderId="66" xfId="0" applyFont="1" applyFill="1" applyBorder="1" applyAlignment="1" applyProtection="1">
      <alignment horizontal="center"/>
    </xf>
    <xf numFmtId="0" fontId="6" fillId="7" borderId="0" xfId="0" applyFont="1" applyFill="1" applyBorder="1" applyAlignment="1" applyProtection="1">
      <alignment horizontal="center"/>
    </xf>
    <xf numFmtId="0" fontId="6" fillId="7" borderId="77" xfId="0" applyFont="1" applyFill="1" applyBorder="1" applyAlignment="1" applyProtection="1">
      <alignment horizontal="center"/>
    </xf>
    <xf numFmtId="0" fontId="6" fillId="7" borderId="61" xfId="0" applyFont="1" applyFill="1" applyBorder="1" applyAlignment="1" applyProtection="1">
      <alignment horizontal="center"/>
    </xf>
    <xf numFmtId="0" fontId="6" fillId="7" borderId="64" xfId="15" applyFont="1" applyFill="1" applyBorder="1" applyAlignment="1" applyProtection="1">
      <alignment horizontal="center"/>
    </xf>
    <xf numFmtId="0" fontId="6" fillId="7" borderId="65" xfId="15" applyFont="1" applyFill="1" applyBorder="1" applyAlignment="1" applyProtection="1">
      <alignment horizontal="center"/>
    </xf>
    <xf numFmtId="0" fontId="6" fillId="7" borderId="46" xfId="15" applyFont="1" applyFill="1" applyBorder="1" applyAlignment="1" applyProtection="1">
      <alignment horizontal="center"/>
    </xf>
    <xf numFmtId="0" fontId="7" fillId="7" borderId="47" xfId="15" applyFont="1" applyFill="1" applyBorder="1" applyAlignment="1" applyProtection="1">
      <alignment horizontal="right"/>
      <protection hidden="1"/>
    </xf>
    <xf numFmtId="0" fontId="87" fillId="12" borderId="85" xfId="15" applyFont="1" applyFill="1" applyBorder="1" applyAlignment="1" applyProtection="1"/>
    <xf numFmtId="0" fontId="87" fillId="12" borderId="71" xfId="15" applyFont="1" applyFill="1" applyBorder="1" applyAlignment="1" applyProtection="1"/>
    <xf numFmtId="0" fontId="87" fillId="12" borderId="89" xfId="15" applyFont="1" applyFill="1" applyBorder="1" applyAlignment="1" applyProtection="1"/>
    <xf numFmtId="0" fontId="15" fillId="0" borderId="29" xfId="0" applyFont="1" applyBorder="1" applyAlignment="1" applyProtection="1"/>
    <xf numFmtId="0" fontId="15" fillId="0" borderId="27" xfId="0" applyFont="1" applyBorder="1" applyAlignment="1" applyProtection="1"/>
    <xf numFmtId="0" fontId="15" fillId="0" borderId="33" xfId="0" applyFont="1" applyBorder="1" applyAlignment="1" applyProtection="1"/>
    <xf numFmtId="0" fontId="15" fillId="0" borderId="15" xfId="0" applyFont="1" applyBorder="1" applyAlignment="1" applyProtection="1"/>
    <xf numFmtId="0" fontId="15" fillId="0" borderId="0" xfId="0" applyFont="1" applyBorder="1" applyAlignment="1" applyProtection="1"/>
    <xf numFmtId="0" fontId="15" fillId="0" borderId="55" xfId="0" applyFont="1" applyBorder="1" applyAlignment="1" applyProtection="1"/>
    <xf numFmtId="0" fontId="3" fillId="0" borderId="29" xfId="0" applyFont="1" applyFill="1" applyBorder="1" applyAlignment="1" applyProtection="1">
      <alignment horizontal="center" vertical="center"/>
    </xf>
    <xf numFmtId="0" fontId="3" fillId="0" borderId="27" xfId="0" applyFont="1" applyFill="1" applyBorder="1" applyAlignment="1" applyProtection="1">
      <alignment horizontal="center" vertical="center"/>
    </xf>
    <xf numFmtId="0" fontId="3" fillId="0" borderId="33" xfId="0" applyFont="1" applyFill="1" applyBorder="1" applyAlignment="1" applyProtection="1">
      <alignment horizontal="center" vertical="center"/>
    </xf>
    <xf numFmtId="0" fontId="3" fillId="0" borderId="15" xfId="0" applyFont="1" applyFill="1" applyBorder="1" applyAlignment="1" applyProtection="1">
      <alignment horizontal="center" vertical="center"/>
    </xf>
    <xf numFmtId="0" fontId="3" fillId="0" borderId="0" xfId="0" applyFont="1" applyFill="1" applyBorder="1" applyAlignment="1" applyProtection="1">
      <alignment horizontal="center" vertical="center"/>
    </xf>
    <xf numFmtId="0" fontId="3" fillId="0" borderId="55" xfId="0" applyFont="1" applyFill="1" applyBorder="1" applyAlignment="1" applyProtection="1">
      <alignment horizontal="center" vertical="center"/>
    </xf>
    <xf numFmtId="0" fontId="15" fillId="0" borderId="52" xfId="0" applyFont="1" applyBorder="1" applyAlignment="1" applyProtection="1"/>
    <xf numFmtId="0" fontId="15" fillId="0" borderId="61" xfId="0" applyFont="1" applyBorder="1" applyAlignment="1" applyProtection="1"/>
    <xf numFmtId="0" fontId="15" fillId="0" borderId="47" xfId="0" applyFont="1" applyBorder="1" applyAlignment="1" applyProtection="1"/>
    <xf numFmtId="0" fontId="88" fillId="13" borderId="19" xfId="0" applyFont="1" applyFill="1" applyBorder="1" applyAlignment="1" applyProtection="1">
      <alignment horizontal="left"/>
    </xf>
    <xf numFmtId="0" fontId="88" fillId="13" borderId="26" xfId="0" applyFont="1" applyFill="1" applyBorder="1" applyAlignment="1" applyProtection="1">
      <alignment horizontal="left"/>
    </xf>
    <xf numFmtId="0" fontId="3" fillId="0" borderId="52" xfId="0" applyFont="1" applyFill="1" applyBorder="1" applyAlignment="1" applyProtection="1">
      <alignment horizontal="center" vertical="center"/>
    </xf>
    <xf numFmtId="0" fontId="3" fillId="0" borderId="61" xfId="0" applyFont="1" applyFill="1" applyBorder="1" applyAlignment="1" applyProtection="1">
      <alignment horizontal="center" vertical="center"/>
    </xf>
    <xf numFmtId="0" fontId="3" fillId="0" borderId="47" xfId="0" applyFont="1" applyFill="1" applyBorder="1" applyAlignment="1" applyProtection="1">
      <alignment horizontal="center" vertical="center"/>
    </xf>
    <xf numFmtId="0" fontId="89" fillId="13" borderId="26" xfId="0" applyFont="1" applyFill="1" applyBorder="1" applyAlignment="1" applyProtection="1">
      <alignment horizontal="center" vertical="center"/>
    </xf>
    <xf numFmtId="0" fontId="25" fillId="0" borderId="73" xfId="0" applyFont="1" applyBorder="1" applyAlignment="1" applyProtection="1">
      <alignment vertical="top" wrapText="1"/>
    </xf>
    <xf numFmtId="0" fontId="25" fillId="0" borderId="68" xfId="0" applyFont="1" applyBorder="1" applyAlignment="1" applyProtection="1">
      <alignment vertical="top" wrapText="1"/>
    </xf>
    <xf numFmtId="0" fontId="25" fillId="0" borderId="70" xfId="0" applyFont="1" applyBorder="1" applyAlignment="1" applyProtection="1">
      <alignment vertical="top" wrapText="1"/>
    </xf>
    <xf numFmtId="0" fontId="0" fillId="0" borderId="29" xfId="0" applyBorder="1" applyAlignment="1">
      <alignment horizontal="center"/>
    </xf>
    <xf numFmtId="0" fontId="0" fillId="0" borderId="15" xfId="0" applyBorder="1" applyAlignment="1">
      <alignment horizontal="center"/>
    </xf>
    <xf numFmtId="0" fontId="0" fillId="0" borderId="52" xfId="0" applyBorder="1" applyAlignment="1">
      <alignment horizontal="center"/>
    </xf>
    <xf numFmtId="0" fontId="3" fillId="0" borderId="15" xfId="0" applyFont="1" applyBorder="1" applyAlignment="1" applyProtection="1"/>
    <xf numFmtId="0" fontId="3" fillId="0" borderId="0" xfId="0" applyFont="1" applyBorder="1" applyAlignment="1" applyProtection="1"/>
    <xf numFmtId="0" fontId="3" fillId="0" borderId="55" xfId="0" applyFont="1" applyBorder="1" applyAlignment="1" applyProtection="1"/>
    <xf numFmtId="0" fontId="87" fillId="12" borderId="76" xfId="15" applyFont="1" applyFill="1" applyBorder="1" applyAlignment="1" applyProtection="1">
      <alignment horizontal="left"/>
    </xf>
    <xf numFmtId="0" fontId="6" fillId="7" borderId="80" xfId="15" applyFont="1" applyFill="1" applyBorder="1" applyAlignment="1" applyProtection="1">
      <alignment horizontal="center"/>
    </xf>
    <xf numFmtId="0" fontId="88" fillId="13" borderId="19" xfId="0" applyFont="1" applyFill="1" applyBorder="1" applyAlignment="1" applyProtection="1">
      <alignment horizontal="center"/>
    </xf>
    <xf numFmtId="0" fontId="88" fillId="13" borderId="26" xfId="0" applyFont="1" applyFill="1" applyBorder="1" applyAlignment="1" applyProtection="1">
      <alignment horizontal="center"/>
    </xf>
    <xf numFmtId="0" fontId="88" fillId="13" borderId="32" xfId="0" applyFont="1" applyFill="1" applyBorder="1" applyAlignment="1" applyProtection="1">
      <alignment horizontal="center"/>
    </xf>
    <xf numFmtId="0" fontId="8" fillId="0" borderId="0" xfId="0" applyFont="1" applyBorder="1" applyAlignment="1">
      <alignment horizontal="center" vertical="center"/>
    </xf>
    <xf numFmtId="0" fontId="87" fillId="12" borderId="87" xfId="15" applyFont="1" applyFill="1" applyBorder="1" applyAlignment="1" applyProtection="1">
      <alignment horizontal="left"/>
    </xf>
    <xf numFmtId="0" fontId="87" fillId="12" borderId="88" xfId="15" applyFont="1" applyFill="1" applyBorder="1" applyAlignment="1" applyProtection="1">
      <alignment horizontal="left"/>
    </xf>
    <xf numFmtId="171" fontId="18" fillId="7" borderId="61" xfId="12" applyFont="1" applyFill="1" applyBorder="1" applyAlignment="1" applyProtection="1">
      <alignment horizontal="right"/>
    </xf>
    <xf numFmtId="171" fontId="18" fillId="7" borderId="47" xfId="12" applyFont="1" applyFill="1" applyBorder="1" applyAlignment="1" applyProtection="1">
      <alignment horizontal="right"/>
    </xf>
    <xf numFmtId="0" fontId="35" fillId="0" borderId="26" xfId="0" applyFont="1" applyBorder="1" applyAlignment="1">
      <alignment horizontal="center"/>
    </xf>
    <xf numFmtId="0" fontId="0" fillId="0" borderId="112" xfId="0" applyBorder="1" applyAlignment="1">
      <alignment horizontal="center"/>
    </xf>
    <xf numFmtId="0" fontId="0" fillId="0" borderId="74" xfId="0" applyBorder="1" applyAlignment="1">
      <alignment horizontal="center"/>
    </xf>
    <xf numFmtId="0" fontId="0" fillId="0" borderId="121" xfId="0" applyBorder="1" applyAlignment="1">
      <alignment horizontal="center"/>
    </xf>
    <xf numFmtId="0" fontId="0" fillId="0" borderId="85" xfId="0" applyBorder="1" applyAlignment="1">
      <alignment horizontal="center"/>
    </xf>
    <xf numFmtId="0" fontId="0" fillId="0" borderId="86" xfId="0" applyBorder="1" applyAlignment="1">
      <alignment horizontal="center"/>
    </xf>
    <xf numFmtId="0" fontId="0" fillId="0" borderId="87" xfId="0" applyBorder="1" applyAlignment="1">
      <alignment horizontal="center"/>
    </xf>
    <xf numFmtId="0" fontId="0" fillId="0" borderId="71" xfId="0" applyBorder="1" applyAlignment="1">
      <alignment horizontal="center"/>
    </xf>
    <xf numFmtId="0" fontId="0" fillId="0" borderId="72" xfId="0" applyBorder="1" applyAlignment="1">
      <alignment horizontal="center"/>
    </xf>
    <xf numFmtId="0" fontId="0" fillId="0" borderId="88" xfId="0" applyBorder="1" applyAlignment="1">
      <alignment horizontal="center"/>
    </xf>
    <xf numFmtId="0" fontId="0" fillId="0" borderId="19" xfId="0" applyBorder="1" applyAlignment="1">
      <alignment horizontal="center"/>
    </xf>
    <xf numFmtId="0" fontId="0" fillId="0" borderId="26" xfId="0" applyBorder="1" applyAlignment="1">
      <alignment horizontal="center"/>
    </xf>
    <xf numFmtId="0" fontId="0" fillId="0" borderId="32" xfId="0" applyBorder="1" applyAlignment="1">
      <alignment horizontal="center"/>
    </xf>
    <xf numFmtId="0" fontId="3" fillId="0" borderId="99" xfId="0" applyFont="1" applyFill="1" applyBorder="1" applyAlignment="1" applyProtection="1">
      <alignment vertical="center"/>
    </xf>
    <xf numFmtId="0" fontId="3" fillId="0" borderId="72" xfId="0" applyFont="1" applyFill="1" applyBorder="1" applyAlignment="1" applyProtection="1">
      <alignment vertical="center"/>
    </xf>
    <xf numFmtId="0" fontId="3" fillId="0" borderId="88" xfId="0" applyFont="1" applyFill="1" applyBorder="1" applyAlignment="1" applyProtection="1">
      <alignment vertical="center"/>
    </xf>
    <xf numFmtId="0" fontId="3" fillId="0" borderId="99" xfId="0" applyFont="1" applyBorder="1"/>
    <xf numFmtId="0" fontId="3" fillId="0" borderId="72" xfId="0" applyFont="1" applyBorder="1"/>
    <xf numFmtId="0" fontId="3" fillId="0" borderId="88" xfId="0" applyFont="1" applyBorder="1"/>
    <xf numFmtId="0" fontId="3" fillId="0" borderId="118" xfId="0" applyFont="1" applyFill="1" applyBorder="1"/>
    <xf numFmtId="0" fontId="3" fillId="0" borderId="119" xfId="0" applyFont="1" applyFill="1" applyBorder="1"/>
    <xf numFmtId="0" fontId="3" fillId="0" borderId="120" xfId="0" applyFont="1" applyFill="1" applyBorder="1"/>
    <xf numFmtId="0" fontId="3" fillId="8" borderId="99" xfId="0" applyFont="1" applyFill="1" applyBorder="1"/>
    <xf numFmtId="0" fontId="3" fillId="8" borderId="72" xfId="0" applyFont="1" applyFill="1" applyBorder="1"/>
    <xf numFmtId="0" fontId="3" fillId="8" borderId="88" xfId="0" applyFont="1" applyFill="1" applyBorder="1"/>
    <xf numFmtId="0" fontId="3" fillId="8" borderId="99" xfId="0" applyFont="1" applyFill="1" applyBorder="1" applyAlignment="1" applyProtection="1">
      <alignment vertical="center"/>
    </xf>
    <xf numFmtId="0" fontId="3" fillId="8" borderId="72" xfId="0" applyFont="1" applyFill="1" applyBorder="1" applyAlignment="1" applyProtection="1">
      <alignment vertical="center"/>
    </xf>
    <xf numFmtId="0" fontId="3" fillId="8" borderId="88" xfId="0" applyFont="1" applyFill="1" applyBorder="1" applyAlignment="1" applyProtection="1">
      <alignment vertical="center"/>
    </xf>
    <xf numFmtId="0" fontId="89" fillId="13" borderId="79" xfId="0" applyFont="1" applyFill="1" applyBorder="1" applyAlignment="1">
      <alignment horizontal="left" vertical="center"/>
    </xf>
    <xf numFmtId="0" fontId="89" fillId="13" borderId="26" xfId="0" applyFont="1" applyFill="1" applyBorder="1" applyAlignment="1">
      <alignment horizontal="left" vertical="center"/>
    </xf>
    <xf numFmtId="0" fontId="89" fillId="13" borderId="19" xfId="0" applyFont="1" applyFill="1" applyBorder="1" applyAlignment="1">
      <alignment horizontal="center"/>
    </xf>
    <xf numFmtId="0" fontId="89" fillId="13" borderId="26" xfId="0" applyFont="1" applyFill="1" applyBorder="1" applyAlignment="1">
      <alignment horizontal="center"/>
    </xf>
    <xf numFmtId="0" fontId="89" fillId="13" borderId="80" xfId="0" applyFont="1" applyFill="1" applyBorder="1" applyAlignment="1">
      <alignment horizontal="center"/>
    </xf>
    <xf numFmtId="16" fontId="3" fillId="0" borderId="117" xfId="0" applyNumberFormat="1" applyFont="1" applyFill="1" applyBorder="1" applyAlignment="1" applyProtection="1">
      <alignment horizontal="center" vertical="center"/>
    </xf>
    <xf numFmtId="16" fontId="3" fillId="0" borderId="25" xfId="0" applyNumberFormat="1" applyFont="1" applyFill="1" applyBorder="1" applyAlignment="1" applyProtection="1">
      <alignment horizontal="center" vertical="center"/>
    </xf>
    <xf numFmtId="16" fontId="3" fillId="0" borderId="57" xfId="0" applyNumberFormat="1" applyFont="1" applyFill="1" applyBorder="1" applyAlignment="1" applyProtection="1">
      <alignment horizontal="center" vertical="center"/>
    </xf>
    <xf numFmtId="0" fontId="3" fillId="0" borderId="29" xfId="0" applyFont="1" applyBorder="1" applyAlignment="1">
      <alignment horizontal="center"/>
    </xf>
    <xf numFmtId="0" fontId="3" fillId="0" borderId="27" xfId="0" applyFont="1" applyBorder="1" applyAlignment="1">
      <alignment horizontal="center"/>
    </xf>
    <xf numFmtId="0" fontId="3" fillId="0" borderId="115" xfId="0" applyFont="1" applyBorder="1" applyAlignment="1">
      <alignment horizontal="center"/>
    </xf>
    <xf numFmtId="0" fontId="3" fillId="0" borderId="0" xfId="0" applyFont="1" applyBorder="1" applyAlignment="1">
      <alignment horizontal="center"/>
    </xf>
    <xf numFmtId="0" fontId="3" fillId="0" borderId="56" xfId="0" applyFont="1" applyBorder="1" applyAlignment="1">
      <alignment horizontal="center"/>
    </xf>
    <xf numFmtId="0" fontId="3" fillId="0" borderId="65" xfId="0" applyFont="1" applyBorder="1" applyAlignment="1">
      <alignment horizontal="center"/>
    </xf>
    <xf numFmtId="0" fontId="3" fillId="0" borderId="46" xfId="0" applyFont="1" applyBorder="1" applyAlignment="1">
      <alignment horizontal="center"/>
    </xf>
    <xf numFmtId="0" fontId="3" fillId="0" borderId="79" xfId="0" applyFont="1" applyFill="1" applyBorder="1" applyAlignment="1" applyProtection="1">
      <alignment horizontal="center" vertical="center"/>
    </xf>
    <xf numFmtId="0" fontId="3" fillId="0" borderId="26" xfId="0" applyFont="1" applyFill="1" applyBorder="1" applyAlignment="1" applyProtection="1">
      <alignment horizontal="center" vertical="center"/>
    </xf>
    <xf numFmtId="0" fontId="3" fillId="0" borderId="32" xfId="0" applyFont="1" applyFill="1" applyBorder="1" applyAlignment="1" applyProtection="1">
      <alignment horizontal="center" vertical="center"/>
    </xf>
    <xf numFmtId="0" fontId="3" fillId="8" borderId="105" xfId="0" applyFont="1" applyFill="1" applyBorder="1" applyAlignment="1" applyProtection="1">
      <alignment horizontal="left" vertical="center"/>
    </xf>
    <xf numFmtId="0" fontId="3" fillId="8" borderId="86" xfId="0" applyFont="1" applyFill="1" applyBorder="1" applyAlignment="1" applyProtection="1">
      <alignment horizontal="left" vertical="center"/>
    </xf>
    <xf numFmtId="0" fontId="3" fillId="8" borderId="87" xfId="0" applyFont="1" applyFill="1" applyBorder="1" applyAlignment="1" applyProtection="1">
      <alignment horizontal="left" vertical="center"/>
    </xf>
    <xf numFmtId="0" fontId="3" fillId="0" borderId="108" xfId="0" applyFont="1" applyFill="1" applyBorder="1" applyAlignment="1" applyProtection="1">
      <alignment horizontal="left" vertical="center"/>
    </xf>
    <xf numFmtId="0" fontId="3" fillId="0" borderId="70" xfId="0" applyFont="1" applyFill="1" applyBorder="1" applyAlignment="1" applyProtection="1">
      <alignment horizontal="left" vertical="center"/>
    </xf>
    <xf numFmtId="0" fontId="3" fillId="0" borderId="116" xfId="0" applyFont="1" applyFill="1" applyBorder="1" applyAlignment="1" applyProtection="1">
      <alignment vertical="center"/>
    </xf>
    <xf numFmtId="0" fontId="3" fillId="0" borderId="73" xfId="0" applyFont="1" applyFill="1" applyBorder="1" applyAlignment="1" applyProtection="1">
      <alignment vertical="center"/>
    </xf>
    <xf numFmtId="0" fontId="3" fillId="0" borderId="108" xfId="0" applyFont="1" applyBorder="1"/>
    <xf numFmtId="0" fontId="3" fillId="0" borderId="70" xfId="0" applyFont="1" applyBorder="1"/>
    <xf numFmtId="0" fontId="3" fillId="0" borderId="108" xfId="0" applyFont="1" applyFill="1" applyBorder="1" applyAlignment="1" applyProtection="1">
      <alignment vertical="center"/>
    </xf>
    <xf numFmtId="0" fontId="3" fillId="0" borderId="70" xfId="0" applyFont="1" applyFill="1" applyBorder="1" applyAlignment="1" applyProtection="1">
      <alignment vertical="center"/>
    </xf>
    <xf numFmtId="16" fontId="3" fillId="0" borderId="77" xfId="0" applyNumberFormat="1" applyFont="1" applyFill="1" applyBorder="1" applyAlignment="1" applyProtection="1">
      <alignment horizontal="center"/>
    </xf>
    <xf numFmtId="16" fontId="3" fillId="0" borderId="61" xfId="0" applyNumberFormat="1" applyFont="1" applyFill="1" applyBorder="1" applyAlignment="1" applyProtection="1">
      <alignment horizontal="center"/>
    </xf>
    <xf numFmtId="16" fontId="3" fillId="0" borderId="47" xfId="0" applyNumberFormat="1" applyFont="1" applyFill="1" applyBorder="1" applyAlignment="1" applyProtection="1">
      <alignment horizontal="center"/>
    </xf>
    <xf numFmtId="0" fontId="3" fillId="0" borderId="19" xfId="0" applyFont="1" applyBorder="1" applyAlignment="1">
      <alignment horizontal="center"/>
    </xf>
    <xf numFmtId="0" fontId="3" fillId="0" borderId="26" xfId="0" applyFont="1" applyBorder="1" applyAlignment="1">
      <alignment horizontal="center"/>
    </xf>
    <xf numFmtId="0" fontId="3" fillId="0" borderId="32" xfId="0" applyFont="1" applyBorder="1" applyAlignment="1">
      <alignment horizontal="center"/>
    </xf>
    <xf numFmtId="0" fontId="50" fillId="0" borderId="29" xfId="0" applyFont="1" applyBorder="1" applyAlignment="1">
      <alignment horizontal="center"/>
    </xf>
    <xf numFmtId="0" fontId="50" fillId="0" borderId="27" xfId="0" applyFont="1" applyBorder="1" applyAlignment="1">
      <alignment horizontal="center"/>
    </xf>
    <xf numFmtId="0" fontId="50" fillId="0" borderId="115" xfId="0" applyFont="1" applyBorder="1" applyAlignment="1">
      <alignment horizontal="center"/>
    </xf>
    <xf numFmtId="0" fontId="50" fillId="0" borderId="15" xfId="0" applyFont="1" applyBorder="1" applyAlignment="1">
      <alignment horizontal="center"/>
    </xf>
    <xf numFmtId="0" fontId="50" fillId="0" borderId="0" xfId="0" applyFont="1" applyBorder="1" applyAlignment="1">
      <alignment horizontal="center"/>
    </xf>
    <xf numFmtId="0" fontId="50" fillId="0" borderId="56" xfId="0" applyFont="1" applyBorder="1" applyAlignment="1">
      <alignment horizontal="center"/>
    </xf>
    <xf numFmtId="0" fontId="50" fillId="0" borderId="52" xfId="0" applyFont="1" applyBorder="1" applyAlignment="1">
      <alignment horizontal="center"/>
    </xf>
    <xf numFmtId="0" fontId="50" fillId="0" borderId="61" xfId="0" applyFont="1" applyBorder="1" applyAlignment="1">
      <alignment horizontal="center"/>
    </xf>
    <xf numFmtId="0" fontId="50" fillId="0" borderId="78" xfId="0" applyFont="1" applyBorder="1" applyAlignment="1">
      <alignment horizontal="center"/>
    </xf>
    <xf numFmtId="0" fontId="5" fillId="8" borderId="107" xfId="0" applyFont="1" applyFill="1" applyBorder="1"/>
    <xf numFmtId="0" fontId="5" fillId="8" borderId="68" xfId="0" applyFont="1" applyFill="1" applyBorder="1"/>
    <xf numFmtId="0" fontId="5" fillId="8" borderId="108" xfId="0" applyFont="1" applyFill="1" applyBorder="1"/>
    <xf numFmtId="0" fontId="5" fillId="8" borderId="70" xfId="0" applyFont="1" applyFill="1" applyBorder="1"/>
    <xf numFmtId="0" fontId="11" fillId="0" borderId="27" xfId="0" applyFont="1" applyBorder="1" applyAlignment="1">
      <alignment vertical="center"/>
    </xf>
    <xf numFmtId="0" fontId="3" fillId="0" borderId="0" xfId="0" applyFont="1" applyBorder="1" applyAlignment="1">
      <alignment vertical="center"/>
    </xf>
    <xf numFmtId="0" fontId="3" fillId="0" borderId="0" xfId="0" applyFont="1" applyBorder="1" applyAlignment="1" applyProtection="1">
      <alignment vertical="center"/>
    </xf>
    <xf numFmtId="166" fontId="3" fillId="0" borderId="70" xfId="0" applyNumberFormat="1" applyFont="1" applyBorder="1" applyAlignment="1" applyProtection="1">
      <alignment horizontal="center" vertical="center"/>
    </xf>
    <xf numFmtId="166" fontId="3" fillId="0" borderId="73" xfId="0" applyNumberFormat="1" applyFont="1" applyBorder="1" applyAlignment="1" applyProtection="1">
      <alignment horizontal="center" vertical="center"/>
    </xf>
    <xf numFmtId="166" fontId="4" fillId="0" borderId="31" xfId="0" applyNumberFormat="1" applyFont="1" applyBorder="1" applyAlignment="1" applyProtection="1">
      <alignment horizontal="center" vertical="center"/>
    </xf>
    <xf numFmtId="0" fontId="88" fillId="13" borderId="4" xfId="0" applyFont="1" applyFill="1" applyBorder="1" applyAlignment="1" applyProtection="1">
      <alignment horizontal="center" vertical="center"/>
    </xf>
    <xf numFmtId="0" fontId="89" fillId="13" borderId="4" xfId="0" applyFont="1" applyFill="1" applyBorder="1" applyAlignment="1" applyProtection="1">
      <alignment horizontal="center" vertical="center"/>
    </xf>
    <xf numFmtId="166" fontId="3" fillId="0" borderId="19" xfId="0" applyNumberFormat="1" applyFont="1" applyBorder="1" applyAlignment="1" applyProtection="1">
      <alignment horizontal="center" vertical="center"/>
    </xf>
    <xf numFmtId="166" fontId="3" fillId="0" borderId="26" xfId="0" applyNumberFormat="1" applyFont="1" applyBorder="1" applyAlignment="1" applyProtection="1">
      <alignment horizontal="center" vertical="center"/>
    </xf>
    <xf numFmtId="166" fontId="3" fillId="0" borderId="32" xfId="0" applyNumberFormat="1" applyFont="1" applyBorder="1" applyAlignment="1" applyProtection="1">
      <alignment horizontal="center" vertical="center"/>
    </xf>
    <xf numFmtId="0" fontId="3" fillId="0" borderId="61" xfId="0" applyFont="1" applyBorder="1" applyAlignment="1" applyProtection="1">
      <alignment vertical="center"/>
    </xf>
    <xf numFmtId="0" fontId="3" fillId="0" borderId="47" xfId="0" applyFont="1" applyBorder="1" applyAlignment="1" applyProtection="1">
      <alignment vertical="center"/>
    </xf>
    <xf numFmtId="16" fontId="89" fillId="13" borderId="4" xfId="0" applyNumberFormat="1" applyFont="1" applyFill="1" applyBorder="1" applyAlignment="1" applyProtection="1">
      <alignment horizontal="center" vertical="center"/>
    </xf>
    <xf numFmtId="0" fontId="3" fillId="0" borderId="68" xfId="0" applyFont="1" applyBorder="1" applyAlignment="1" applyProtection="1">
      <alignment horizontal="center" vertical="center"/>
    </xf>
    <xf numFmtId="0" fontId="3" fillId="0" borderId="70" xfId="0" applyFont="1" applyBorder="1" applyAlignment="1" applyProtection="1">
      <alignment horizontal="center" vertical="center"/>
    </xf>
    <xf numFmtId="0" fontId="3" fillId="0" borderId="55" xfId="0" applyFont="1" applyBorder="1" applyAlignment="1" applyProtection="1">
      <alignment vertical="center"/>
    </xf>
    <xf numFmtId="0" fontId="3" fillId="0" borderId="86" xfId="0" applyFont="1" applyBorder="1" applyAlignment="1" applyProtection="1">
      <alignment vertical="center"/>
    </xf>
    <xf numFmtId="0" fontId="3" fillId="0" borderId="87" xfId="0" applyFont="1" applyBorder="1" applyAlignment="1" applyProtection="1">
      <alignment vertical="center"/>
    </xf>
    <xf numFmtId="1" fontId="3" fillId="0" borderId="91" xfId="0" applyNumberFormat="1" applyFont="1" applyFill="1" applyBorder="1" applyAlignment="1" applyProtection="1">
      <alignment horizontal="center" vertical="center"/>
    </xf>
    <xf numFmtId="166" fontId="4" fillId="0" borderId="14" xfId="0" applyNumberFormat="1" applyFont="1" applyBorder="1" applyAlignment="1" applyProtection="1">
      <alignment horizontal="center" vertical="center"/>
    </xf>
    <xf numFmtId="0" fontId="3" fillId="0" borderId="72" xfId="0" applyFont="1" applyBorder="1" applyAlignment="1" applyProtection="1">
      <alignment vertical="center"/>
    </xf>
    <xf numFmtId="0" fontId="3" fillId="0" borderId="88" xfId="0" applyFont="1" applyBorder="1" applyAlignment="1" applyProtection="1">
      <alignment vertical="center"/>
    </xf>
    <xf numFmtId="0" fontId="88" fillId="13" borderId="61" xfId="0" applyFont="1" applyFill="1" applyBorder="1" applyAlignment="1">
      <alignment horizontal="center" vertical="center"/>
    </xf>
    <xf numFmtId="166" fontId="3" fillId="0" borderId="68" xfId="0" applyNumberFormat="1" applyFont="1" applyBorder="1" applyAlignment="1" applyProtection="1">
      <alignment horizontal="center" vertical="center"/>
    </xf>
    <xf numFmtId="0" fontId="3" fillId="0" borderId="74" xfId="0" applyFont="1" applyBorder="1" applyAlignment="1" applyProtection="1">
      <alignment vertical="center"/>
    </xf>
    <xf numFmtId="0" fontId="3" fillId="0" borderId="121" xfId="0" applyFont="1" applyBorder="1" applyAlignment="1" applyProtection="1">
      <alignment vertical="center"/>
    </xf>
    <xf numFmtId="0" fontId="63" fillId="0" borderId="72" xfId="0" applyFont="1" applyBorder="1" applyAlignment="1">
      <alignment horizontal="left" vertical="center" wrapText="1"/>
    </xf>
    <xf numFmtId="0" fontId="63" fillId="0" borderId="88" xfId="0" applyFont="1" applyBorder="1" applyAlignment="1">
      <alignment horizontal="left" vertical="center" wrapText="1"/>
    </xf>
    <xf numFmtId="0" fontId="63" fillId="0" borderId="90" xfId="0" applyFont="1" applyBorder="1" applyAlignment="1">
      <alignment horizontal="left" vertical="center" wrapText="1"/>
    </xf>
    <xf numFmtId="0" fontId="63" fillId="0" borderId="76" xfId="0" applyFont="1" applyBorder="1" applyAlignment="1">
      <alignment horizontal="left" vertical="center" wrapText="1"/>
    </xf>
    <xf numFmtId="0" fontId="63" fillId="0" borderId="86" xfId="0" applyFont="1" applyBorder="1" applyAlignment="1">
      <alignment horizontal="left" vertical="center" wrapText="1"/>
    </xf>
    <xf numFmtId="0" fontId="63" fillId="0" borderId="87" xfId="0" applyFont="1" applyBorder="1" applyAlignment="1">
      <alignment horizontal="left" vertical="center" wrapText="1"/>
    </xf>
    <xf numFmtId="0" fontId="4" fillId="0" borderId="4" xfId="0" applyFont="1" applyFill="1" applyBorder="1" applyAlignment="1" applyProtection="1">
      <alignment horizontal="center" vertical="center"/>
    </xf>
    <xf numFmtId="0" fontId="3" fillId="0" borderId="68" xfId="0" applyFont="1" applyBorder="1" applyAlignment="1" applyProtection="1">
      <alignment vertical="center"/>
    </xf>
    <xf numFmtId="0" fontId="3" fillId="0" borderId="73" xfId="0" applyFont="1" applyBorder="1" applyAlignment="1" applyProtection="1">
      <alignment vertical="center"/>
    </xf>
    <xf numFmtId="0" fontId="3" fillId="0" borderId="70" xfId="0" applyFont="1" applyBorder="1" applyAlignment="1" applyProtection="1">
      <alignment vertical="center"/>
    </xf>
    <xf numFmtId="0" fontId="4" fillId="0" borderId="4" xfId="0" applyFont="1" applyBorder="1" applyAlignment="1" applyProtection="1">
      <alignment horizontal="center" vertical="center"/>
    </xf>
    <xf numFmtId="0" fontId="3" fillId="0" borderId="68" xfId="0" applyFont="1" applyBorder="1" applyAlignment="1" applyProtection="1">
      <alignment horizontal="left" vertical="center"/>
    </xf>
    <xf numFmtId="0" fontId="3" fillId="0" borderId="73" xfId="0" applyFont="1" applyFill="1" applyBorder="1" applyAlignment="1" applyProtection="1">
      <alignment horizontal="left" vertical="center"/>
    </xf>
    <xf numFmtId="0" fontId="89" fillId="13" borderId="19" xfId="0" applyFont="1" applyFill="1" applyBorder="1" applyAlignment="1" applyProtection="1">
      <alignment horizontal="center" vertical="center"/>
    </xf>
    <xf numFmtId="0" fontId="89" fillId="13" borderId="32" xfId="0" applyFont="1" applyFill="1" applyBorder="1" applyAlignment="1" applyProtection="1">
      <alignment horizontal="center" vertical="center"/>
    </xf>
    <xf numFmtId="0" fontId="90" fillId="13" borderId="27" xfId="0" applyFont="1" applyFill="1" applyBorder="1" applyAlignment="1">
      <alignment horizontal="center" vertical="center"/>
    </xf>
    <xf numFmtId="0" fontId="3" fillId="0" borderId="70" xfId="0" applyFont="1" applyBorder="1" applyAlignment="1" applyProtection="1">
      <alignment horizontal="left" vertical="center"/>
    </xf>
    <xf numFmtId="0" fontId="0" fillId="0" borderId="19" xfId="0" applyBorder="1"/>
    <xf numFmtId="0" fontId="0" fillId="0" borderId="32" xfId="0" applyBorder="1"/>
    <xf numFmtId="0" fontId="4" fillId="0" borderId="19" xfId="0" applyFont="1" applyFill="1" applyBorder="1" applyAlignment="1" applyProtection="1">
      <alignment vertical="center"/>
    </xf>
    <xf numFmtId="0" fontId="4" fillId="0" borderId="32" xfId="0" applyFont="1" applyFill="1" applyBorder="1" applyAlignment="1" applyProtection="1">
      <alignment vertical="center"/>
    </xf>
    <xf numFmtId="0" fontId="4" fillId="0" borderId="19" xfId="0" applyFont="1" applyFill="1" applyBorder="1" applyAlignment="1" applyProtection="1">
      <alignment horizontal="left" vertical="center"/>
    </xf>
    <xf numFmtId="0" fontId="4" fillId="0" borderId="32" xfId="0" applyFont="1" applyFill="1" applyBorder="1" applyAlignment="1" applyProtection="1">
      <alignment horizontal="left" vertical="center"/>
    </xf>
    <xf numFmtId="0" fontId="5" fillId="8" borderId="89" xfId="0" applyFont="1" applyFill="1" applyBorder="1" applyAlignment="1" applyProtection="1">
      <alignment vertical="center"/>
    </xf>
    <xf numFmtId="0" fontId="5" fillId="8" borderId="76" xfId="0" applyFont="1" applyFill="1" applyBorder="1" applyAlignment="1" applyProtection="1">
      <alignment vertical="center"/>
    </xf>
    <xf numFmtId="0" fontId="3" fillId="0" borderId="19" xfId="0" applyFont="1" applyFill="1" applyBorder="1" applyAlignment="1" applyProtection="1">
      <alignment vertical="center"/>
    </xf>
    <xf numFmtId="0" fontId="3" fillId="0" borderId="32" xfId="0" applyFont="1" applyFill="1" applyBorder="1" applyAlignment="1" applyProtection="1">
      <alignment vertical="center"/>
    </xf>
    <xf numFmtId="0" fontId="23" fillId="0" borderId="19" xfId="0" applyFont="1" applyBorder="1"/>
    <xf numFmtId="0" fontId="23" fillId="0" borderId="32" xfId="0" applyFont="1" applyBorder="1"/>
    <xf numFmtId="0" fontId="3" fillId="0" borderId="19" xfId="0" applyFont="1" applyFill="1" applyBorder="1" applyAlignment="1" applyProtection="1">
      <alignment horizontal="left" vertical="center"/>
    </xf>
    <xf numFmtId="0" fontId="3" fillId="0" borderId="32" xfId="0" applyFont="1" applyFill="1" applyBorder="1" applyAlignment="1" applyProtection="1">
      <alignment horizontal="left" vertical="center"/>
    </xf>
    <xf numFmtId="0" fontId="5" fillId="8" borderId="71" xfId="0" applyFont="1" applyFill="1" applyBorder="1" applyAlignment="1" applyProtection="1">
      <alignment vertical="center"/>
    </xf>
    <xf numFmtId="0" fontId="5" fillId="8" borderId="88" xfId="0" applyFont="1" applyFill="1" applyBorder="1" applyAlignment="1" applyProtection="1">
      <alignment vertical="center"/>
    </xf>
    <xf numFmtId="0" fontId="4" fillId="0" borderId="4" xfId="0" applyFont="1" applyFill="1" applyBorder="1" applyAlignment="1" applyProtection="1">
      <alignment vertical="center"/>
    </xf>
    <xf numFmtId="0" fontId="4" fillId="0" borderId="4" xfId="0" applyFont="1" applyFill="1" applyBorder="1" applyAlignment="1" applyProtection="1">
      <alignment horizontal="left" vertical="center"/>
    </xf>
    <xf numFmtId="0" fontId="91" fillId="13" borderId="4" xfId="0" applyFont="1" applyFill="1" applyBorder="1" applyAlignment="1">
      <alignment horizontal="center" vertical="center"/>
    </xf>
    <xf numFmtId="0" fontId="43" fillId="8" borderId="85" xfId="0" applyFont="1" applyFill="1" applyBorder="1"/>
    <xf numFmtId="0" fontId="43" fillId="8" borderId="87" xfId="0" applyFont="1" applyFill="1" applyBorder="1"/>
    <xf numFmtId="0" fontId="43" fillId="8" borderId="71" xfId="0" applyFont="1" applyFill="1" applyBorder="1"/>
    <xf numFmtId="0" fontId="43" fillId="8" borderId="88" xfId="0" applyFont="1" applyFill="1" applyBorder="1"/>
    <xf numFmtId="0" fontId="3" fillId="0" borderId="4" xfId="0" applyFont="1" applyFill="1" applyBorder="1" applyAlignment="1" applyProtection="1">
      <alignment horizontal="left" vertical="center"/>
    </xf>
    <xf numFmtId="0" fontId="3" fillId="0" borderId="4" xfId="0" applyFont="1" applyFill="1" applyBorder="1" applyAlignment="1" applyProtection="1">
      <alignment vertical="center"/>
    </xf>
    <xf numFmtId="0" fontId="23" fillId="0" borderId="4" xfId="0" applyFont="1" applyBorder="1"/>
    <xf numFmtId="0" fontId="43" fillId="8" borderId="68" xfId="0" applyFont="1" applyFill="1" applyBorder="1"/>
    <xf numFmtId="0" fontId="43" fillId="8" borderId="70" xfId="0" applyFont="1" applyFill="1" applyBorder="1"/>
    <xf numFmtId="0" fontId="24" fillId="8" borderId="70" xfId="0" applyFont="1" applyFill="1" applyBorder="1"/>
    <xf numFmtId="0" fontId="0" fillId="8" borderId="70" xfId="0" applyFill="1" applyBorder="1"/>
    <xf numFmtId="0" fontId="5" fillId="8" borderId="70" xfId="0" applyFont="1" applyFill="1" applyBorder="1" applyAlignment="1" applyProtection="1">
      <alignment vertical="center"/>
    </xf>
    <xf numFmtId="0" fontId="5" fillId="8" borderId="73" xfId="0" applyFont="1" applyFill="1" applyBorder="1" applyAlignment="1" applyProtection="1">
      <alignment vertical="center"/>
    </xf>
    <xf numFmtId="0" fontId="7" fillId="7" borderId="85" xfId="15" applyFont="1" applyFill="1" applyBorder="1" applyAlignment="1" applyProtection="1"/>
    <xf numFmtId="0" fontId="7" fillId="7" borderId="86" xfId="15" applyFont="1" applyFill="1" applyBorder="1" applyAlignment="1" applyProtection="1"/>
    <xf numFmtId="0" fontId="7" fillId="7" borderId="95" xfId="15" applyFont="1" applyFill="1" applyBorder="1" applyAlignment="1" applyProtection="1"/>
    <xf numFmtId="0" fontId="7" fillId="7" borderId="71" xfId="15" applyFont="1" applyFill="1" applyBorder="1" applyAlignment="1" applyProtection="1"/>
    <xf numFmtId="0" fontId="7" fillId="7" borderId="72" xfId="15" applyFont="1" applyFill="1" applyBorder="1" applyAlignment="1" applyProtection="1"/>
    <xf numFmtId="0" fontId="7" fillId="7" borderId="96" xfId="15" applyFont="1" applyFill="1" applyBorder="1" applyAlignment="1" applyProtection="1"/>
    <xf numFmtId="0" fontId="7" fillId="7" borderId="89" xfId="15" applyFont="1" applyFill="1" applyBorder="1" applyAlignment="1" applyProtection="1"/>
    <xf numFmtId="0" fontId="7" fillId="7" borderId="90" xfId="15" applyFont="1" applyFill="1" applyBorder="1" applyAlignment="1" applyProtection="1"/>
    <xf numFmtId="0" fontId="7" fillId="7" borderId="97" xfId="15" applyFont="1" applyFill="1" applyBorder="1" applyAlignment="1" applyProtection="1"/>
    <xf numFmtId="166" fontId="15" fillId="0" borderId="70" xfId="0" applyNumberFormat="1" applyFont="1" applyFill="1" applyBorder="1" applyAlignment="1" applyProtection="1">
      <alignment horizontal="center" vertical="center"/>
    </xf>
    <xf numFmtId="0" fontId="92" fillId="13" borderId="29" xfId="0" applyFont="1" applyFill="1" applyBorder="1" applyAlignment="1">
      <alignment horizontal="center" vertical="center"/>
    </xf>
    <xf numFmtId="0" fontId="92" fillId="13" borderId="27" xfId="0" applyFont="1" applyFill="1" applyBorder="1" applyAlignment="1">
      <alignment horizontal="center" vertical="center"/>
    </xf>
    <xf numFmtId="0" fontId="92" fillId="13" borderId="33" xfId="0" applyFont="1" applyFill="1" applyBorder="1" applyAlignment="1">
      <alignment horizontal="center" vertical="center"/>
    </xf>
    <xf numFmtId="0" fontId="92" fillId="13" borderId="52" xfId="0" applyFont="1" applyFill="1" applyBorder="1" applyAlignment="1">
      <alignment horizontal="center" vertical="center"/>
    </xf>
    <xf numFmtId="0" fontId="92" fillId="13" borderId="61" xfId="0" applyFont="1" applyFill="1" applyBorder="1" applyAlignment="1">
      <alignment horizontal="center" vertical="center"/>
    </xf>
    <xf numFmtId="0" fontId="92" fillId="13" borderId="47" xfId="0" applyFont="1" applyFill="1" applyBorder="1" applyAlignment="1">
      <alignment horizontal="center" vertical="center"/>
    </xf>
    <xf numFmtId="166" fontId="15" fillId="0" borderId="68" xfId="0" applyNumberFormat="1" applyFont="1" applyFill="1" applyBorder="1" applyAlignment="1" applyProtection="1">
      <alignment horizontal="center" vertical="center"/>
    </xf>
    <xf numFmtId="166" fontId="0" fillId="0" borderId="4" xfId="0" applyNumberFormat="1" applyBorder="1" applyAlignment="1">
      <alignment horizontal="center"/>
    </xf>
    <xf numFmtId="0" fontId="15" fillId="0" borderId="68" xfId="0" applyFont="1" applyFill="1" applyBorder="1" applyAlignment="1" applyProtection="1">
      <alignment horizontal="center" vertical="center"/>
    </xf>
    <xf numFmtId="0" fontId="15" fillId="0" borderId="70" xfId="0" applyFont="1" applyFill="1" applyBorder="1" applyAlignment="1" applyProtection="1">
      <alignment horizontal="center" vertical="center"/>
    </xf>
    <xf numFmtId="166" fontId="15" fillId="0" borderId="73" xfId="0" applyNumberFormat="1" applyFont="1" applyFill="1" applyBorder="1" applyAlignment="1" applyProtection="1">
      <alignment horizontal="center" vertical="center"/>
    </xf>
    <xf numFmtId="0" fontId="0" fillId="0" borderId="4" xfId="0" applyBorder="1" applyAlignment="1">
      <alignment horizontal="center"/>
    </xf>
    <xf numFmtId="0" fontId="15" fillId="0" borderId="73" xfId="0" applyFont="1" applyFill="1" applyBorder="1" applyAlignment="1" applyProtection="1">
      <alignment horizontal="center" vertical="center"/>
    </xf>
    <xf numFmtId="0" fontId="15" fillId="0" borderId="70" xfId="0" applyFont="1" applyFill="1" applyBorder="1" applyAlignment="1">
      <alignment horizontal="center"/>
    </xf>
    <xf numFmtId="0" fontId="88" fillId="13" borderId="29" xfId="0" applyFont="1" applyFill="1" applyBorder="1" applyAlignment="1" applyProtection="1">
      <alignment horizontal="center" vertical="center"/>
    </xf>
    <xf numFmtId="0" fontId="88" fillId="13" borderId="33" xfId="0" applyFont="1" applyFill="1" applyBorder="1" applyAlignment="1" applyProtection="1">
      <alignment horizontal="center" vertical="center"/>
    </xf>
    <xf numFmtId="0" fontId="88" fillId="13" borderId="52" xfId="0" applyFont="1" applyFill="1" applyBorder="1" applyAlignment="1" applyProtection="1">
      <alignment horizontal="center" vertical="center"/>
    </xf>
    <xf numFmtId="0" fontId="88" fillId="13" borderId="47" xfId="0" applyFont="1" applyFill="1" applyBorder="1" applyAlignment="1" applyProtection="1">
      <alignment horizontal="center" vertical="center"/>
    </xf>
    <xf numFmtId="0" fontId="88" fillId="13" borderId="2" xfId="0" applyFont="1" applyFill="1" applyBorder="1" applyAlignment="1" applyProtection="1">
      <alignment horizontal="center" vertical="center"/>
    </xf>
    <xf numFmtId="0" fontId="88" fillId="13" borderId="31" xfId="0" applyFont="1" applyFill="1" applyBorder="1" applyAlignment="1" applyProtection="1">
      <alignment horizontal="center" vertical="center"/>
    </xf>
    <xf numFmtId="0" fontId="15" fillId="0" borderId="73" xfId="0" applyFont="1" applyFill="1" applyBorder="1" applyAlignment="1">
      <alignment horizontal="center"/>
    </xf>
    <xf numFmtId="49" fontId="18" fillId="0" borderId="15" xfId="0" applyNumberFormat="1" applyFont="1" applyBorder="1" applyAlignment="1" applyProtection="1">
      <alignment horizontal="left"/>
      <protection locked="0"/>
    </xf>
    <xf numFmtId="49" fontId="18" fillId="0" borderId="0" xfId="0" applyNumberFormat="1" applyFont="1" applyBorder="1" applyAlignment="1" applyProtection="1">
      <alignment horizontal="left"/>
      <protection locked="0"/>
    </xf>
    <xf numFmtId="16" fontId="88" fillId="13" borderId="4" xfId="0" applyNumberFormat="1" applyFont="1" applyFill="1" applyBorder="1" applyAlignment="1" applyProtection="1">
      <alignment horizontal="center" vertical="center" wrapText="1"/>
    </xf>
    <xf numFmtId="9" fontId="88" fillId="13" borderId="4" xfId="0" applyNumberFormat="1" applyFont="1" applyFill="1" applyBorder="1" applyAlignment="1" applyProtection="1">
      <alignment horizontal="center" vertical="center" wrapText="1"/>
    </xf>
    <xf numFmtId="0" fontId="12" fillId="0" borderId="15" xfId="0" applyFont="1" applyBorder="1"/>
    <xf numFmtId="0" fontId="12" fillId="0" borderId="0" xfId="0" applyFont="1" applyBorder="1"/>
    <xf numFmtId="49" fontId="3" fillId="0" borderId="15" xfId="0" applyNumberFormat="1" applyFont="1" applyBorder="1" applyAlignment="1">
      <alignment horizontal="left" vertical="center" wrapText="1"/>
    </xf>
    <xf numFmtId="49" fontId="3" fillId="0" borderId="0" xfId="0" applyNumberFormat="1" applyFont="1" applyBorder="1" applyAlignment="1">
      <alignment horizontal="left" vertical="center" wrapText="1"/>
    </xf>
    <xf numFmtId="0" fontId="15" fillId="0" borderId="66" xfId="0" applyFont="1" applyBorder="1" applyAlignment="1">
      <alignment horizontal="right" vertical="center"/>
    </xf>
    <xf numFmtId="0" fontId="15" fillId="0" borderId="0" xfId="0" applyFont="1" applyBorder="1" applyAlignment="1">
      <alignment horizontal="right" vertical="center"/>
    </xf>
    <xf numFmtId="0" fontId="15" fillId="0" borderId="56" xfId="0" applyFont="1" applyBorder="1" applyAlignment="1">
      <alignment horizontal="right" vertical="center"/>
    </xf>
    <xf numFmtId="0" fontId="7" fillId="7" borderId="71" xfId="15" applyFont="1" applyFill="1" applyBorder="1" applyAlignment="1" applyProtection="1">
      <alignment horizontal="left"/>
      <protection hidden="1"/>
    </xf>
    <xf numFmtId="0" fontId="7" fillId="7" borderId="72" xfId="15" applyFont="1" applyFill="1" applyBorder="1" applyAlignment="1" applyProtection="1">
      <alignment horizontal="left"/>
      <protection hidden="1"/>
    </xf>
    <xf numFmtId="0" fontId="7" fillId="7" borderId="88" xfId="15" applyFont="1" applyFill="1" applyBorder="1" applyAlignment="1" applyProtection="1">
      <alignment horizontal="left"/>
      <protection hidden="1"/>
    </xf>
    <xf numFmtId="0" fontId="7" fillId="7" borderId="89" xfId="15" applyFont="1" applyFill="1" applyBorder="1" applyAlignment="1" applyProtection="1">
      <alignment horizontal="left"/>
      <protection hidden="1"/>
    </xf>
    <xf numFmtId="0" fontId="7" fillId="7" borderId="90" xfId="15" applyFont="1" applyFill="1" applyBorder="1" applyAlignment="1" applyProtection="1">
      <alignment horizontal="left"/>
      <protection hidden="1"/>
    </xf>
    <xf numFmtId="0" fontId="7" fillId="7" borderId="76" xfId="15" applyFont="1" applyFill="1" applyBorder="1" applyAlignment="1" applyProtection="1">
      <alignment horizontal="left"/>
      <protection hidden="1"/>
    </xf>
    <xf numFmtId="0" fontId="6" fillId="0" borderId="66" xfId="0" applyFont="1" applyBorder="1" applyAlignment="1">
      <alignment wrapText="1"/>
    </xf>
    <xf numFmtId="0" fontId="15" fillId="0" borderId="0" xfId="0" applyFont="1" applyBorder="1" applyAlignment="1">
      <alignment wrapText="1"/>
    </xf>
    <xf numFmtId="0" fontId="6" fillId="0" borderId="0" xfId="0" applyFont="1" applyFill="1" applyBorder="1" applyAlignment="1">
      <alignment horizontal="left" wrapText="1"/>
    </xf>
    <xf numFmtId="171" fontId="13" fillId="8" borderId="14" xfId="8" applyFont="1" applyFill="1" applyBorder="1" applyAlignment="1">
      <alignment horizontal="center"/>
    </xf>
    <xf numFmtId="171" fontId="13" fillId="8" borderId="56" xfId="8" applyFont="1" applyFill="1" applyBorder="1" applyAlignment="1">
      <alignment horizontal="center"/>
    </xf>
    <xf numFmtId="171" fontId="6" fillId="12" borderId="63" xfId="8" applyFont="1" applyFill="1" applyBorder="1" applyAlignment="1">
      <alignment horizontal="center" vertical="center" wrapText="1"/>
    </xf>
    <xf numFmtId="171" fontId="6" fillId="12" borderId="11" xfId="8" applyFont="1" applyFill="1" applyBorder="1" applyAlignment="1">
      <alignment horizontal="center" vertical="center" wrapText="1"/>
    </xf>
    <xf numFmtId="171" fontId="6" fillId="12" borderId="0" xfId="8" applyFont="1" applyFill="1" applyBorder="1" applyAlignment="1">
      <alignment horizontal="center" vertical="center" wrapText="1"/>
    </xf>
    <xf numFmtId="171" fontId="6" fillId="12" borderId="56" xfId="8" applyFont="1" applyFill="1" applyBorder="1" applyAlignment="1">
      <alignment horizontal="center" vertical="center" wrapText="1"/>
    </xf>
    <xf numFmtId="171" fontId="6" fillId="12" borderId="61" xfId="8" applyFont="1" applyFill="1" applyBorder="1" applyAlignment="1">
      <alignment horizontal="center" vertical="center" wrapText="1"/>
    </xf>
    <xf numFmtId="171" fontId="6" fillId="12" borderId="78" xfId="8" applyFont="1" applyFill="1" applyBorder="1" applyAlignment="1">
      <alignment horizontal="center" vertical="center" wrapText="1"/>
    </xf>
    <xf numFmtId="14" fontId="12" fillId="0" borderId="79" xfId="8" applyNumberFormat="1" applyFont="1" applyFill="1" applyBorder="1" applyAlignment="1">
      <alignment horizontal="center"/>
    </xf>
    <xf numFmtId="14" fontId="12" fillId="0" borderId="26" xfId="8" applyNumberFormat="1" applyFont="1" applyFill="1" applyBorder="1" applyAlignment="1">
      <alignment horizontal="center"/>
    </xf>
    <xf numFmtId="14" fontId="12" fillId="0" borderId="80" xfId="8" applyNumberFormat="1" applyFont="1" applyFill="1" applyBorder="1" applyAlignment="1">
      <alignment horizontal="center"/>
    </xf>
    <xf numFmtId="49" fontId="12" fillId="8" borderId="81" xfId="8" quotePrefix="1" applyNumberFormat="1" applyFont="1" applyFill="1" applyBorder="1" applyAlignment="1">
      <alignment horizontal="left"/>
    </xf>
    <xf numFmtId="49" fontId="12" fillId="8" borderId="27" xfId="8" quotePrefix="1" applyNumberFormat="1" applyFont="1" applyFill="1" applyBorder="1" applyAlignment="1">
      <alignment horizontal="left"/>
    </xf>
    <xf numFmtId="49" fontId="12" fillId="8" borderId="33" xfId="8" quotePrefix="1" applyNumberFormat="1" applyFont="1" applyFill="1" applyBorder="1" applyAlignment="1">
      <alignment horizontal="left"/>
    </xf>
    <xf numFmtId="171" fontId="13" fillId="8" borderId="18" xfId="8" applyFont="1" applyFill="1" applyBorder="1" applyAlignment="1">
      <alignment horizontal="center"/>
    </xf>
    <xf numFmtId="171" fontId="13" fillId="8" borderId="14" xfId="8" applyFont="1" applyFill="1" applyBorder="1" applyAlignment="1">
      <alignment horizontal="left" wrapText="1"/>
    </xf>
  </cellXfs>
  <cellStyles count="16">
    <cellStyle name="Comma" xfId="11" builtinId="3"/>
    <cellStyle name="Neutral" xfId="1" builtinId="28" customBuiltin="1"/>
    <cellStyle name="Normal" xfId="0" builtinId="0"/>
    <cellStyle name="Normal 2" xfId="6"/>
    <cellStyle name="Normal 3" xfId="8"/>
    <cellStyle name="Normal 4" xfId="9"/>
    <cellStyle name="Normal 5" xfId="10"/>
    <cellStyle name="Normal_Flow Diagram" xfId="2"/>
    <cellStyle name="Normal_Hydraulics" xfId="15"/>
    <cellStyle name="Normal_Nozzle Sizing" xfId="14"/>
    <cellStyle name="Normal_Pipe Size" xfId="3"/>
    <cellStyle name="Normal_PZ4734" xfId="13"/>
    <cellStyle name="Normal_Suction Hydraulics" xfId="12"/>
    <cellStyle name="Percent" xfId="4" builtinId="5"/>
    <cellStyle name="Percent 2" xfId="7"/>
    <cellStyle name="Total" xfId="5" builtinId="25" customBuiltin="1"/>
  </cellStyles>
  <dxfs count="92">
    <dxf>
      <font>
        <condense val="0"/>
        <extend val="0"/>
        <color indexed="9"/>
      </font>
    </dxf>
    <dxf>
      <font>
        <condense val="0"/>
        <extend val="0"/>
        <color indexed="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39"/>
      </font>
    </dxf>
    <dxf>
      <font>
        <condense val="0"/>
        <extend val="0"/>
        <color indexed="9"/>
      </font>
    </dxf>
    <dxf>
      <font>
        <condense val="0"/>
        <extend val="0"/>
        <color indexed="39"/>
      </font>
    </dxf>
    <dxf>
      <font>
        <condense val="0"/>
        <extend val="0"/>
        <color indexed="9"/>
      </font>
    </dxf>
    <dxf>
      <font>
        <condense val="0"/>
        <extend val="0"/>
        <color indexed="12"/>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12"/>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b/>
        <i val="0"/>
        <condense val="0"/>
        <extend val="0"/>
        <color indexed="10"/>
      </font>
    </dxf>
    <dxf>
      <font>
        <color rgb="FF9C0006"/>
      </font>
      <fill>
        <patternFill>
          <bgColor rgb="FFFFC7CE"/>
        </patternFill>
      </fill>
    </dxf>
    <dxf>
      <font>
        <b/>
        <i val="0"/>
        <color indexed="10"/>
      </font>
    </dxf>
    <dxf>
      <font>
        <b/>
        <i val="0"/>
        <color indexed="10"/>
      </font>
    </dxf>
    <dxf>
      <font>
        <b/>
        <i val="0"/>
        <color indexed="10"/>
      </font>
    </dxf>
    <dxf>
      <font>
        <b/>
        <i val="0"/>
        <color indexed="10"/>
      </font>
    </dxf>
  </dxfs>
  <tableStyles count="0" defaultTableStyle="TableStyleMedium9" defaultPivotStyle="PivotStyleLight16"/>
  <colors>
    <mruColors>
      <color rgb="FFCCFFFF"/>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5878568658968818E-2"/>
          <c:y val="6.5671944090541598E-2"/>
          <c:w val="0.96179128188044483"/>
          <c:h val="0.83740758760559264"/>
        </c:manualLayout>
      </c:layout>
      <c:lineChart>
        <c:grouping val="standard"/>
        <c:varyColors val="0"/>
        <c:ser>
          <c:idx val="1"/>
          <c:order val="0"/>
          <c:tx>
            <c:strRef>
              <c:f>'Design pressure profile'!$E$14</c:f>
              <c:strCache>
                <c:ptCount val="1"/>
                <c:pt idx="0">
                  <c:v>Inlet Pressure</c:v>
                </c:pt>
              </c:strCache>
            </c:strRef>
          </c:tx>
          <c:cat>
            <c:strRef>
              <c:f>'Design pressure profile'!$B$21:$B$31</c:f>
              <c:strCache>
                <c:ptCount val="11"/>
                <c:pt idx="0">
                  <c:v>E-EO4111 SS</c:v>
                </c:pt>
                <c:pt idx="1">
                  <c:v>E-EO4121 SS</c:v>
                </c:pt>
                <c:pt idx="2">
                  <c:v>E-EO4110 TS</c:v>
                </c:pt>
                <c:pt idx="3">
                  <c:v>E-EO4120 TS</c:v>
                </c:pt>
                <c:pt idx="4">
                  <c:v>E-EO4113 TS</c:v>
                </c:pt>
                <c:pt idx="5">
                  <c:v>E-EO4123 TS</c:v>
                </c:pt>
                <c:pt idx="6">
                  <c:v>E-EO4111 TS</c:v>
                </c:pt>
                <c:pt idx="7">
                  <c:v>E-EO4121 TS</c:v>
                </c:pt>
                <c:pt idx="8">
                  <c:v>E-EO4230</c:v>
                </c:pt>
                <c:pt idx="9">
                  <c:v>C-EO4230</c:v>
                </c:pt>
                <c:pt idx="10">
                  <c:v>V-EO4201</c:v>
                </c:pt>
              </c:strCache>
            </c:strRef>
          </c:cat>
          <c:val>
            <c:numRef>
              <c:f>'Design pressure profile'!$E$21:$E$31</c:f>
              <c:numCache>
                <c:formatCode>0.0</c:formatCode>
                <c:ptCount val="11"/>
                <c:pt idx="0">
                  <c:v>276.10000000000002</c:v>
                </c:pt>
                <c:pt idx="1">
                  <c:v>276.10000000000002</c:v>
                </c:pt>
                <c:pt idx="2">
                  <c:v>257.10000000000002</c:v>
                </c:pt>
                <c:pt idx="3">
                  <c:v>257.10000000000002</c:v>
                </c:pt>
                <c:pt idx="4">
                  <c:v>239.6</c:v>
                </c:pt>
                <c:pt idx="5">
                  <c:v>239.6</c:v>
                </c:pt>
                <c:pt idx="6">
                  <c:v>237.45</c:v>
                </c:pt>
                <c:pt idx="7">
                  <c:v>237.45</c:v>
                </c:pt>
                <c:pt idx="8">
                  <c:v>235.2</c:v>
                </c:pt>
                <c:pt idx="9">
                  <c:v>233.5</c:v>
                </c:pt>
                <c:pt idx="10">
                  <c:v>232.10000000000002</c:v>
                </c:pt>
              </c:numCache>
            </c:numRef>
          </c:val>
          <c:smooth val="0"/>
        </c:ser>
        <c:ser>
          <c:idx val="2"/>
          <c:order val="1"/>
          <c:tx>
            <c:strRef>
              <c:f>'Design pressure profile'!$I$14</c:f>
              <c:strCache>
                <c:ptCount val="1"/>
                <c:pt idx="0">
                  <c:v>DP calculated</c:v>
                </c:pt>
              </c:strCache>
            </c:strRef>
          </c:tx>
          <c:cat>
            <c:strRef>
              <c:f>'Design pressure profile'!$B$21:$B$31</c:f>
              <c:strCache>
                <c:ptCount val="11"/>
                <c:pt idx="0">
                  <c:v>E-EO4111 SS</c:v>
                </c:pt>
                <c:pt idx="1">
                  <c:v>E-EO4121 SS</c:v>
                </c:pt>
                <c:pt idx="2">
                  <c:v>E-EO4110 TS</c:v>
                </c:pt>
                <c:pt idx="3">
                  <c:v>E-EO4120 TS</c:v>
                </c:pt>
                <c:pt idx="4">
                  <c:v>E-EO4113 TS</c:v>
                </c:pt>
                <c:pt idx="5">
                  <c:v>E-EO4123 TS</c:v>
                </c:pt>
                <c:pt idx="6">
                  <c:v>E-EO4111 TS</c:v>
                </c:pt>
                <c:pt idx="7">
                  <c:v>E-EO4121 TS</c:v>
                </c:pt>
                <c:pt idx="8">
                  <c:v>E-EO4230</c:v>
                </c:pt>
                <c:pt idx="9">
                  <c:v>C-EO4230</c:v>
                </c:pt>
                <c:pt idx="10">
                  <c:v>V-EO4201</c:v>
                </c:pt>
              </c:strCache>
            </c:strRef>
          </c:cat>
          <c:val>
            <c:numRef>
              <c:f>'Design pressure profile'!$I$21:$I$31</c:f>
              <c:numCache>
                <c:formatCode>0</c:formatCode>
                <c:ptCount val="11"/>
                <c:pt idx="0">
                  <c:v>325.34097076284979</c:v>
                </c:pt>
                <c:pt idx="1">
                  <c:v>325.34097076284979</c:v>
                </c:pt>
                <c:pt idx="2">
                  <c:v>304.31236479991668</c:v>
                </c:pt>
                <c:pt idx="3">
                  <c:v>304.31236479991668</c:v>
                </c:pt>
                <c:pt idx="4">
                  <c:v>268.52849041119953</c:v>
                </c:pt>
                <c:pt idx="5">
                  <c:v>268.52849041119953</c:v>
                </c:pt>
                <c:pt idx="6">
                  <c:v>265.45170185882569</c:v>
                </c:pt>
                <c:pt idx="7">
                  <c:v>265.45170185882569</c:v>
                </c:pt>
                <c:pt idx="8">
                  <c:v>262.27994359387588</c:v>
                </c:pt>
                <c:pt idx="9">
                  <c:v>260</c:v>
                </c:pt>
                <c:pt idx="10">
                  <c:v>258.8567007216954</c:v>
                </c:pt>
              </c:numCache>
            </c:numRef>
          </c:val>
          <c:smooth val="0"/>
        </c:ser>
        <c:ser>
          <c:idx val="3"/>
          <c:order val="2"/>
          <c:tx>
            <c:strRef>
              <c:f>'Design pressure profile'!$D$14</c:f>
              <c:strCache>
                <c:ptCount val="1"/>
                <c:pt idx="0">
                  <c:v>Settlingout pressure</c:v>
                </c:pt>
              </c:strCache>
            </c:strRef>
          </c:tx>
          <c:cat>
            <c:strRef>
              <c:f>'Design pressure profile'!$B$21:$B$31</c:f>
              <c:strCache>
                <c:ptCount val="11"/>
                <c:pt idx="0">
                  <c:v>E-EO4111 SS</c:v>
                </c:pt>
                <c:pt idx="1">
                  <c:v>E-EO4121 SS</c:v>
                </c:pt>
                <c:pt idx="2">
                  <c:v>E-EO4110 TS</c:v>
                </c:pt>
                <c:pt idx="3">
                  <c:v>E-EO4120 TS</c:v>
                </c:pt>
                <c:pt idx="4">
                  <c:v>E-EO4113 TS</c:v>
                </c:pt>
                <c:pt idx="5">
                  <c:v>E-EO4123 TS</c:v>
                </c:pt>
                <c:pt idx="6">
                  <c:v>E-EO4111 TS</c:v>
                </c:pt>
                <c:pt idx="7">
                  <c:v>E-EO4121 TS</c:v>
                </c:pt>
                <c:pt idx="8">
                  <c:v>E-EO4230</c:v>
                </c:pt>
                <c:pt idx="9">
                  <c:v>C-EO4230</c:v>
                </c:pt>
                <c:pt idx="10">
                  <c:v>V-EO4201</c:v>
                </c:pt>
              </c:strCache>
            </c:strRef>
          </c:cat>
          <c:val>
            <c:numRef>
              <c:f>'Design pressure profile'!$D$21:$D$31</c:f>
              <c:numCache>
                <c:formatCode>0.0</c:formatCode>
                <c:ptCount val="11"/>
                <c:pt idx="0">
                  <c:v>26170</c:v>
                </c:pt>
                <c:pt idx="1">
                  <c:v>26170</c:v>
                </c:pt>
                <c:pt idx="2">
                  <c:v>26170</c:v>
                </c:pt>
                <c:pt idx="3">
                  <c:v>26170</c:v>
                </c:pt>
                <c:pt idx="4">
                  <c:v>26170</c:v>
                </c:pt>
                <c:pt idx="5">
                  <c:v>26170</c:v>
                </c:pt>
                <c:pt idx="6">
                  <c:v>26170</c:v>
                </c:pt>
                <c:pt idx="7">
                  <c:v>26170</c:v>
                </c:pt>
                <c:pt idx="8">
                  <c:v>26170</c:v>
                </c:pt>
                <c:pt idx="9">
                  <c:v>26170</c:v>
                </c:pt>
                <c:pt idx="10">
                  <c:v>26170</c:v>
                </c:pt>
              </c:numCache>
            </c:numRef>
          </c:val>
          <c:smooth val="0"/>
        </c:ser>
        <c:ser>
          <c:idx val="0"/>
          <c:order val="3"/>
          <c:tx>
            <c:strRef>
              <c:f>'Design pressure profile'!$J$14</c:f>
              <c:strCache>
                <c:ptCount val="1"/>
                <c:pt idx="0">
                  <c:v>DP Current</c:v>
                </c:pt>
              </c:strCache>
            </c:strRef>
          </c:tx>
          <c:cat>
            <c:strRef>
              <c:f>'Design pressure profile'!$B$21:$B$31</c:f>
              <c:strCache>
                <c:ptCount val="11"/>
                <c:pt idx="0">
                  <c:v>E-EO4111 SS</c:v>
                </c:pt>
                <c:pt idx="1">
                  <c:v>E-EO4121 SS</c:v>
                </c:pt>
                <c:pt idx="2">
                  <c:v>E-EO4110 TS</c:v>
                </c:pt>
                <c:pt idx="3">
                  <c:v>E-EO4120 TS</c:v>
                </c:pt>
                <c:pt idx="4">
                  <c:v>E-EO4113 TS</c:v>
                </c:pt>
                <c:pt idx="5">
                  <c:v>E-EO4123 TS</c:v>
                </c:pt>
                <c:pt idx="6">
                  <c:v>E-EO4111 TS</c:v>
                </c:pt>
                <c:pt idx="7">
                  <c:v>E-EO4121 TS</c:v>
                </c:pt>
                <c:pt idx="8">
                  <c:v>E-EO4230</c:v>
                </c:pt>
                <c:pt idx="9">
                  <c:v>C-EO4230</c:v>
                </c:pt>
                <c:pt idx="10">
                  <c:v>V-EO4201</c:v>
                </c:pt>
              </c:strCache>
            </c:strRef>
          </c:cat>
          <c:val>
            <c:numRef>
              <c:f>'Design pressure profile'!$J$21:$J$31</c:f>
              <c:numCache>
                <c:formatCode>0</c:formatCode>
                <c:ptCount val="11"/>
                <c:pt idx="0">
                  <c:v>310</c:v>
                </c:pt>
                <c:pt idx="1">
                  <c:v>310</c:v>
                </c:pt>
                <c:pt idx="2">
                  <c:v>310</c:v>
                </c:pt>
                <c:pt idx="3">
                  <c:v>310</c:v>
                </c:pt>
                <c:pt idx="4">
                  <c:v>285</c:v>
                </c:pt>
                <c:pt idx="5">
                  <c:v>285</c:v>
                </c:pt>
                <c:pt idx="6">
                  <c:v>285</c:v>
                </c:pt>
                <c:pt idx="7">
                  <c:v>285</c:v>
                </c:pt>
                <c:pt idx="8">
                  <c:v>275</c:v>
                </c:pt>
                <c:pt idx="9">
                  <c:v>260</c:v>
                </c:pt>
                <c:pt idx="10">
                  <c:v>270</c:v>
                </c:pt>
              </c:numCache>
            </c:numRef>
          </c:val>
          <c:smooth val="0"/>
        </c:ser>
        <c:dLbls>
          <c:showLegendKey val="0"/>
          <c:showVal val="0"/>
          <c:showCatName val="0"/>
          <c:showSerName val="0"/>
          <c:showPercent val="0"/>
          <c:showBubbleSize val="0"/>
        </c:dLbls>
        <c:marker val="1"/>
        <c:smooth val="0"/>
        <c:axId val="379208072"/>
        <c:axId val="376570144"/>
      </c:lineChart>
      <c:catAx>
        <c:axId val="379208072"/>
        <c:scaling>
          <c:orientation val="minMax"/>
        </c:scaling>
        <c:delete val="0"/>
        <c:axPos val="b"/>
        <c:majorGridlines/>
        <c:numFmt formatCode="General" sourceLinked="1"/>
        <c:majorTickMark val="out"/>
        <c:minorTickMark val="none"/>
        <c:tickLblPos val="nextTo"/>
        <c:txPr>
          <a:bodyPr rot="-5400000" vert="horz"/>
          <a:lstStyle/>
          <a:p>
            <a:pPr>
              <a:defRPr/>
            </a:pPr>
            <a:endParaRPr lang="en-US"/>
          </a:p>
        </c:txPr>
        <c:crossAx val="376570144"/>
        <c:crosses val="autoZero"/>
        <c:auto val="1"/>
        <c:lblAlgn val="ctr"/>
        <c:lblOffset val="100"/>
        <c:noMultiLvlLbl val="1"/>
      </c:catAx>
      <c:valAx>
        <c:axId val="376570144"/>
        <c:scaling>
          <c:orientation val="minMax"/>
          <c:min val="200"/>
        </c:scaling>
        <c:delete val="0"/>
        <c:axPos val="l"/>
        <c:majorGridlines/>
        <c:numFmt formatCode="0.0" sourceLinked="1"/>
        <c:majorTickMark val="out"/>
        <c:minorTickMark val="none"/>
        <c:tickLblPos val="nextTo"/>
        <c:crossAx val="379208072"/>
        <c:crosses val="autoZero"/>
        <c:crossBetween val="between"/>
      </c:valAx>
    </c:plotArea>
    <c:legend>
      <c:legendPos val="r"/>
      <c:layout>
        <c:manualLayout>
          <c:xMode val="edge"/>
          <c:yMode val="edge"/>
          <c:x val="0.90625051215871866"/>
          <c:y val="0.42023399531097411"/>
          <c:w val="8.6226900582151392E-2"/>
          <c:h val="0.12451377638843678"/>
        </c:manualLayout>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877043730878177E-2"/>
          <c:y val="1.6384459014915222E-2"/>
          <c:w val="0.95374836548792741"/>
          <c:h val="0.90486004965466471"/>
        </c:manualLayout>
      </c:layout>
      <c:lineChart>
        <c:grouping val="standard"/>
        <c:varyColors val="0"/>
        <c:ser>
          <c:idx val="1"/>
          <c:order val="0"/>
          <c:tx>
            <c:strRef>
              <c:f>'Design pressure profile'!$E$14</c:f>
              <c:strCache>
                <c:ptCount val="1"/>
                <c:pt idx="0">
                  <c:v>Inlet Pressure</c:v>
                </c:pt>
              </c:strCache>
            </c:strRef>
          </c:tx>
          <c:cat>
            <c:strRef>
              <c:f>'Design pressure profile'!$B$17:$B$20</c:f>
              <c:strCache>
                <c:ptCount val="4"/>
                <c:pt idx="0">
                  <c:v>E-EO4210</c:v>
                </c:pt>
                <c:pt idx="1">
                  <c:v>C-EO4210</c:v>
                </c:pt>
                <c:pt idx="2">
                  <c:v>E-EO4212</c:v>
                </c:pt>
                <c:pt idx="3">
                  <c:v>V-EO4211</c:v>
                </c:pt>
              </c:strCache>
            </c:strRef>
          </c:cat>
          <c:val>
            <c:numRef>
              <c:f>'Design pressure profile'!$E$17:$E$20</c:f>
              <c:numCache>
                <c:formatCode>0.0</c:formatCode>
                <c:ptCount val="4"/>
                <c:pt idx="0">
                  <c:v>275.5</c:v>
                </c:pt>
                <c:pt idx="1">
                  <c:v>270.5</c:v>
                </c:pt>
                <c:pt idx="2">
                  <c:v>267.5</c:v>
                </c:pt>
                <c:pt idx="3">
                  <c:v>267</c:v>
                </c:pt>
              </c:numCache>
            </c:numRef>
          </c:val>
          <c:smooth val="0"/>
        </c:ser>
        <c:ser>
          <c:idx val="2"/>
          <c:order val="1"/>
          <c:tx>
            <c:strRef>
              <c:f>'Design pressure profile'!$I$14</c:f>
              <c:strCache>
                <c:ptCount val="1"/>
                <c:pt idx="0">
                  <c:v>DP calculated</c:v>
                </c:pt>
              </c:strCache>
            </c:strRef>
          </c:tx>
          <c:cat>
            <c:strRef>
              <c:f>'Design pressure profile'!$B$17:$B$20</c:f>
              <c:strCache>
                <c:ptCount val="4"/>
                <c:pt idx="0">
                  <c:v>E-EO4210</c:v>
                </c:pt>
                <c:pt idx="1">
                  <c:v>C-EO4210</c:v>
                </c:pt>
                <c:pt idx="2">
                  <c:v>E-EO4212</c:v>
                </c:pt>
                <c:pt idx="3">
                  <c:v>V-EO4211</c:v>
                </c:pt>
              </c:strCache>
            </c:strRef>
          </c:cat>
          <c:val>
            <c:numRef>
              <c:f>'Design pressure profile'!$I$17:$I$20</c:f>
              <c:numCache>
                <c:formatCode>0</c:formatCode>
                <c:ptCount val="4"/>
                <c:pt idx="0">
                  <c:v>320.24527418109795</c:v>
                </c:pt>
                <c:pt idx="1">
                  <c:v>314.36457661277558</c:v>
                </c:pt>
                <c:pt idx="2">
                  <c:v>310.67995063250584</c:v>
                </c:pt>
                <c:pt idx="3">
                  <c:v>310</c:v>
                </c:pt>
              </c:numCache>
            </c:numRef>
          </c:val>
          <c:smooth val="0"/>
        </c:ser>
        <c:ser>
          <c:idx val="3"/>
          <c:order val="2"/>
          <c:tx>
            <c:strRef>
              <c:f>'Design pressure profile'!$D$14</c:f>
              <c:strCache>
                <c:ptCount val="1"/>
                <c:pt idx="0">
                  <c:v>Settlingout pressure</c:v>
                </c:pt>
              </c:strCache>
            </c:strRef>
          </c:tx>
          <c:cat>
            <c:strRef>
              <c:f>'Design pressure profile'!$B$17:$B$20</c:f>
              <c:strCache>
                <c:ptCount val="4"/>
                <c:pt idx="0">
                  <c:v>E-EO4210</c:v>
                </c:pt>
                <c:pt idx="1">
                  <c:v>C-EO4210</c:v>
                </c:pt>
                <c:pt idx="2">
                  <c:v>E-EO4212</c:v>
                </c:pt>
                <c:pt idx="3">
                  <c:v>V-EO4211</c:v>
                </c:pt>
              </c:strCache>
            </c:strRef>
          </c:cat>
          <c:val>
            <c:numRef>
              <c:f>'Design pressure profile'!$D$17:$D$20</c:f>
              <c:numCache>
                <c:formatCode>0.0</c:formatCode>
                <c:ptCount val="4"/>
                <c:pt idx="0">
                  <c:v>26170</c:v>
                </c:pt>
                <c:pt idx="1">
                  <c:v>26170</c:v>
                </c:pt>
                <c:pt idx="2">
                  <c:v>26170</c:v>
                </c:pt>
                <c:pt idx="3">
                  <c:v>26170</c:v>
                </c:pt>
              </c:numCache>
            </c:numRef>
          </c:val>
          <c:smooth val="0"/>
        </c:ser>
        <c:ser>
          <c:idx val="0"/>
          <c:order val="3"/>
          <c:tx>
            <c:strRef>
              <c:f>'Design pressure profile'!$J$14</c:f>
              <c:strCache>
                <c:ptCount val="1"/>
                <c:pt idx="0">
                  <c:v>DP Current</c:v>
                </c:pt>
              </c:strCache>
            </c:strRef>
          </c:tx>
          <c:cat>
            <c:strRef>
              <c:f>'Design pressure profile'!$B$17:$B$20</c:f>
              <c:strCache>
                <c:ptCount val="4"/>
                <c:pt idx="0">
                  <c:v>E-EO4210</c:v>
                </c:pt>
                <c:pt idx="1">
                  <c:v>C-EO4210</c:v>
                </c:pt>
                <c:pt idx="2">
                  <c:v>E-EO4212</c:v>
                </c:pt>
                <c:pt idx="3">
                  <c:v>V-EO4211</c:v>
                </c:pt>
              </c:strCache>
            </c:strRef>
          </c:cat>
          <c:val>
            <c:numRef>
              <c:f>'Design pressure profile'!$J$17:$J$20</c:f>
              <c:numCache>
                <c:formatCode>0</c:formatCode>
                <c:ptCount val="4"/>
                <c:pt idx="0">
                  <c:v>320</c:v>
                </c:pt>
                <c:pt idx="1">
                  <c:v>310</c:v>
                </c:pt>
                <c:pt idx="2">
                  <c:v>310</c:v>
                </c:pt>
                <c:pt idx="3">
                  <c:v>310</c:v>
                </c:pt>
              </c:numCache>
            </c:numRef>
          </c:val>
          <c:smooth val="0"/>
        </c:ser>
        <c:dLbls>
          <c:showLegendKey val="0"/>
          <c:showVal val="0"/>
          <c:showCatName val="0"/>
          <c:showSerName val="0"/>
          <c:showPercent val="0"/>
          <c:showBubbleSize val="0"/>
        </c:dLbls>
        <c:marker val="1"/>
        <c:smooth val="0"/>
        <c:axId val="380377440"/>
        <c:axId val="380377824"/>
      </c:lineChart>
      <c:catAx>
        <c:axId val="380377440"/>
        <c:scaling>
          <c:orientation val="minMax"/>
        </c:scaling>
        <c:delete val="0"/>
        <c:axPos val="b"/>
        <c:majorGridlines/>
        <c:numFmt formatCode="General" sourceLinked="1"/>
        <c:majorTickMark val="out"/>
        <c:minorTickMark val="none"/>
        <c:tickLblPos val="nextTo"/>
        <c:txPr>
          <a:bodyPr rot="-5400000" vert="horz"/>
          <a:lstStyle/>
          <a:p>
            <a:pPr>
              <a:defRPr/>
            </a:pPr>
            <a:endParaRPr lang="en-US"/>
          </a:p>
        </c:txPr>
        <c:crossAx val="380377824"/>
        <c:crosses val="autoZero"/>
        <c:auto val="1"/>
        <c:lblAlgn val="ctr"/>
        <c:lblOffset val="100"/>
        <c:noMultiLvlLbl val="1"/>
      </c:catAx>
      <c:valAx>
        <c:axId val="380377824"/>
        <c:scaling>
          <c:orientation val="minMax"/>
          <c:min val="200"/>
        </c:scaling>
        <c:delete val="0"/>
        <c:axPos val="l"/>
        <c:majorGridlines/>
        <c:numFmt formatCode="0.0" sourceLinked="1"/>
        <c:majorTickMark val="out"/>
        <c:minorTickMark val="none"/>
        <c:tickLblPos val="nextTo"/>
        <c:crossAx val="380377440"/>
        <c:crosses val="autoZero"/>
        <c:crossBetween val="between"/>
      </c:valAx>
    </c:plotArea>
    <c:legend>
      <c:legendPos val="r"/>
      <c:layout>
        <c:manualLayout>
          <c:xMode val="edge"/>
          <c:yMode val="edge"/>
          <c:x val="5.7806195952072236E-4"/>
          <c:y val="0.8280886568652025"/>
          <c:w val="0.99942191324406082"/>
          <c:h val="2.7334851936218679E-2"/>
        </c:manualLayout>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60</xdr:col>
      <xdr:colOff>1443</xdr:colOff>
      <xdr:row>20</xdr:row>
      <xdr:rowOff>4763</xdr:rowOff>
    </xdr:from>
    <xdr:to>
      <xdr:col>62</xdr:col>
      <xdr:colOff>100172</xdr:colOff>
      <xdr:row>20</xdr:row>
      <xdr:rowOff>6232</xdr:rowOff>
    </xdr:to>
    <xdr:cxnSp macro="">
      <xdr:nvCxnSpPr>
        <xdr:cNvPr id="53" name="Straight Connector 52"/>
        <xdr:cNvCxnSpPr/>
      </xdr:nvCxnSpPr>
      <xdr:spPr>
        <a:xfrm flipH="1" flipV="1">
          <a:off x="10392352" y="3814763"/>
          <a:ext cx="445093" cy="1469"/>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85725</xdr:colOff>
      <xdr:row>23</xdr:row>
      <xdr:rowOff>0</xdr:rowOff>
    </xdr:from>
    <xdr:to>
      <xdr:col>15</xdr:col>
      <xdr:colOff>85725</xdr:colOff>
      <xdr:row>28</xdr:row>
      <xdr:rowOff>0</xdr:rowOff>
    </xdr:to>
    <xdr:sp macro="" textlink="">
      <xdr:nvSpPr>
        <xdr:cNvPr id="5122" name="Line 274"/>
        <xdr:cNvSpPr>
          <a:spLocks noChangeShapeType="1"/>
        </xdr:cNvSpPr>
      </xdr:nvSpPr>
      <xdr:spPr bwMode="auto">
        <a:xfrm flipH="1">
          <a:off x="2683452" y="4381500"/>
          <a:ext cx="0" cy="952500"/>
        </a:xfrm>
        <a:prstGeom prst="line">
          <a:avLst/>
        </a:prstGeom>
        <a:noFill/>
        <a:ln w="28575">
          <a:solidFill>
            <a:srgbClr val="000000"/>
          </a:solidFill>
          <a:round/>
          <a:headEnd/>
          <a:tailEnd type="triangle" w="med" len="med"/>
        </a:ln>
      </xdr:spPr>
    </xdr:sp>
    <xdr:clientData/>
  </xdr:twoCellAnchor>
  <xdr:twoCellAnchor editAs="oneCell">
    <xdr:from>
      <xdr:col>64</xdr:col>
      <xdr:colOff>0</xdr:colOff>
      <xdr:row>62</xdr:row>
      <xdr:rowOff>0</xdr:rowOff>
    </xdr:from>
    <xdr:to>
      <xdr:col>64</xdr:col>
      <xdr:colOff>0</xdr:colOff>
      <xdr:row>62</xdr:row>
      <xdr:rowOff>95250</xdr:rowOff>
    </xdr:to>
    <xdr:sp macro="" textlink="">
      <xdr:nvSpPr>
        <xdr:cNvPr id="5123" name="Line 899"/>
        <xdr:cNvSpPr>
          <a:spLocks noChangeShapeType="1"/>
        </xdr:cNvSpPr>
      </xdr:nvSpPr>
      <xdr:spPr bwMode="auto">
        <a:xfrm flipV="1">
          <a:off x="11083636" y="11811000"/>
          <a:ext cx="0" cy="95250"/>
        </a:xfrm>
        <a:prstGeom prst="line">
          <a:avLst/>
        </a:prstGeom>
        <a:noFill/>
        <a:ln w="6350">
          <a:solidFill>
            <a:srgbClr val="FFFFFF"/>
          </a:solidFill>
          <a:round/>
          <a:headEnd/>
          <a:tailEnd/>
        </a:ln>
      </xdr:spPr>
    </xdr:sp>
    <xdr:clientData/>
  </xdr:twoCellAnchor>
  <xdr:twoCellAnchor editAs="oneCell">
    <xdr:from>
      <xdr:col>58</xdr:col>
      <xdr:colOff>0</xdr:colOff>
      <xdr:row>64</xdr:row>
      <xdr:rowOff>95250</xdr:rowOff>
    </xdr:from>
    <xdr:to>
      <xdr:col>58</xdr:col>
      <xdr:colOff>0</xdr:colOff>
      <xdr:row>64</xdr:row>
      <xdr:rowOff>190500</xdr:rowOff>
    </xdr:to>
    <xdr:sp macro="" textlink="">
      <xdr:nvSpPr>
        <xdr:cNvPr id="5124" name="Line 900"/>
        <xdr:cNvSpPr>
          <a:spLocks noChangeShapeType="1"/>
        </xdr:cNvSpPr>
      </xdr:nvSpPr>
      <xdr:spPr bwMode="auto">
        <a:xfrm>
          <a:off x="10044545" y="12287250"/>
          <a:ext cx="0" cy="95250"/>
        </a:xfrm>
        <a:prstGeom prst="line">
          <a:avLst/>
        </a:prstGeom>
        <a:noFill/>
        <a:ln w="6350">
          <a:solidFill>
            <a:srgbClr val="FFFFFF"/>
          </a:solidFill>
          <a:round/>
          <a:headEnd/>
          <a:tailEnd/>
        </a:ln>
      </xdr:spPr>
    </xdr:sp>
    <xdr:clientData/>
  </xdr:twoCellAnchor>
  <xdr:twoCellAnchor editAs="oneCell">
    <xdr:from>
      <xdr:col>58</xdr:col>
      <xdr:colOff>171450</xdr:colOff>
      <xdr:row>12</xdr:row>
      <xdr:rowOff>28575</xdr:rowOff>
    </xdr:from>
    <xdr:to>
      <xdr:col>67</xdr:col>
      <xdr:colOff>47625</xdr:colOff>
      <xdr:row>18</xdr:row>
      <xdr:rowOff>95250</xdr:rowOff>
    </xdr:to>
    <xdr:grpSp>
      <xdr:nvGrpSpPr>
        <xdr:cNvPr id="5125" name="Group 1523"/>
        <xdr:cNvGrpSpPr>
          <a:grpSpLocks/>
        </xdr:cNvGrpSpPr>
      </xdr:nvGrpSpPr>
      <xdr:grpSpPr bwMode="auto">
        <a:xfrm rot="5400000">
          <a:off x="10276609" y="2461779"/>
          <a:ext cx="1313584" cy="1434812"/>
          <a:chOff x="1860" y="422"/>
          <a:chExt cx="140" cy="158"/>
        </a:xfrm>
      </xdr:grpSpPr>
      <xdr:grpSp>
        <xdr:nvGrpSpPr>
          <xdr:cNvPr id="5747" name="Group 1506"/>
          <xdr:cNvGrpSpPr>
            <a:grpSpLocks/>
          </xdr:cNvGrpSpPr>
        </xdr:nvGrpSpPr>
        <xdr:grpSpPr bwMode="auto">
          <a:xfrm>
            <a:off x="1860" y="540"/>
            <a:ext cx="140" cy="40"/>
            <a:chOff x="700" y="600"/>
            <a:chExt cx="140" cy="40"/>
          </a:xfrm>
        </xdr:grpSpPr>
        <xdr:grpSp>
          <xdr:nvGrpSpPr>
            <xdr:cNvPr id="5749" name="Group 1507"/>
            <xdr:cNvGrpSpPr>
              <a:grpSpLocks/>
            </xdr:cNvGrpSpPr>
          </xdr:nvGrpSpPr>
          <xdr:grpSpPr bwMode="auto">
            <a:xfrm flipH="1">
              <a:off x="700" y="600"/>
              <a:ext cx="14" cy="40"/>
              <a:chOff x="256" y="166"/>
              <a:chExt cx="24" cy="60"/>
            </a:xfrm>
          </xdr:grpSpPr>
          <xdr:sp macro="" textlink="">
            <xdr:nvSpPr>
              <xdr:cNvPr id="5756" name="Arc 1508"/>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57" name="Arc 1509"/>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58" name="Line 1510"/>
              <xdr:cNvSpPr>
                <a:spLocks noChangeShapeType="1"/>
              </xdr:cNvSpPr>
            </xdr:nvSpPr>
            <xdr:spPr bwMode="auto">
              <a:xfrm>
                <a:off x="256" y="166"/>
                <a:ext cx="0" cy="60"/>
              </a:xfrm>
              <a:prstGeom prst="line">
                <a:avLst/>
              </a:prstGeom>
              <a:noFill/>
              <a:ln w="9525">
                <a:solidFill>
                  <a:srgbClr val="000000"/>
                </a:solidFill>
                <a:round/>
                <a:headEnd/>
                <a:tailEnd/>
              </a:ln>
            </xdr:spPr>
          </xdr:sp>
        </xdr:grpSp>
        <xdr:grpSp>
          <xdr:nvGrpSpPr>
            <xdr:cNvPr id="5750" name="Group 1511"/>
            <xdr:cNvGrpSpPr>
              <a:grpSpLocks/>
            </xdr:cNvGrpSpPr>
          </xdr:nvGrpSpPr>
          <xdr:grpSpPr bwMode="auto">
            <a:xfrm>
              <a:off x="825" y="600"/>
              <a:ext cx="15" cy="40"/>
              <a:chOff x="256" y="166"/>
              <a:chExt cx="24" cy="60"/>
            </a:xfrm>
          </xdr:grpSpPr>
          <xdr:sp macro="" textlink="">
            <xdr:nvSpPr>
              <xdr:cNvPr id="5753" name="Arc 1512"/>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54" name="Arc 1513"/>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55" name="Line 1514"/>
              <xdr:cNvSpPr>
                <a:spLocks noChangeShapeType="1"/>
              </xdr:cNvSpPr>
            </xdr:nvSpPr>
            <xdr:spPr bwMode="auto">
              <a:xfrm>
                <a:off x="256" y="166"/>
                <a:ext cx="0" cy="60"/>
              </a:xfrm>
              <a:prstGeom prst="line">
                <a:avLst/>
              </a:prstGeom>
              <a:noFill/>
              <a:ln w="9525">
                <a:solidFill>
                  <a:srgbClr val="000000"/>
                </a:solidFill>
                <a:round/>
                <a:headEnd/>
                <a:tailEnd/>
              </a:ln>
            </xdr:spPr>
          </xdr:sp>
        </xdr:grpSp>
        <xdr:sp macro="" textlink="">
          <xdr:nvSpPr>
            <xdr:cNvPr id="5751" name="Line 1515"/>
            <xdr:cNvSpPr>
              <a:spLocks noChangeShapeType="1"/>
            </xdr:cNvSpPr>
          </xdr:nvSpPr>
          <xdr:spPr bwMode="auto">
            <a:xfrm>
              <a:off x="714" y="600"/>
              <a:ext cx="111" cy="0"/>
            </a:xfrm>
            <a:prstGeom prst="line">
              <a:avLst/>
            </a:prstGeom>
            <a:noFill/>
            <a:ln w="9525">
              <a:solidFill>
                <a:srgbClr val="000000"/>
              </a:solidFill>
              <a:round/>
              <a:headEnd/>
              <a:tailEnd/>
            </a:ln>
          </xdr:spPr>
        </xdr:sp>
        <xdr:sp macro="" textlink="">
          <xdr:nvSpPr>
            <xdr:cNvPr id="5752" name="Line 1516"/>
            <xdr:cNvSpPr>
              <a:spLocks noChangeShapeType="1"/>
            </xdr:cNvSpPr>
          </xdr:nvSpPr>
          <xdr:spPr bwMode="auto">
            <a:xfrm>
              <a:off x="714" y="640"/>
              <a:ext cx="111" cy="0"/>
            </a:xfrm>
            <a:prstGeom prst="line">
              <a:avLst/>
            </a:prstGeom>
            <a:noFill/>
            <a:ln w="9525">
              <a:solidFill>
                <a:srgbClr val="000000"/>
              </a:solidFill>
              <a:round/>
              <a:headEnd/>
              <a:tailEnd/>
            </a:ln>
          </xdr:spPr>
        </xdr:sp>
      </xdr:grpSp>
      <xdr:sp macro="" textlink="">
        <xdr:nvSpPr>
          <xdr:cNvPr id="732" name="Text Box 1519"/>
          <xdr:cNvSpPr txBox="1">
            <a:spLocks noChangeArrowheads="1"/>
          </xdr:cNvSpPr>
        </xdr:nvSpPr>
        <xdr:spPr bwMode="auto">
          <a:xfrm>
            <a:off x="1880" y="422"/>
            <a:ext cx="100" cy="158"/>
          </a:xfrm>
          <a:prstGeom prst="rect">
            <a:avLst/>
          </a:prstGeom>
          <a:noFill/>
          <a:ln>
            <a:noFill/>
          </a:ln>
          <a:extLst/>
        </xdr:spPr>
        <xdr:txBody>
          <a:bodyPr vertOverflow="clip" wrap="square" lIns="27432" tIns="22860" rIns="27432" bIns="22860" anchor="ctr" upright="1"/>
          <a:lstStyle/>
          <a:p>
            <a:pPr algn="ctr" rtl="0">
              <a:defRPr sz="1000"/>
            </a:pPr>
            <a:r>
              <a:rPr lang="en-US" sz="1000" b="1" i="0" u="sng" strike="noStrike" baseline="0">
                <a:solidFill>
                  <a:srgbClr val="000000"/>
                </a:solidFill>
                <a:latin typeface="Arial Narrow"/>
              </a:rPr>
              <a:t>V-EO4201</a:t>
            </a:r>
          </a:p>
          <a:p>
            <a:pPr algn="ctr" rtl="0">
              <a:defRPr sz="1000"/>
            </a:pPr>
            <a:r>
              <a:rPr lang="en-US" sz="900" i="0"/>
              <a:t>RECYCLED GAS </a:t>
            </a:r>
          </a:p>
          <a:p>
            <a:pPr algn="ctr" rtl="0">
              <a:defRPr sz="1000"/>
            </a:pPr>
            <a:r>
              <a:rPr lang="en-US" sz="900" i="0"/>
              <a:t>COMPRESSOR</a:t>
            </a:r>
            <a:r>
              <a:rPr lang="en-US" sz="900" i="0" baseline="0"/>
              <a:t> </a:t>
            </a:r>
          </a:p>
          <a:p>
            <a:pPr algn="ctr" rtl="0">
              <a:defRPr sz="1000"/>
            </a:pPr>
            <a:r>
              <a:rPr lang="en-US" sz="900" i="0" baseline="0"/>
              <a:t>KO DRUM</a:t>
            </a:r>
            <a:endParaRPr lang="en-US" sz="900" i="0"/>
          </a:p>
        </xdr:txBody>
      </xdr:sp>
    </xdr:grpSp>
    <xdr:clientData/>
  </xdr:twoCellAnchor>
  <xdr:twoCellAnchor editAs="oneCell">
    <xdr:from>
      <xdr:col>84</xdr:col>
      <xdr:colOff>0</xdr:colOff>
      <xdr:row>65</xdr:row>
      <xdr:rowOff>0</xdr:rowOff>
    </xdr:from>
    <xdr:to>
      <xdr:col>84</xdr:col>
      <xdr:colOff>0</xdr:colOff>
      <xdr:row>65</xdr:row>
      <xdr:rowOff>0</xdr:rowOff>
    </xdr:to>
    <xdr:sp macro="" textlink="">
      <xdr:nvSpPr>
        <xdr:cNvPr id="5126" name="Line 1924"/>
        <xdr:cNvSpPr>
          <a:spLocks noChangeShapeType="1"/>
        </xdr:cNvSpPr>
      </xdr:nvSpPr>
      <xdr:spPr bwMode="auto">
        <a:xfrm>
          <a:off x="14547273" y="12382500"/>
          <a:ext cx="0" cy="0"/>
        </a:xfrm>
        <a:prstGeom prst="line">
          <a:avLst/>
        </a:prstGeom>
        <a:noFill/>
        <a:ln w="9525">
          <a:solidFill>
            <a:srgbClr val="000000"/>
          </a:solidFill>
          <a:round/>
          <a:headEnd/>
          <a:tailEnd/>
        </a:ln>
      </xdr:spPr>
    </xdr:sp>
    <xdr:clientData/>
  </xdr:twoCellAnchor>
  <xdr:twoCellAnchor editAs="oneCell">
    <xdr:from>
      <xdr:col>97</xdr:col>
      <xdr:colOff>0</xdr:colOff>
      <xdr:row>65</xdr:row>
      <xdr:rowOff>0</xdr:rowOff>
    </xdr:from>
    <xdr:to>
      <xdr:col>97</xdr:col>
      <xdr:colOff>0</xdr:colOff>
      <xdr:row>65</xdr:row>
      <xdr:rowOff>0</xdr:rowOff>
    </xdr:to>
    <xdr:sp macro="" textlink="">
      <xdr:nvSpPr>
        <xdr:cNvPr id="5127" name="Line 1930"/>
        <xdr:cNvSpPr>
          <a:spLocks noChangeShapeType="1"/>
        </xdr:cNvSpPr>
      </xdr:nvSpPr>
      <xdr:spPr bwMode="auto">
        <a:xfrm>
          <a:off x="16798636" y="12382500"/>
          <a:ext cx="0" cy="0"/>
        </a:xfrm>
        <a:prstGeom prst="line">
          <a:avLst/>
        </a:prstGeom>
        <a:noFill/>
        <a:ln w="9525">
          <a:solidFill>
            <a:srgbClr val="000000"/>
          </a:solidFill>
          <a:round/>
          <a:headEnd/>
          <a:tailEnd/>
        </a:ln>
      </xdr:spPr>
    </xdr:sp>
    <xdr:clientData/>
  </xdr:twoCellAnchor>
  <xdr:twoCellAnchor editAs="oneCell">
    <xdr:from>
      <xdr:col>91</xdr:col>
      <xdr:colOff>0</xdr:colOff>
      <xdr:row>65</xdr:row>
      <xdr:rowOff>0</xdr:rowOff>
    </xdr:from>
    <xdr:to>
      <xdr:col>91</xdr:col>
      <xdr:colOff>0</xdr:colOff>
      <xdr:row>65</xdr:row>
      <xdr:rowOff>0</xdr:rowOff>
    </xdr:to>
    <xdr:sp macro="" textlink="">
      <xdr:nvSpPr>
        <xdr:cNvPr id="5128" name="Line 1931"/>
        <xdr:cNvSpPr>
          <a:spLocks noChangeShapeType="1"/>
        </xdr:cNvSpPr>
      </xdr:nvSpPr>
      <xdr:spPr bwMode="auto">
        <a:xfrm>
          <a:off x="15759545" y="12382500"/>
          <a:ext cx="0" cy="0"/>
        </a:xfrm>
        <a:prstGeom prst="line">
          <a:avLst/>
        </a:prstGeom>
        <a:noFill/>
        <a:ln w="9525">
          <a:solidFill>
            <a:srgbClr val="000000"/>
          </a:solidFill>
          <a:round/>
          <a:headEnd/>
          <a:tailEnd/>
        </a:ln>
      </xdr:spPr>
    </xdr:sp>
    <xdr:clientData/>
  </xdr:twoCellAnchor>
  <xdr:twoCellAnchor editAs="oneCell">
    <xdr:from>
      <xdr:col>94</xdr:col>
      <xdr:colOff>0</xdr:colOff>
      <xdr:row>65</xdr:row>
      <xdr:rowOff>0</xdr:rowOff>
    </xdr:from>
    <xdr:to>
      <xdr:col>94</xdr:col>
      <xdr:colOff>0</xdr:colOff>
      <xdr:row>65</xdr:row>
      <xdr:rowOff>0</xdr:rowOff>
    </xdr:to>
    <xdr:sp macro="" textlink="">
      <xdr:nvSpPr>
        <xdr:cNvPr id="5129" name="Line 1932"/>
        <xdr:cNvSpPr>
          <a:spLocks noChangeShapeType="1"/>
        </xdr:cNvSpPr>
      </xdr:nvSpPr>
      <xdr:spPr bwMode="auto">
        <a:xfrm>
          <a:off x="16279091" y="12382500"/>
          <a:ext cx="0" cy="0"/>
        </a:xfrm>
        <a:prstGeom prst="line">
          <a:avLst/>
        </a:prstGeom>
        <a:noFill/>
        <a:ln w="9525">
          <a:solidFill>
            <a:srgbClr val="000000"/>
          </a:solidFill>
          <a:round/>
          <a:headEnd/>
          <a:tailEnd/>
        </a:ln>
      </xdr:spPr>
    </xdr:sp>
    <xdr:clientData/>
  </xdr:twoCellAnchor>
  <xdr:twoCellAnchor editAs="oneCell">
    <xdr:from>
      <xdr:col>47</xdr:col>
      <xdr:colOff>47625</xdr:colOff>
      <xdr:row>15</xdr:row>
      <xdr:rowOff>0</xdr:rowOff>
    </xdr:from>
    <xdr:to>
      <xdr:col>47</xdr:col>
      <xdr:colOff>57150</xdr:colOff>
      <xdr:row>19</xdr:row>
      <xdr:rowOff>152400</xdr:rowOff>
    </xdr:to>
    <xdr:sp macro="" textlink="">
      <xdr:nvSpPr>
        <xdr:cNvPr id="5130" name="Line 1993"/>
        <xdr:cNvSpPr>
          <a:spLocks noChangeShapeType="1"/>
        </xdr:cNvSpPr>
      </xdr:nvSpPr>
      <xdr:spPr bwMode="auto">
        <a:xfrm flipH="1">
          <a:off x="8187170" y="2857500"/>
          <a:ext cx="9525" cy="952500"/>
        </a:xfrm>
        <a:prstGeom prst="line">
          <a:avLst/>
        </a:prstGeom>
        <a:noFill/>
        <a:ln w="28575">
          <a:solidFill>
            <a:srgbClr val="000000"/>
          </a:solidFill>
          <a:round/>
          <a:headEnd/>
          <a:tailEnd/>
        </a:ln>
      </xdr:spPr>
    </xdr:sp>
    <xdr:clientData/>
  </xdr:twoCellAnchor>
  <xdr:twoCellAnchor editAs="oneCell">
    <xdr:from>
      <xdr:col>0</xdr:col>
      <xdr:colOff>171450</xdr:colOff>
      <xdr:row>20</xdr:row>
      <xdr:rowOff>0</xdr:rowOff>
    </xdr:from>
    <xdr:to>
      <xdr:col>6</xdr:col>
      <xdr:colOff>171450</xdr:colOff>
      <xdr:row>23</xdr:row>
      <xdr:rowOff>85725</xdr:rowOff>
    </xdr:to>
    <xdr:grpSp>
      <xdr:nvGrpSpPr>
        <xdr:cNvPr id="5131" name="Group 3538"/>
        <xdr:cNvGrpSpPr>
          <a:grpSpLocks/>
        </xdr:cNvGrpSpPr>
      </xdr:nvGrpSpPr>
      <xdr:grpSpPr bwMode="auto">
        <a:xfrm>
          <a:off x="171450" y="4156364"/>
          <a:ext cx="1039091" cy="674543"/>
          <a:chOff x="40" y="460"/>
          <a:chExt cx="120" cy="70"/>
        </a:xfrm>
      </xdr:grpSpPr>
      <xdr:sp macro="" textlink="">
        <xdr:nvSpPr>
          <xdr:cNvPr id="1582" name="Text Box 3525"/>
          <xdr:cNvSpPr txBox="1">
            <a:spLocks noChangeArrowheads="1"/>
          </xdr:cNvSpPr>
        </xdr:nvSpPr>
        <xdr:spPr bwMode="auto">
          <a:xfrm>
            <a:off x="40" y="460"/>
            <a:ext cx="120" cy="50"/>
          </a:xfrm>
          <a:prstGeom prst="rect">
            <a:avLst/>
          </a:prstGeom>
          <a:noFill/>
          <a:ln>
            <a:noFill/>
          </a:ln>
          <a:extLst/>
        </xdr:spPr>
        <xdr:txBody>
          <a:bodyPr vertOverflow="clip" wrap="square" lIns="27432" tIns="0" rIns="0" bIns="27432" anchor="b" upright="1"/>
          <a:lstStyle/>
          <a:p>
            <a:pPr algn="l" rtl="0">
              <a:defRPr sz="1000"/>
            </a:pPr>
            <a:r>
              <a:rPr lang="en-US" sz="800" b="0" i="0" baseline="0">
                <a:effectLst/>
                <a:latin typeface="Arial Narrow" panose="020B0606020202030204" pitchFamily="34" charset="0"/>
                <a:ea typeface="+mn-ea"/>
                <a:cs typeface="+mn-cs"/>
              </a:rPr>
              <a:t>O2 FROM PIPELINE</a:t>
            </a:r>
            <a:endParaRPr lang="en-US" sz="800">
              <a:latin typeface="Arial Narrow" panose="020B0606020202030204" pitchFamily="34" charset="0"/>
            </a:endParaRPr>
          </a:p>
        </xdr:txBody>
      </xdr:sp>
      <xdr:grpSp>
        <xdr:nvGrpSpPr>
          <xdr:cNvPr id="5735" name="Group 3526"/>
          <xdr:cNvGrpSpPr>
            <a:grpSpLocks/>
          </xdr:cNvGrpSpPr>
        </xdr:nvGrpSpPr>
        <xdr:grpSpPr bwMode="auto">
          <a:xfrm>
            <a:off x="40" y="510"/>
            <a:ext cx="100" cy="20"/>
            <a:chOff x="1840" y="1050"/>
            <a:chExt cx="100" cy="20"/>
          </a:xfrm>
        </xdr:grpSpPr>
        <xdr:grpSp>
          <xdr:nvGrpSpPr>
            <xdr:cNvPr id="5736" name="Group 3527"/>
            <xdr:cNvGrpSpPr>
              <a:grpSpLocks/>
            </xdr:cNvGrpSpPr>
          </xdr:nvGrpSpPr>
          <xdr:grpSpPr bwMode="auto">
            <a:xfrm>
              <a:off x="1840" y="1050"/>
              <a:ext cx="100" cy="20"/>
              <a:chOff x="1840" y="1050"/>
              <a:chExt cx="100" cy="20"/>
            </a:xfrm>
          </xdr:grpSpPr>
          <xdr:sp macro="" textlink="">
            <xdr:nvSpPr>
              <xdr:cNvPr id="1593" name="Rectangle 3528"/>
              <xdr:cNvSpPr>
                <a:spLocks noChangeArrowheads="1"/>
              </xdr:cNvSpPr>
            </xdr:nvSpPr>
            <xdr:spPr bwMode="auto">
              <a:xfrm flipH="1">
                <a:off x="1840" y="1050"/>
                <a:ext cx="93" cy="20"/>
              </a:xfrm>
              <a:prstGeom prst="rect">
                <a:avLst/>
              </a:prstGeom>
              <a:noFill/>
              <a:ln>
                <a:noFill/>
              </a:ln>
              <a:effectLs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           -</a:t>
                </a:r>
                <a:endParaRPr lang="en-US"/>
              </a:p>
            </xdr:txBody>
          </xdr:sp>
          <xdr:sp macro="" textlink="">
            <xdr:nvSpPr>
              <xdr:cNvPr id="5746" name="AutoShape 3529"/>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737" name="Group 3530"/>
            <xdr:cNvGrpSpPr>
              <a:grpSpLocks/>
            </xdr:cNvGrpSpPr>
          </xdr:nvGrpSpPr>
          <xdr:grpSpPr bwMode="auto">
            <a:xfrm>
              <a:off x="1840" y="1050"/>
              <a:ext cx="100" cy="20"/>
              <a:chOff x="1840" y="1050"/>
              <a:chExt cx="100" cy="20"/>
            </a:xfrm>
          </xdr:grpSpPr>
          <xdr:grpSp>
            <xdr:nvGrpSpPr>
              <xdr:cNvPr id="5738" name="Group 3531"/>
              <xdr:cNvGrpSpPr>
                <a:grpSpLocks/>
              </xdr:cNvGrpSpPr>
            </xdr:nvGrpSpPr>
            <xdr:grpSpPr bwMode="auto">
              <a:xfrm>
                <a:off x="1933" y="1050"/>
                <a:ext cx="7" cy="20"/>
                <a:chOff x="1893" y="1050"/>
                <a:chExt cx="7" cy="20"/>
              </a:xfrm>
            </xdr:grpSpPr>
            <xdr:sp macro="" textlink="">
              <xdr:nvSpPr>
                <xdr:cNvPr id="5743" name="Line 3532"/>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744" name="Line 3533"/>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739" name="Group 3534"/>
              <xdr:cNvGrpSpPr>
                <a:grpSpLocks/>
              </xdr:cNvGrpSpPr>
            </xdr:nvGrpSpPr>
            <xdr:grpSpPr bwMode="auto">
              <a:xfrm>
                <a:off x="1840" y="1050"/>
                <a:ext cx="93" cy="20"/>
                <a:chOff x="1840" y="1050"/>
                <a:chExt cx="93" cy="20"/>
              </a:xfrm>
            </xdr:grpSpPr>
            <xdr:sp macro="" textlink="">
              <xdr:nvSpPr>
                <xdr:cNvPr id="5740" name="Line 3535"/>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741" name="Line 3536"/>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742" name="Line 3537"/>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grpSp>
    <xdr:clientData/>
  </xdr:twoCellAnchor>
  <xdr:twoCellAnchor editAs="oneCell">
    <xdr:from>
      <xdr:col>25</xdr:col>
      <xdr:colOff>7794</xdr:colOff>
      <xdr:row>27</xdr:row>
      <xdr:rowOff>0</xdr:rowOff>
    </xdr:from>
    <xdr:to>
      <xdr:col>42</xdr:col>
      <xdr:colOff>7794</xdr:colOff>
      <xdr:row>27</xdr:row>
      <xdr:rowOff>0</xdr:rowOff>
    </xdr:to>
    <xdr:sp macro="" textlink="">
      <xdr:nvSpPr>
        <xdr:cNvPr id="5132" name="Line 3889"/>
        <xdr:cNvSpPr>
          <a:spLocks noChangeShapeType="1"/>
        </xdr:cNvSpPr>
      </xdr:nvSpPr>
      <xdr:spPr bwMode="auto">
        <a:xfrm flipH="1">
          <a:off x="4337339" y="5143500"/>
          <a:ext cx="2944091" cy="0"/>
        </a:xfrm>
        <a:prstGeom prst="line">
          <a:avLst/>
        </a:prstGeom>
        <a:noFill/>
        <a:ln w="25400">
          <a:solidFill>
            <a:srgbClr val="000000"/>
          </a:solidFill>
          <a:round/>
          <a:headEnd/>
          <a:tailEnd/>
        </a:ln>
      </xdr:spPr>
    </xdr:sp>
    <xdr:clientData/>
  </xdr:twoCellAnchor>
  <xdr:twoCellAnchor editAs="oneCell">
    <xdr:from>
      <xdr:col>7</xdr:col>
      <xdr:colOff>0</xdr:colOff>
      <xdr:row>32</xdr:row>
      <xdr:rowOff>142875</xdr:rowOff>
    </xdr:from>
    <xdr:to>
      <xdr:col>7</xdr:col>
      <xdr:colOff>0</xdr:colOff>
      <xdr:row>33</xdr:row>
      <xdr:rowOff>0</xdr:rowOff>
    </xdr:to>
    <xdr:sp macro="" textlink="">
      <xdr:nvSpPr>
        <xdr:cNvPr id="5133" name="Line 4310"/>
        <xdr:cNvSpPr>
          <a:spLocks noChangeShapeType="1"/>
        </xdr:cNvSpPr>
      </xdr:nvSpPr>
      <xdr:spPr bwMode="auto">
        <a:xfrm>
          <a:off x="1212273" y="6238875"/>
          <a:ext cx="0" cy="47625"/>
        </a:xfrm>
        <a:prstGeom prst="line">
          <a:avLst/>
        </a:prstGeom>
        <a:noFill/>
        <a:ln w="9525">
          <a:solidFill>
            <a:srgbClr val="FFFFFF"/>
          </a:solidFill>
          <a:round/>
          <a:headEnd/>
          <a:tailEnd/>
        </a:ln>
      </xdr:spPr>
    </xdr:sp>
    <xdr:clientData/>
  </xdr:twoCellAnchor>
  <xdr:twoCellAnchor editAs="oneCell">
    <xdr:from>
      <xdr:col>7</xdr:col>
      <xdr:colOff>0</xdr:colOff>
      <xdr:row>27</xdr:row>
      <xdr:rowOff>142875</xdr:rowOff>
    </xdr:from>
    <xdr:to>
      <xdr:col>7</xdr:col>
      <xdr:colOff>0</xdr:colOff>
      <xdr:row>28</xdr:row>
      <xdr:rowOff>0</xdr:rowOff>
    </xdr:to>
    <xdr:sp macro="" textlink="">
      <xdr:nvSpPr>
        <xdr:cNvPr id="5134" name="Line 4316"/>
        <xdr:cNvSpPr>
          <a:spLocks noChangeShapeType="1"/>
        </xdr:cNvSpPr>
      </xdr:nvSpPr>
      <xdr:spPr bwMode="auto">
        <a:xfrm>
          <a:off x="1212273" y="5286375"/>
          <a:ext cx="0" cy="47625"/>
        </a:xfrm>
        <a:prstGeom prst="line">
          <a:avLst/>
        </a:prstGeom>
        <a:noFill/>
        <a:ln w="9525">
          <a:solidFill>
            <a:srgbClr val="FFFFFF"/>
          </a:solidFill>
          <a:round/>
          <a:headEnd/>
          <a:tailEnd/>
        </a:ln>
      </xdr:spPr>
    </xdr:sp>
    <xdr:clientData/>
  </xdr:twoCellAnchor>
  <xdr:twoCellAnchor editAs="oneCell">
    <xdr:from>
      <xdr:col>9</xdr:col>
      <xdr:colOff>84899</xdr:colOff>
      <xdr:row>23</xdr:row>
      <xdr:rowOff>14373</xdr:rowOff>
    </xdr:from>
    <xdr:to>
      <xdr:col>13</xdr:col>
      <xdr:colOff>8825</xdr:colOff>
      <xdr:row>23</xdr:row>
      <xdr:rowOff>176298</xdr:rowOff>
    </xdr:to>
    <xdr:sp macro="" textlink="">
      <xdr:nvSpPr>
        <xdr:cNvPr id="1954" name="TextBox 1953"/>
        <xdr:cNvSpPr txBox="1"/>
      </xdr:nvSpPr>
      <xdr:spPr>
        <a:xfrm>
          <a:off x="1643535" y="4395873"/>
          <a:ext cx="616654"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XZV-1028</a:t>
          </a:r>
        </a:p>
      </xdr:txBody>
    </xdr:sp>
    <xdr:clientData/>
  </xdr:twoCellAnchor>
  <xdr:twoCellAnchor editAs="oneCell">
    <xdr:from>
      <xdr:col>9</xdr:col>
      <xdr:colOff>89731</xdr:colOff>
      <xdr:row>28</xdr:row>
      <xdr:rowOff>173831</xdr:rowOff>
    </xdr:from>
    <xdr:to>
      <xdr:col>9</xdr:col>
      <xdr:colOff>101600</xdr:colOff>
      <xdr:row>53</xdr:row>
      <xdr:rowOff>9525</xdr:rowOff>
    </xdr:to>
    <xdr:cxnSp macro="">
      <xdr:nvCxnSpPr>
        <xdr:cNvPr id="2038" name="Straight Connector 2037"/>
        <xdr:cNvCxnSpPr/>
      </xdr:nvCxnSpPr>
      <xdr:spPr>
        <a:xfrm>
          <a:off x="1648367" y="5507831"/>
          <a:ext cx="11869" cy="459819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171450</xdr:colOff>
      <xdr:row>24</xdr:row>
      <xdr:rowOff>180975</xdr:rowOff>
    </xdr:from>
    <xdr:to>
      <xdr:col>7</xdr:col>
      <xdr:colOff>28575</xdr:colOff>
      <xdr:row>33</xdr:row>
      <xdr:rowOff>142875</xdr:rowOff>
    </xdr:to>
    <xdr:grpSp>
      <xdr:nvGrpSpPr>
        <xdr:cNvPr id="5137" name="Group 3538"/>
        <xdr:cNvGrpSpPr>
          <a:grpSpLocks/>
        </xdr:cNvGrpSpPr>
      </xdr:nvGrpSpPr>
      <xdr:grpSpPr bwMode="auto">
        <a:xfrm>
          <a:off x="171450" y="5116657"/>
          <a:ext cx="1069398" cy="1676400"/>
          <a:chOff x="40" y="417"/>
          <a:chExt cx="124" cy="128"/>
        </a:xfrm>
      </xdr:grpSpPr>
      <xdr:sp macro="" textlink="">
        <xdr:nvSpPr>
          <xdr:cNvPr id="2054" name="Text Box 3525"/>
          <xdr:cNvSpPr txBox="1">
            <a:spLocks noChangeArrowheads="1"/>
          </xdr:cNvSpPr>
        </xdr:nvSpPr>
        <xdr:spPr bwMode="auto">
          <a:xfrm>
            <a:off x="40" y="417"/>
            <a:ext cx="124" cy="128"/>
          </a:xfrm>
          <a:prstGeom prst="rect">
            <a:avLst/>
          </a:prstGeom>
          <a:noFill/>
          <a:ln>
            <a:noFill/>
          </a:ln>
          <a:extLst/>
        </xdr:spPr>
        <xdr:txBody>
          <a:bodyPr vertOverflow="clip" wrap="square" lIns="27432" tIns="0" rIns="0" bIns="27432" anchor="b" upright="1"/>
          <a:lstStyle/>
          <a:p>
            <a:pPr algn="l" rtl="0">
              <a:defRPr sz="1000"/>
            </a:pPr>
            <a:r>
              <a:rPr lang="en-US" sz="800" b="0" i="0" baseline="0">
                <a:effectLst/>
                <a:latin typeface="Arial Narrow" panose="020B0606020202030204" pitchFamily="34" charset="0"/>
                <a:ea typeface="+mn-ea"/>
                <a:cs typeface="+mn-cs"/>
              </a:rPr>
              <a:t>ETHYLENE FROM </a:t>
            </a:r>
          </a:p>
          <a:p>
            <a:pPr algn="l" rtl="0">
              <a:defRPr sz="1000"/>
            </a:pPr>
            <a:r>
              <a:rPr lang="en-US" sz="800" b="0" i="0" baseline="0">
                <a:effectLst/>
                <a:latin typeface="Arial Narrow" panose="020B0606020202030204" pitchFamily="34" charset="0"/>
                <a:ea typeface="+mn-ea"/>
                <a:cs typeface="+mn-cs"/>
              </a:rPr>
              <a:t>E-EO4105 </a:t>
            </a:r>
            <a:endParaRPr lang="en-US" sz="1000" b="0" i="0" baseline="0">
              <a:effectLst/>
              <a:latin typeface="+mn-lt"/>
              <a:ea typeface="+mn-ea"/>
              <a:cs typeface="+mn-cs"/>
            </a:endParaRPr>
          </a:p>
          <a:p>
            <a:pPr algn="l" rtl="0">
              <a:defRPr sz="1000"/>
            </a:pPr>
            <a:r>
              <a:rPr lang="en-US" sz="800" b="0" i="0" baseline="0">
                <a:effectLst/>
                <a:latin typeface="Arial Narrow" panose="020B0606020202030204" pitchFamily="34" charset="0"/>
                <a:ea typeface="+mn-ea"/>
                <a:cs typeface="+mn-cs"/>
              </a:rPr>
              <a:t>(ETHYLENE HEATER</a:t>
            </a:r>
            <a:r>
              <a:rPr lang="en-US" sz="1000" b="0" i="0" baseline="0">
                <a:effectLst/>
                <a:latin typeface="+mn-lt"/>
                <a:ea typeface="+mn-ea"/>
                <a:cs typeface="+mn-cs"/>
              </a:rPr>
              <a:t>)</a:t>
            </a:r>
          </a:p>
          <a:p>
            <a:pPr algn="l" rtl="0">
              <a:defRPr sz="1000"/>
            </a:pPr>
            <a:endParaRPr lang="en-US" sz="1000" b="0" i="0" baseline="0">
              <a:effectLst/>
              <a:latin typeface="+mn-lt"/>
              <a:ea typeface="+mn-ea"/>
              <a:cs typeface="+mn-cs"/>
            </a:endParaRPr>
          </a:p>
          <a:p>
            <a:pPr algn="l" rtl="0">
              <a:defRPr sz="1000"/>
            </a:pPr>
            <a:endParaRPr lang="en-US" sz="1000" b="0" i="0" baseline="0">
              <a:effectLst/>
              <a:latin typeface="+mn-lt"/>
              <a:ea typeface="+mn-ea"/>
              <a:cs typeface="+mn-cs"/>
            </a:endParaRPr>
          </a:p>
          <a:p>
            <a:pPr algn="l" rtl="0">
              <a:defRPr sz="1000"/>
            </a:pPr>
            <a:endParaRPr lang="en-US" sz="1000" b="0" i="0" baseline="0">
              <a:effectLst/>
              <a:latin typeface="+mn-lt"/>
              <a:ea typeface="+mn-ea"/>
              <a:cs typeface="+mn-cs"/>
            </a:endParaRPr>
          </a:p>
        </xdr:txBody>
      </xdr:sp>
      <xdr:grpSp>
        <xdr:nvGrpSpPr>
          <xdr:cNvPr id="5722" name="Group 3526"/>
          <xdr:cNvGrpSpPr>
            <a:grpSpLocks/>
          </xdr:cNvGrpSpPr>
        </xdr:nvGrpSpPr>
        <xdr:grpSpPr bwMode="auto">
          <a:xfrm>
            <a:off x="40" y="510"/>
            <a:ext cx="100" cy="20"/>
            <a:chOff x="1840" y="1050"/>
            <a:chExt cx="100" cy="20"/>
          </a:xfrm>
        </xdr:grpSpPr>
        <xdr:grpSp>
          <xdr:nvGrpSpPr>
            <xdr:cNvPr id="5723" name="Group 3527"/>
            <xdr:cNvGrpSpPr>
              <a:grpSpLocks/>
            </xdr:cNvGrpSpPr>
          </xdr:nvGrpSpPr>
          <xdr:grpSpPr bwMode="auto">
            <a:xfrm>
              <a:off x="1840" y="1050"/>
              <a:ext cx="100" cy="20"/>
              <a:chOff x="1840" y="1050"/>
              <a:chExt cx="100" cy="20"/>
            </a:xfrm>
          </xdr:grpSpPr>
          <xdr:sp macro="" textlink="">
            <xdr:nvSpPr>
              <xdr:cNvPr id="2065" name="Rectangle 3528"/>
              <xdr:cNvSpPr>
                <a:spLocks noChangeArrowheads="1"/>
              </xdr:cNvSpPr>
            </xdr:nvSpPr>
            <xdr:spPr bwMode="auto">
              <a:xfrm flipH="1">
                <a:off x="1840" y="1050"/>
                <a:ext cx="90" cy="20"/>
              </a:xfrm>
              <a:prstGeom prst="rect">
                <a:avLst/>
              </a:prstGeom>
              <a:noFill/>
              <a:ln>
                <a:noFill/>
              </a:ln>
              <a:effectLs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           -</a:t>
                </a:r>
                <a:endParaRPr lang="en-US"/>
              </a:p>
            </xdr:txBody>
          </xdr:sp>
          <xdr:sp macro="" textlink="">
            <xdr:nvSpPr>
              <xdr:cNvPr id="5733" name="AutoShape 3529"/>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724" name="Group 3530"/>
            <xdr:cNvGrpSpPr>
              <a:grpSpLocks/>
            </xdr:cNvGrpSpPr>
          </xdr:nvGrpSpPr>
          <xdr:grpSpPr bwMode="auto">
            <a:xfrm>
              <a:off x="1840" y="1050"/>
              <a:ext cx="100" cy="20"/>
              <a:chOff x="1840" y="1050"/>
              <a:chExt cx="100" cy="20"/>
            </a:xfrm>
          </xdr:grpSpPr>
          <xdr:grpSp>
            <xdr:nvGrpSpPr>
              <xdr:cNvPr id="5725" name="Group 3531"/>
              <xdr:cNvGrpSpPr>
                <a:grpSpLocks/>
              </xdr:cNvGrpSpPr>
            </xdr:nvGrpSpPr>
            <xdr:grpSpPr bwMode="auto">
              <a:xfrm>
                <a:off x="1933" y="1050"/>
                <a:ext cx="7" cy="20"/>
                <a:chOff x="1893" y="1050"/>
                <a:chExt cx="7" cy="20"/>
              </a:xfrm>
            </xdr:grpSpPr>
            <xdr:sp macro="" textlink="">
              <xdr:nvSpPr>
                <xdr:cNvPr id="5730" name="Line 3532"/>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731" name="Line 3533"/>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726" name="Group 3534"/>
              <xdr:cNvGrpSpPr>
                <a:grpSpLocks/>
              </xdr:cNvGrpSpPr>
            </xdr:nvGrpSpPr>
            <xdr:grpSpPr bwMode="auto">
              <a:xfrm>
                <a:off x="1840" y="1050"/>
                <a:ext cx="93" cy="20"/>
                <a:chOff x="1840" y="1050"/>
                <a:chExt cx="93" cy="20"/>
              </a:xfrm>
            </xdr:grpSpPr>
            <xdr:sp macro="" textlink="">
              <xdr:nvSpPr>
                <xdr:cNvPr id="5727" name="Line 3535"/>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728" name="Line 3536"/>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729" name="Line 3537"/>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grpSp>
    <xdr:clientData/>
  </xdr:twoCellAnchor>
  <xdr:twoCellAnchor editAs="oneCell">
    <xdr:from>
      <xdr:col>6</xdr:col>
      <xdr:colOff>27845</xdr:colOff>
      <xdr:row>32</xdr:row>
      <xdr:rowOff>50024</xdr:rowOff>
    </xdr:from>
    <xdr:to>
      <xdr:col>10</xdr:col>
      <xdr:colOff>100870</xdr:colOff>
      <xdr:row>33</xdr:row>
      <xdr:rowOff>21449</xdr:rowOff>
    </xdr:to>
    <xdr:sp macro="" textlink="">
      <xdr:nvSpPr>
        <xdr:cNvPr id="2068" name="TextBox 2067"/>
        <xdr:cNvSpPr txBox="1"/>
      </xdr:nvSpPr>
      <xdr:spPr>
        <a:xfrm>
          <a:off x="1066936" y="6146024"/>
          <a:ext cx="765752"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XZV-1964</a:t>
          </a:r>
        </a:p>
      </xdr:txBody>
    </xdr:sp>
    <xdr:clientData/>
  </xdr:twoCellAnchor>
  <xdr:twoCellAnchor editAs="oneCell">
    <xdr:from>
      <xdr:col>18</xdr:col>
      <xdr:colOff>0</xdr:colOff>
      <xdr:row>27</xdr:row>
      <xdr:rowOff>142875</xdr:rowOff>
    </xdr:from>
    <xdr:to>
      <xdr:col>18</xdr:col>
      <xdr:colOff>0</xdr:colOff>
      <xdr:row>28</xdr:row>
      <xdr:rowOff>0</xdr:rowOff>
    </xdr:to>
    <xdr:sp macro="" textlink="">
      <xdr:nvSpPr>
        <xdr:cNvPr id="5139" name="Line 4316"/>
        <xdr:cNvSpPr>
          <a:spLocks noChangeShapeType="1"/>
        </xdr:cNvSpPr>
      </xdr:nvSpPr>
      <xdr:spPr bwMode="auto">
        <a:xfrm>
          <a:off x="3117273" y="5286375"/>
          <a:ext cx="0" cy="47625"/>
        </a:xfrm>
        <a:prstGeom prst="line">
          <a:avLst/>
        </a:prstGeom>
        <a:noFill/>
        <a:ln w="9525">
          <a:solidFill>
            <a:srgbClr val="FFFFFF"/>
          </a:solidFill>
          <a:round/>
          <a:headEnd/>
          <a:tailEnd/>
        </a:ln>
      </xdr:spPr>
    </xdr:sp>
    <xdr:clientData/>
  </xdr:twoCellAnchor>
  <xdr:twoCellAnchor editAs="oneCell">
    <xdr:from>
      <xdr:col>19</xdr:col>
      <xdr:colOff>6350</xdr:colOff>
      <xdr:row>27</xdr:row>
      <xdr:rowOff>190488</xdr:rowOff>
    </xdr:from>
    <xdr:to>
      <xdr:col>20</xdr:col>
      <xdr:colOff>1647</xdr:colOff>
      <xdr:row>27</xdr:row>
      <xdr:rowOff>190494</xdr:rowOff>
    </xdr:to>
    <xdr:cxnSp macro="">
      <xdr:nvCxnSpPr>
        <xdr:cNvPr id="2079" name="Straight Connector 2078"/>
        <xdr:cNvCxnSpPr/>
      </xdr:nvCxnSpPr>
      <xdr:spPr>
        <a:xfrm flipH="1">
          <a:off x="3296805" y="5333988"/>
          <a:ext cx="168478" cy="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6366</xdr:colOff>
      <xdr:row>29</xdr:row>
      <xdr:rowOff>171416</xdr:rowOff>
    </xdr:from>
    <xdr:to>
      <xdr:col>20</xdr:col>
      <xdr:colOff>1663</xdr:colOff>
      <xdr:row>29</xdr:row>
      <xdr:rowOff>171422</xdr:rowOff>
    </xdr:to>
    <xdr:cxnSp macro="">
      <xdr:nvCxnSpPr>
        <xdr:cNvPr id="2080" name="Straight Connector 2079"/>
        <xdr:cNvCxnSpPr/>
      </xdr:nvCxnSpPr>
      <xdr:spPr>
        <a:xfrm flipH="1">
          <a:off x="3296821" y="5695916"/>
          <a:ext cx="168478" cy="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95250</xdr:colOff>
      <xdr:row>28</xdr:row>
      <xdr:rowOff>171450</xdr:rowOff>
    </xdr:from>
    <xdr:to>
      <xdr:col>13</xdr:col>
      <xdr:colOff>0</xdr:colOff>
      <xdr:row>28</xdr:row>
      <xdr:rowOff>171450</xdr:rowOff>
    </xdr:to>
    <xdr:sp macro="" textlink="">
      <xdr:nvSpPr>
        <xdr:cNvPr id="5142" name="Line 242"/>
        <xdr:cNvSpPr>
          <a:spLocks noChangeShapeType="1"/>
        </xdr:cNvSpPr>
      </xdr:nvSpPr>
      <xdr:spPr bwMode="auto">
        <a:xfrm flipV="1">
          <a:off x="1653886" y="5505450"/>
          <a:ext cx="597478" cy="0"/>
        </a:xfrm>
        <a:prstGeom prst="line">
          <a:avLst/>
        </a:prstGeom>
        <a:noFill/>
        <a:ln w="28575">
          <a:solidFill>
            <a:srgbClr val="000000"/>
          </a:solidFill>
          <a:round/>
          <a:headEnd/>
          <a:tailEnd type="triangle" w="med" len="med"/>
        </a:ln>
      </xdr:spPr>
    </xdr:sp>
    <xdr:clientData/>
  </xdr:twoCellAnchor>
  <xdr:twoCellAnchor editAs="oneCell">
    <xdr:from>
      <xdr:col>14</xdr:col>
      <xdr:colOff>104775</xdr:colOff>
      <xdr:row>28</xdr:row>
      <xdr:rowOff>0</xdr:rowOff>
    </xdr:from>
    <xdr:to>
      <xdr:col>18</xdr:col>
      <xdr:colOff>85725</xdr:colOff>
      <xdr:row>28</xdr:row>
      <xdr:rowOff>0</xdr:rowOff>
    </xdr:to>
    <xdr:sp macro="" textlink="">
      <xdr:nvSpPr>
        <xdr:cNvPr id="5143" name="Line 1114"/>
        <xdr:cNvSpPr>
          <a:spLocks noChangeShapeType="1"/>
        </xdr:cNvSpPr>
      </xdr:nvSpPr>
      <xdr:spPr bwMode="auto">
        <a:xfrm rot="5400000">
          <a:off x="2866159" y="4997161"/>
          <a:ext cx="0" cy="673678"/>
        </a:xfrm>
        <a:prstGeom prst="line">
          <a:avLst/>
        </a:prstGeom>
        <a:noFill/>
        <a:ln w="9525">
          <a:solidFill>
            <a:srgbClr val="000000"/>
          </a:solidFill>
          <a:round/>
          <a:headEnd/>
          <a:tailEnd/>
        </a:ln>
      </xdr:spPr>
    </xdr:sp>
    <xdr:clientData/>
  </xdr:twoCellAnchor>
  <xdr:twoCellAnchor editAs="oneCell">
    <xdr:from>
      <xdr:col>14</xdr:col>
      <xdr:colOff>104775</xdr:colOff>
      <xdr:row>29</xdr:row>
      <xdr:rowOff>171450</xdr:rowOff>
    </xdr:from>
    <xdr:to>
      <xdr:col>18</xdr:col>
      <xdr:colOff>85725</xdr:colOff>
      <xdr:row>29</xdr:row>
      <xdr:rowOff>171450</xdr:rowOff>
    </xdr:to>
    <xdr:sp macro="" textlink="">
      <xdr:nvSpPr>
        <xdr:cNvPr id="5144" name="Line 1115"/>
        <xdr:cNvSpPr>
          <a:spLocks noChangeShapeType="1"/>
        </xdr:cNvSpPr>
      </xdr:nvSpPr>
      <xdr:spPr bwMode="auto">
        <a:xfrm rot="5400000">
          <a:off x="2866159" y="5359111"/>
          <a:ext cx="0" cy="673678"/>
        </a:xfrm>
        <a:prstGeom prst="line">
          <a:avLst/>
        </a:prstGeom>
        <a:noFill/>
        <a:ln w="9525">
          <a:solidFill>
            <a:srgbClr val="000000"/>
          </a:solidFill>
          <a:round/>
          <a:headEnd/>
          <a:tailEnd/>
        </a:ln>
      </xdr:spPr>
    </xdr:sp>
    <xdr:clientData/>
  </xdr:twoCellAnchor>
  <xdr:twoCellAnchor editAs="oneCell">
    <xdr:from>
      <xdr:col>14</xdr:col>
      <xdr:colOff>0</xdr:colOff>
      <xdr:row>27</xdr:row>
      <xdr:rowOff>133350</xdr:rowOff>
    </xdr:from>
    <xdr:to>
      <xdr:col>14</xdr:col>
      <xdr:colOff>0</xdr:colOff>
      <xdr:row>30</xdr:row>
      <xdr:rowOff>76200</xdr:rowOff>
    </xdr:to>
    <xdr:sp macro="" textlink="">
      <xdr:nvSpPr>
        <xdr:cNvPr id="5145" name="Line 1113"/>
        <xdr:cNvSpPr>
          <a:spLocks noChangeShapeType="1"/>
        </xdr:cNvSpPr>
      </xdr:nvSpPr>
      <xdr:spPr bwMode="auto">
        <a:xfrm rot="5400000">
          <a:off x="2167370" y="5534025"/>
          <a:ext cx="514350" cy="0"/>
        </a:xfrm>
        <a:prstGeom prst="line">
          <a:avLst/>
        </a:prstGeom>
        <a:noFill/>
        <a:ln w="9525">
          <a:solidFill>
            <a:srgbClr val="000000"/>
          </a:solidFill>
          <a:round/>
          <a:headEnd/>
          <a:tailEnd/>
        </a:ln>
      </xdr:spPr>
    </xdr:sp>
    <xdr:clientData/>
  </xdr:twoCellAnchor>
  <xdr:twoCellAnchor editAs="oneCell">
    <xdr:from>
      <xdr:col>13</xdr:col>
      <xdr:colOff>0</xdr:colOff>
      <xdr:row>28</xdr:row>
      <xdr:rowOff>0</xdr:rowOff>
    </xdr:from>
    <xdr:to>
      <xdr:col>13</xdr:col>
      <xdr:colOff>9525</xdr:colOff>
      <xdr:row>29</xdr:row>
      <xdr:rowOff>171450</xdr:rowOff>
    </xdr:to>
    <xdr:sp macro="" textlink="">
      <xdr:nvSpPr>
        <xdr:cNvPr id="5146" name="Line 1113"/>
        <xdr:cNvSpPr>
          <a:spLocks noChangeShapeType="1"/>
        </xdr:cNvSpPr>
      </xdr:nvSpPr>
      <xdr:spPr bwMode="auto">
        <a:xfrm rot="5400000" flipV="1">
          <a:off x="2075152" y="5510212"/>
          <a:ext cx="361950" cy="9525"/>
        </a:xfrm>
        <a:prstGeom prst="line">
          <a:avLst/>
        </a:prstGeom>
        <a:noFill/>
        <a:ln w="9525">
          <a:solidFill>
            <a:srgbClr val="000000"/>
          </a:solidFill>
          <a:round/>
          <a:headEnd/>
          <a:tailEnd/>
        </a:ln>
      </xdr:spPr>
    </xdr:sp>
    <xdr:clientData/>
  </xdr:twoCellAnchor>
  <xdr:twoCellAnchor editAs="oneCell">
    <xdr:from>
      <xdr:col>14</xdr:col>
      <xdr:colOff>95250</xdr:colOff>
      <xdr:row>27</xdr:row>
      <xdr:rowOff>133350</xdr:rowOff>
    </xdr:from>
    <xdr:to>
      <xdr:col>14</xdr:col>
      <xdr:colOff>95250</xdr:colOff>
      <xdr:row>30</xdr:row>
      <xdr:rowOff>76200</xdr:rowOff>
    </xdr:to>
    <xdr:sp macro="" textlink="">
      <xdr:nvSpPr>
        <xdr:cNvPr id="5147" name="Line 1113"/>
        <xdr:cNvSpPr>
          <a:spLocks noChangeShapeType="1"/>
        </xdr:cNvSpPr>
      </xdr:nvSpPr>
      <xdr:spPr bwMode="auto">
        <a:xfrm rot="5400000">
          <a:off x="2262620" y="5534025"/>
          <a:ext cx="514350" cy="0"/>
        </a:xfrm>
        <a:prstGeom prst="line">
          <a:avLst/>
        </a:prstGeom>
        <a:noFill/>
        <a:ln w="9525">
          <a:solidFill>
            <a:srgbClr val="000000"/>
          </a:solidFill>
          <a:round/>
          <a:headEnd/>
          <a:tailEnd/>
        </a:ln>
      </xdr:spPr>
    </xdr:sp>
    <xdr:clientData/>
  </xdr:twoCellAnchor>
  <xdr:twoCellAnchor editAs="oneCell">
    <xdr:from>
      <xdr:col>14</xdr:col>
      <xdr:colOff>1482</xdr:colOff>
      <xdr:row>27</xdr:row>
      <xdr:rowOff>133336</xdr:rowOff>
    </xdr:from>
    <xdr:to>
      <xdr:col>14</xdr:col>
      <xdr:colOff>94484</xdr:colOff>
      <xdr:row>27</xdr:row>
      <xdr:rowOff>133344</xdr:rowOff>
    </xdr:to>
    <xdr:cxnSp macro="">
      <xdr:nvCxnSpPr>
        <xdr:cNvPr id="2095" name="Straight Connector 2094"/>
        <xdr:cNvCxnSpPr>
          <a:stCxn id="5145" idx="0"/>
          <a:endCxn id="5147" idx="0"/>
        </xdr:cNvCxnSpPr>
      </xdr:nvCxnSpPr>
      <xdr:spPr>
        <a:xfrm flipV="1">
          <a:off x="2426027" y="5276836"/>
          <a:ext cx="93002" cy="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1444</xdr:colOff>
      <xdr:row>30</xdr:row>
      <xdr:rowOff>76186</xdr:rowOff>
    </xdr:from>
    <xdr:to>
      <xdr:col>14</xdr:col>
      <xdr:colOff>94446</xdr:colOff>
      <xdr:row>30</xdr:row>
      <xdr:rowOff>76194</xdr:rowOff>
    </xdr:to>
    <xdr:cxnSp macro="">
      <xdr:nvCxnSpPr>
        <xdr:cNvPr id="2096" name="Straight Connector 2095"/>
        <xdr:cNvCxnSpPr>
          <a:stCxn id="5145" idx="1"/>
          <a:endCxn id="5147" idx="1"/>
        </xdr:cNvCxnSpPr>
      </xdr:nvCxnSpPr>
      <xdr:spPr>
        <a:xfrm flipV="1">
          <a:off x="2425989" y="5791186"/>
          <a:ext cx="93002" cy="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6350</xdr:colOff>
      <xdr:row>27</xdr:row>
      <xdr:rowOff>190488</xdr:rowOff>
    </xdr:from>
    <xdr:to>
      <xdr:col>14</xdr:col>
      <xdr:colOff>1647</xdr:colOff>
      <xdr:row>27</xdr:row>
      <xdr:rowOff>190494</xdr:rowOff>
    </xdr:to>
    <xdr:cxnSp macro="">
      <xdr:nvCxnSpPr>
        <xdr:cNvPr id="2097" name="Straight Connector 2096"/>
        <xdr:cNvCxnSpPr/>
      </xdr:nvCxnSpPr>
      <xdr:spPr>
        <a:xfrm flipH="1">
          <a:off x="2257714" y="5333988"/>
          <a:ext cx="168478" cy="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6366</xdr:colOff>
      <xdr:row>29</xdr:row>
      <xdr:rowOff>171416</xdr:rowOff>
    </xdr:from>
    <xdr:to>
      <xdr:col>14</xdr:col>
      <xdr:colOff>1663</xdr:colOff>
      <xdr:row>29</xdr:row>
      <xdr:rowOff>171422</xdr:rowOff>
    </xdr:to>
    <xdr:cxnSp macro="">
      <xdr:nvCxnSpPr>
        <xdr:cNvPr id="2098" name="Straight Connector 2097"/>
        <xdr:cNvCxnSpPr/>
      </xdr:nvCxnSpPr>
      <xdr:spPr>
        <a:xfrm flipH="1">
          <a:off x="2257730" y="5695916"/>
          <a:ext cx="168478" cy="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85725</xdr:colOff>
      <xdr:row>27</xdr:row>
      <xdr:rowOff>133350</xdr:rowOff>
    </xdr:from>
    <xdr:to>
      <xdr:col>18</xdr:col>
      <xdr:colOff>85725</xdr:colOff>
      <xdr:row>30</xdr:row>
      <xdr:rowOff>76200</xdr:rowOff>
    </xdr:to>
    <xdr:sp macro="" textlink="">
      <xdr:nvSpPr>
        <xdr:cNvPr id="5152" name="Line 1113"/>
        <xdr:cNvSpPr>
          <a:spLocks noChangeShapeType="1"/>
        </xdr:cNvSpPr>
      </xdr:nvSpPr>
      <xdr:spPr bwMode="auto">
        <a:xfrm rot="5400000">
          <a:off x="2945823" y="5534025"/>
          <a:ext cx="514350" cy="0"/>
        </a:xfrm>
        <a:prstGeom prst="line">
          <a:avLst/>
        </a:prstGeom>
        <a:noFill/>
        <a:ln w="9525">
          <a:solidFill>
            <a:srgbClr val="000000"/>
          </a:solidFill>
          <a:round/>
          <a:headEnd/>
          <a:tailEnd/>
        </a:ln>
      </xdr:spPr>
    </xdr:sp>
    <xdr:clientData/>
  </xdr:twoCellAnchor>
  <xdr:twoCellAnchor editAs="oneCell">
    <xdr:from>
      <xdr:col>19</xdr:col>
      <xdr:colOff>0</xdr:colOff>
      <xdr:row>27</xdr:row>
      <xdr:rowOff>133350</xdr:rowOff>
    </xdr:from>
    <xdr:to>
      <xdr:col>19</xdr:col>
      <xdr:colOff>0</xdr:colOff>
      <xdr:row>30</xdr:row>
      <xdr:rowOff>76200</xdr:rowOff>
    </xdr:to>
    <xdr:sp macro="" textlink="">
      <xdr:nvSpPr>
        <xdr:cNvPr id="5153" name="Line 1113"/>
        <xdr:cNvSpPr>
          <a:spLocks noChangeShapeType="1"/>
        </xdr:cNvSpPr>
      </xdr:nvSpPr>
      <xdr:spPr bwMode="auto">
        <a:xfrm rot="5400000" flipV="1">
          <a:off x="3033280" y="5534025"/>
          <a:ext cx="514350" cy="0"/>
        </a:xfrm>
        <a:prstGeom prst="line">
          <a:avLst/>
        </a:prstGeom>
        <a:noFill/>
        <a:ln w="9525">
          <a:solidFill>
            <a:srgbClr val="000000"/>
          </a:solidFill>
          <a:round/>
          <a:headEnd/>
          <a:tailEnd/>
        </a:ln>
      </xdr:spPr>
    </xdr:sp>
    <xdr:clientData/>
  </xdr:twoCellAnchor>
  <xdr:twoCellAnchor editAs="oneCell">
    <xdr:from>
      <xdr:col>18</xdr:col>
      <xdr:colOff>82655</xdr:colOff>
      <xdr:row>27</xdr:row>
      <xdr:rowOff>133344</xdr:rowOff>
    </xdr:from>
    <xdr:to>
      <xdr:col>19</xdr:col>
      <xdr:colOff>7044</xdr:colOff>
      <xdr:row>27</xdr:row>
      <xdr:rowOff>133350</xdr:rowOff>
    </xdr:to>
    <xdr:cxnSp macro="">
      <xdr:nvCxnSpPr>
        <xdr:cNvPr id="2102" name="Straight Connector 2101"/>
        <xdr:cNvCxnSpPr>
          <a:stCxn id="5152" idx="0"/>
          <a:endCxn id="5153" idx="0"/>
        </xdr:cNvCxnSpPr>
      </xdr:nvCxnSpPr>
      <xdr:spPr>
        <a:xfrm>
          <a:off x="3199928" y="5276844"/>
          <a:ext cx="97571" cy="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82617</xdr:colOff>
      <xdr:row>30</xdr:row>
      <xdr:rowOff>76194</xdr:rowOff>
    </xdr:from>
    <xdr:to>
      <xdr:col>19</xdr:col>
      <xdr:colOff>9695</xdr:colOff>
      <xdr:row>30</xdr:row>
      <xdr:rowOff>76201</xdr:rowOff>
    </xdr:to>
    <xdr:cxnSp macro="">
      <xdr:nvCxnSpPr>
        <xdr:cNvPr id="2103" name="Straight Connector 2102"/>
        <xdr:cNvCxnSpPr>
          <a:stCxn id="5152" idx="1"/>
          <a:endCxn id="5153" idx="1"/>
        </xdr:cNvCxnSpPr>
      </xdr:nvCxnSpPr>
      <xdr:spPr>
        <a:xfrm>
          <a:off x="3199890" y="5791194"/>
          <a:ext cx="100260" cy="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7794</xdr:colOff>
      <xdr:row>28</xdr:row>
      <xdr:rowOff>0</xdr:rowOff>
    </xdr:from>
    <xdr:to>
      <xdr:col>20</xdr:col>
      <xdr:colOff>7794</xdr:colOff>
      <xdr:row>29</xdr:row>
      <xdr:rowOff>171450</xdr:rowOff>
    </xdr:to>
    <xdr:sp macro="" textlink="">
      <xdr:nvSpPr>
        <xdr:cNvPr id="5156" name="Line 1113"/>
        <xdr:cNvSpPr>
          <a:spLocks noChangeShapeType="1"/>
        </xdr:cNvSpPr>
      </xdr:nvSpPr>
      <xdr:spPr bwMode="auto">
        <a:xfrm rot="5400000" flipV="1">
          <a:off x="3290455" y="5514975"/>
          <a:ext cx="361950" cy="0"/>
        </a:xfrm>
        <a:prstGeom prst="line">
          <a:avLst/>
        </a:prstGeom>
        <a:noFill/>
        <a:ln w="9525">
          <a:solidFill>
            <a:srgbClr val="000000"/>
          </a:solidFill>
          <a:round/>
          <a:headEnd/>
          <a:tailEnd/>
        </a:ln>
      </xdr:spPr>
    </xdr:sp>
    <xdr:clientData/>
  </xdr:twoCellAnchor>
  <xdr:twoCellAnchor editAs="oneCell">
    <xdr:from>
      <xdr:col>20</xdr:col>
      <xdr:colOff>0</xdr:colOff>
      <xdr:row>28</xdr:row>
      <xdr:rowOff>161925</xdr:rowOff>
    </xdr:from>
    <xdr:to>
      <xdr:col>23</xdr:col>
      <xdr:colOff>47625</xdr:colOff>
      <xdr:row>28</xdr:row>
      <xdr:rowOff>161925</xdr:rowOff>
    </xdr:to>
    <xdr:sp macro="" textlink="">
      <xdr:nvSpPr>
        <xdr:cNvPr id="5157" name="Line 242"/>
        <xdr:cNvSpPr>
          <a:spLocks noChangeShapeType="1"/>
        </xdr:cNvSpPr>
      </xdr:nvSpPr>
      <xdr:spPr bwMode="auto">
        <a:xfrm flipV="1">
          <a:off x="3463636" y="5495925"/>
          <a:ext cx="567171" cy="0"/>
        </a:xfrm>
        <a:prstGeom prst="line">
          <a:avLst/>
        </a:prstGeom>
        <a:noFill/>
        <a:ln w="28575">
          <a:solidFill>
            <a:srgbClr val="000000"/>
          </a:solidFill>
          <a:round/>
          <a:headEnd/>
          <a:tailEnd type="triangle" w="med" len="med"/>
        </a:ln>
      </xdr:spPr>
    </xdr:sp>
    <xdr:clientData/>
  </xdr:twoCellAnchor>
  <xdr:twoCellAnchor editAs="oneCell">
    <xdr:from>
      <xdr:col>27</xdr:col>
      <xdr:colOff>9525</xdr:colOff>
      <xdr:row>19</xdr:row>
      <xdr:rowOff>0</xdr:rowOff>
    </xdr:from>
    <xdr:to>
      <xdr:col>29</xdr:col>
      <xdr:colOff>9525</xdr:colOff>
      <xdr:row>20</xdr:row>
      <xdr:rowOff>180975</xdr:rowOff>
    </xdr:to>
    <xdr:grpSp>
      <xdr:nvGrpSpPr>
        <xdr:cNvPr id="5158" name="Group 429"/>
        <xdr:cNvGrpSpPr>
          <a:grpSpLocks/>
        </xdr:cNvGrpSpPr>
      </xdr:nvGrpSpPr>
      <xdr:grpSpPr bwMode="auto">
        <a:xfrm>
          <a:off x="4685434" y="3948545"/>
          <a:ext cx="346364" cy="388794"/>
          <a:chOff x="380" y="600"/>
          <a:chExt cx="38" cy="40"/>
        </a:xfrm>
      </xdr:grpSpPr>
      <xdr:sp macro="" textlink="">
        <xdr:nvSpPr>
          <xdr:cNvPr id="5714"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715" name="Group 431"/>
          <xdr:cNvGrpSpPr>
            <a:grpSpLocks/>
          </xdr:cNvGrpSpPr>
        </xdr:nvGrpSpPr>
        <xdr:grpSpPr bwMode="auto">
          <a:xfrm>
            <a:off x="391" y="600"/>
            <a:ext cx="16" cy="40"/>
            <a:chOff x="797" y="600"/>
            <a:chExt cx="16" cy="40"/>
          </a:xfrm>
        </xdr:grpSpPr>
        <xdr:sp macro="" textlink="">
          <xdr:nvSpPr>
            <xdr:cNvPr id="5716"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717"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718"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719"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720"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23</xdr:col>
      <xdr:colOff>47625</xdr:colOff>
      <xdr:row>19</xdr:row>
      <xdr:rowOff>180975</xdr:rowOff>
    </xdr:from>
    <xdr:to>
      <xdr:col>23</xdr:col>
      <xdr:colOff>47625</xdr:colOff>
      <xdr:row>30</xdr:row>
      <xdr:rowOff>171450</xdr:rowOff>
    </xdr:to>
    <xdr:sp macro="" textlink="">
      <xdr:nvSpPr>
        <xdr:cNvPr id="5159" name="Line 242"/>
        <xdr:cNvSpPr>
          <a:spLocks noChangeShapeType="1"/>
        </xdr:cNvSpPr>
      </xdr:nvSpPr>
      <xdr:spPr bwMode="auto">
        <a:xfrm flipH="1" flipV="1">
          <a:off x="4030807" y="3800475"/>
          <a:ext cx="0" cy="2105025"/>
        </a:xfrm>
        <a:prstGeom prst="line">
          <a:avLst/>
        </a:prstGeom>
        <a:noFill/>
        <a:ln w="28575">
          <a:solidFill>
            <a:srgbClr val="000000"/>
          </a:solidFill>
          <a:round/>
          <a:headEnd/>
          <a:tailEnd type="triangle" w="med" len="med"/>
        </a:ln>
      </xdr:spPr>
    </xdr:sp>
    <xdr:clientData/>
  </xdr:twoCellAnchor>
  <xdr:twoCellAnchor editAs="oneCell">
    <xdr:from>
      <xdr:col>23</xdr:col>
      <xdr:colOff>47625</xdr:colOff>
      <xdr:row>20</xdr:row>
      <xdr:rowOff>0</xdr:rowOff>
    </xdr:from>
    <xdr:to>
      <xdr:col>27</xdr:col>
      <xdr:colOff>9525</xdr:colOff>
      <xdr:row>20</xdr:row>
      <xdr:rowOff>0</xdr:rowOff>
    </xdr:to>
    <xdr:sp macro="" textlink="">
      <xdr:nvSpPr>
        <xdr:cNvPr id="5160" name="Line 242"/>
        <xdr:cNvSpPr>
          <a:spLocks noChangeShapeType="1"/>
        </xdr:cNvSpPr>
      </xdr:nvSpPr>
      <xdr:spPr bwMode="auto">
        <a:xfrm flipV="1">
          <a:off x="4030807" y="3810000"/>
          <a:ext cx="654627" cy="0"/>
        </a:xfrm>
        <a:prstGeom prst="line">
          <a:avLst/>
        </a:prstGeom>
        <a:noFill/>
        <a:ln w="28575">
          <a:solidFill>
            <a:srgbClr val="000000"/>
          </a:solidFill>
          <a:round/>
          <a:headEnd/>
          <a:tailEnd type="triangle" w="med" len="med"/>
        </a:ln>
      </xdr:spPr>
    </xdr:sp>
    <xdr:clientData/>
  </xdr:twoCellAnchor>
  <xdr:twoCellAnchor editAs="oneCell">
    <xdr:from>
      <xdr:col>28</xdr:col>
      <xdr:colOff>0</xdr:colOff>
      <xdr:row>15</xdr:row>
      <xdr:rowOff>0</xdr:rowOff>
    </xdr:from>
    <xdr:to>
      <xdr:col>28</xdr:col>
      <xdr:colOff>0</xdr:colOff>
      <xdr:row>18</xdr:row>
      <xdr:rowOff>161925</xdr:rowOff>
    </xdr:to>
    <xdr:sp macro="" textlink="">
      <xdr:nvSpPr>
        <xdr:cNvPr id="5161" name="Line 1113"/>
        <xdr:cNvSpPr>
          <a:spLocks noChangeShapeType="1"/>
        </xdr:cNvSpPr>
      </xdr:nvSpPr>
      <xdr:spPr bwMode="auto">
        <a:xfrm rot="5400000" flipV="1">
          <a:off x="4468091" y="3238500"/>
          <a:ext cx="762000" cy="0"/>
        </a:xfrm>
        <a:prstGeom prst="line">
          <a:avLst/>
        </a:prstGeom>
        <a:noFill/>
        <a:ln w="25400">
          <a:solidFill>
            <a:srgbClr val="000000"/>
          </a:solidFill>
          <a:round/>
          <a:headEnd/>
          <a:tailEnd/>
        </a:ln>
      </xdr:spPr>
    </xdr:sp>
    <xdr:clientData/>
  </xdr:twoCellAnchor>
  <xdr:twoCellAnchor editAs="oneCell">
    <xdr:from>
      <xdr:col>25</xdr:col>
      <xdr:colOff>6350</xdr:colOff>
      <xdr:row>15</xdr:row>
      <xdr:rowOff>0</xdr:rowOff>
    </xdr:from>
    <xdr:to>
      <xdr:col>28</xdr:col>
      <xdr:colOff>6390</xdr:colOff>
      <xdr:row>15</xdr:row>
      <xdr:rowOff>0</xdr:rowOff>
    </xdr:to>
    <xdr:cxnSp macro="">
      <xdr:nvCxnSpPr>
        <xdr:cNvPr id="2144" name="Straight Connector 2143"/>
        <xdr:cNvCxnSpPr/>
      </xdr:nvCxnSpPr>
      <xdr:spPr>
        <a:xfrm flipH="1">
          <a:off x="4335895" y="2857500"/>
          <a:ext cx="519586" cy="0"/>
        </a:xfrm>
        <a:prstGeom prst="line">
          <a:avLst/>
        </a:prstGeom>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0</xdr:colOff>
      <xdr:row>15</xdr:row>
      <xdr:rowOff>0</xdr:rowOff>
    </xdr:from>
    <xdr:to>
      <xdr:col>25</xdr:col>
      <xdr:colOff>0</xdr:colOff>
      <xdr:row>19</xdr:row>
      <xdr:rowOff>47625</xdr:rowOff>
    </xdr:to>
    <xdr:sp macro="" textlink="">
      <xdr:nvSpPr>
        <xdr:cNvPr id="5163" name="Line 1113"/>
        <xdr:cNvSpPr>
          <a:spLocks noChangeShapeType="1"/>
        </xdr:cNvSpPr>
      </xdr:nvSpPr>
      <xdr:spPr bwMode="auto">
        <a:xfrm rot="5400000">
          <a:off x="3905682" y="3281363"/>
          <a:ext cx="847725" cy="0"/>
        </a:xfrm>
        <a:prstGeom prst="line">
          <a:avLst/>
        </a:prstGeom>
        <a:noFill/>
        <a:ln w="25400">
          <a:solidFill>
            <a:srgbClr val="000000"/>
          </a:solidFill>
          <a:round/>
          <a:headEnd/>
          <a:tailEnd/>
        </a:ln>
      </xdr:spPr>
    </xdr:sp>
    <xdr:clientData/>
  </xdr:twoCellAnchor>
  <xdr:twoCellAnchor editAs="oneCell">
    <xdr:from>
      <xdr:col>25</xdr:col>
      <xdr:colOff>3897</xdr:colOff>
      <xdr:row>20</xdr:row>
      <xdr:rowOff>99147</xdr:rowOff>
    </xdr:from>
    <xdr:to>
      <xdr:col>25</xdr:col>
      <xdr:colOff>3897</xdr:colOff>
      <xdr:row>26</xdr:row>
      <xdr:rowOff>184872</xdr:rowOff>
    </xdr:to>
    <xdr:sp macro="" textlink="">
      <xdr:nvSpPr>
        <xdr:cNvPr id="5164" name="Line 1113"/>
        <xdr:cNvSpPr>
          <a:spLocks noChangeShapeType="1"/>
        </xdr:cNvSpPr>
      </xdr:nvSpPr>
      <xdr:spPr bwMode="auto">
        <a:xfrm rot="5400000" flipV="1">
          <a:off x="3714317" y="4528272"/>
          <a:ext cx="1238250" cy="0"/>
        </a:xfrm>
        <a:prstGeom prst="line">
          <a:avLst/>
        </a:prstGeom>
        <a:noFill/>
        <a:ln w="25400">
          <a:solidFill>
            <a:srgbClr val="000000"/>
          </a:solidFill>
          <a:round/>
          <a:headEnd/>
          <a:tailEnd/>
        </a:ln>
      </xdr:spPr>
    </xdr:sp>
    <xdr:clientData/>
  </xdr:twoCellAnchor>
  <xdr:twoCellAnchor editAs="oneCell">
    <xdr:from>
      <xdr:col>29</xdr:col>
      <xdr:colOff>9525</xdr:colOff>
      <xdr:row>20</xdr:row>
      <xdr:rowOff>0</xdr:rowOff>
    </xdr:from>
    <xdr:to>
      <xdr:col>33</xdr:col>
      <xdr:colOff>7793</xdr:colOff>
      <xdr:row>20</xdr:row>
      <xdr:rowOff>0</xdr:rowOff>
    </xdr:to>
    <xdr:sp macro="" textlink="">
      <xdr:nvSpPr>
        <xdr:cNvPr id="5165" name="Line 242"/>
        <xdr:cNvSpPr>
          <a:spLocks noChangeShapeType="1"/>
        </xdr:cNvSpPr>
      </xdr:nvSpPr>
      <xdr:spPr bwMode="auto">
        <a:xfrm>
          <a:off x="5031798" y="3810000"/>
          <a:ext cx="690995" cy="0"/>
        </a:xfrm>
        <a:prstGeom prst="line">
          <a:avLst/>
        </a:prstGeom>
        <a:noFill/>
        <a:ln w="28575">
          <a:solidFill>
            <a:srgbClr val="000000"/>
          </a:solidFill>
          <a:round/>
          <a:headEnd/>
          <a:tailEnd type="triangle" w="med" len="med"/>
        </a:ln>
      </xdr:spPr>
    </xdr:sp>
    <xdr:clientData/>
  </xdr:twoCellAnchor>
  <xdr:twoCellAnchor editAs="oneCell">
    <xdr:from>
      <xdr:col>28</xdr:col>
      <xdr:colOff>0</xdr:colOff>
      <xdr:row>21</xdr:row>
      <xdr:rowOff>0</xdr:rowOff>
    </xdr:from>
    <xdr:to>
      <xdr:col>28</xdr:col>
      <xdr:colOff>9525</xdr:colOff>
      <xdr:row>23</xdr:row>
      <xdr:rowOff>0</xdr:rowOff>
    </xdr:to>
    <xdr:sp macro="" textlink="">
      <xdr:nvSpPr>
        <xdr:cNvPr id="5166" name="Line 1113"/>
        <xdr:cNvSpPr>
          <a:spLocks noChangeShapeType="1"/>
        </xdr:cNvSpPr>
      </xdr:nvSpPr>
      <xdr:spPr bwMode="auto">
        <a:xfrm rot="5400000" flipV="1">
          <a:off x="4663354" y="4186237"/>
          <a:ext cx="381000" cy="9525"/>
        </a:xfrm>
        <a:prstGeom prst="line">
          <a:avLst/>
        </a:prstGeom>
        <a:noFill/>
        <a:ln w="25400">
          <a:solidFill>
            <a:srgbClr val="000000"/>
          </a:solidFill>
          <a:round/>
          <a:headEnd/>
          <a:tailEnd/>
        </a:ln>
      </xdr:spPr>
    </xdr:sp>
    <xdr:clientData/>
  </xdr:twoCellAnchor>
  <xdr:twoCellAnchor editAs="oneCell">
    <xdr:from>
      <xdr:col>28</xdr:col>
      <xdr:colOff>9525</xdr:colOff>
      <xdr:row>23</xdr:row>
      <xdr:rowOff>9525</xdr:rowOff>
    </xdr:from>
    <xdr:to>
      <xdr:col>31</xdr:col>
      <xdr:colOff>95250</xdr:colOff>
      <xdr:row>23</xdr:row>
      <xdr:rowOff>9525</xdr:rowOff>
    </xdr:to>
    <xdr:sp macro="" textlink="">
      <xdr:nvSpPr>
        <xdr:cNvPr id="5167" name="Line 242"/>
        <xdr:cNvSpPr>
          <a:spLocks noChangeShapeType="1"/>
        </xdr:cNvSpPr>
      </xdr:nvSpPr>
      <xdr:spPr bwMode="auto">
        <a:xfrm flipV="1">
          <a:off x="4858616" y="4391025"/>
          <a:ext cx="605270" cy="0"/>
        </a:xfrm>
        <a:prstGeom prst="line">
          <a:avLst/>
        </a:prstGeom>
        <a:noFill/>
        <a:ln w="28575">
          <a:solidFill>
            <a:srgbClr val="000000"/>
          </a:solidFill>
          <a:round/>
          <a:headEnd/>
          <a:tailEnd/>
        </a:ln>
      </xdr:spPr>
    </xdr:sp>
    <xdr:clientData/>
  </xdr:twoCellAnchor>
  <xdr:twoCellAnchor editAs="oneCell">
    <xdr:from>
      <xdr:col>31</xdr:col>
      <xdr:colOff>95250</xdr:colOff>
      <xdr:row>22</xdr:row>
      <xdr:rowOff>0</xdr:rowOff>
    </xdr:from>
    <xdr:to>
      <xdr:col>33</xdr:col>
      <xdr:colOff>95250</xdr:colOff>
      <xdr:row>24</xdr:row>
      <xdr:rowOff>0</xdr:rowOff>
    </xdr:to>
    <xdr:grpSp>
      <xdr:nvGrpSpPr>
        <xdr:cNvPr id="5168" name="Group 429"/>
        <xdr:cNvGrpSpPr>
          <a:grpSpLocks/>
        </xdr:cNvGrpSpPr>
      </xdr:nvGrpSpPr>
      <xdr:grpSpPr bwMode="auto">
        <a:xfrm>
          <a:off x="5463886" y="4554682"/>
          <a:ext cx="346364" cy="381000"/>
          <a:chOff x="380" y="600"/>
          <a:chExt cx="38" cy="40"/>
        </a:xfrm>
      </xdr:grpSpPr>
      <xdr:sp macro="" textlink="">
        <xdr:nvSpPr>
          <xdr:cNvPr id="5707"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708" name="Group 431"/>
          <xdr:cNvGrpSpPr>
            <a:grpSpLocks/>
          </xdr:cNvGrpSpPr>
        </xdr:nvGrpSpPr>
        <xdr:grpSpPr bwMode="auto">
          <a:xfrm>
            <a:off x="391" y="600"/>
            <a:ext cx="16" cy="40"/>
            <a:chOff x="797" y="600"/>
            <a:chExt cx="16" cy="40"/>
          </a:xfrm>
        </xdr:grpSpPr>
        <xdr:sp macro="" textlink="">
          <xdr:nvSpPr>
            <xdr:cNvPr id="5709"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710"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711"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712"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713"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33</xdr:col>
      <xdr:colOff>95250</xdr:colOff>
      <xdr:row>23</xdr:row>
      <xdr:rowOff>9525</xdr:rowOff>
    </xdr:from>
    <xdr:to>
      <xdr:col>36</xdr:col>
      <xdr:colOff>9525</xdr:colOff>
      <xdr:row>23</xdr:row>
      <xdr:rowOff>9525</xdr:rowOff>
    </xdr:to>
    <xdr:sp macro="" textlink="">
      <xdr:nvSpPr>
        <xdr:cNvPr id="5169" name="Line 242"/>
        <xdr:cNvSpPr>
          <a:spLocks noChangeShapeType="1"/>
        </xdr:cNvSpPr>
      </xdr:nvSpPr>
      <xdr:spPr bwMode="auto">
        <a:xfrm flipV="1">
          <a:off x="5810250" y="4391025"/>
          <a:ext cx="433820" cy="0"/>
        </a:xfrm>
        <a:prstGeom prst="line">
          <a:avLst/>
        </a:prstGeom>
        <a:noFill/>
        <a:ln w="28575">
          <a:solidFill>
            <a:srgbClr val="000000"/>
          </a:solidFill>
          <a:round/>
          <a:headEnd type="triangle" w="med" len="med"/>
          <a:tailEnd/>
        </a:ln>
      </xdr:spPr>
    </xdr:sp>
    <xdr:clientData/>
  </xdr:twoCellAnchor>
  <xdr:twoCellAnchor editAs="oneCell">
    <xdr:from>
      <xdr:col>33</xdr:col>
      <xdr:colOff>0</xdr:colOff>
      <xdr:row>12</xdr:row>
      <xdr:rowOff>0</xdr:rowOff>
    </xdr:from>
    <xdr:to>
      <xdr:col>33</xdr:col>
      <xdr:colOff>9525</xdr:colOff>
      <xdr:row>19</xdr:row>
      <xdr:rowOff>123825</xdr:rowOff>
    </xdr:to>
    <xdr:sp macro="" textlink="">
      <xdr:nvSpPr>
        <xdr:cNvPr id="5170" name="Line 1113"/>
        <xdr:cNvSpPr>
          <a:spLocks noChangeShapeType="1"/>
        </xdr:cNvSpPr>
      </xdr:nvSpPr>
      <xdr:spPr bwMode="auto">
        <a:xfrm rot="5400000">
          <a:off x="4957763" y="3043237"/>
          <a:ext cx="1524000" cy="9525"/>
        </a:xfrm>
        <a:prstGeom prst="line">
          <a:avLst/>
        </a:prstGeom>
        <a:noFill/>
        <a:ln w="25400">
          <a:solidFill>
            <a:srgbClr val="000000"/>
          </a:solidFill>
          <a:round/>
          <a:headEnd/>
          <a:tailEnd/>
        </a:ln>
      </xdr:spPr>
    </xdr:sp>
    <xdr:clientData/>
  </xdr:twoCellAnchor>
  <xdr:twoCellAnchor editAs="oneCell">
    <xdr:from>
      <xdr:col>35</xdr:col>
      <xdr:colOff>0</xdr:colOff>
      <xdr:row>13</xdr:row>
      <xdr:rowOff>133350</xdr:rowOff>
    </xdr:from>
    <xdr:to>
      <xdr:col>41</xdr:col>
      <xdr:colOff>19050</xdr:colOff>
      <xdr:row>20</xdr:row>
      <xdr:rowOff>0</xdr:rowOff>
    </xdr:to>
    <xdr:grpSp>
      <xdr:nvGrpSpPr>
        <xdr:cNvPr id="5171" name="Group 1523"/>
        <xdr:cNvGrpSpPr>
          <a:grpSpLocks/>
        </xdr:cNvGrpSpPr>
      </xdr:nvGrpSpPr>
      <xdr:grpSpPr bwMode="auto">
        <a:xfrm rot="5400000">
          <a:off x="5929746" y="2966604"/>
          <a:ext cx="1321378" cy="1058141"/>
          <a:chOff x="1860" y="465"/>
          <a:chExt cx="140" cy="115"/>
        </a:xfrm>
      </xdr:grpSpPr>
      <xdr:grpSp>
        <xdr:nvGrpSpPr>
          <xdr:cNvPr id="5695" name="Group 1506"/>
          <xdr:cNvGrpSpPr>
            <a:grpSpLocks/>
          </xdr:cNvGrpSpPr>
        </xdr:nvGrpSpPr>
        <xdr:grpSpPr bwMode="auto">
          <a:xfrm>
            <a:off x="1860" y="540"/>
            <a:ext cx="140" cy="40"/>
            <a:chOff x="700" y="600"/>
            <a:chExt cx="140" cy="40"/>
          </a:xfrm>
        </xdr:grpSpPr>
        <xdr:grpSp>
          <xdr:nvGrpSpPr>
            <xdr:cNvPr id="5697" name="Group 1507"/>
            <xdr:cNvGrpSpPr>
              <a:grpSpLocks/>
            </xdr:cNvGrpSpPr>
          </xdr:nvGrpSpPr>
          <xdr:grpSpPr bwMode="auto">
            <a:xfrm flipH="1">
              <a:off x="700" y="600"/>
              <a:ext cx="14" cy="40"/>
              <a:chOff x="256" y="166"/>
              <a:chExt cx="24" cy="60"/>
            </a:xfrm>
          </xdr:grpSpPr>
          <xdr:sp macro="" textlink="">
            <xdr:nvSpPr>
              <xdr:cNvPr id="5704" name="Arc 1508"/>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05" name="Arc 1509"/>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06" name="Line 1510"/>
              <xdr:cNvSpPr>
                <a:spLocks noChangeShapeType="1"/>
              </xdr:cNvSpPr>
            </xdr:nvSpPr>
            <xdr:spPr bwMode="auto">
              <a:xfrm>
                <a:off x="256" y="166"/>
                <a:ext cx="0" cy="60"/>
              </a:xfrm>
              <a:prstGeom prst="line">
                <a:avLst/>
              </a:prstGeom>
              <a:noFill/>
              <a:ln w="9525">
                <a:solidFill>
                  <a:srgbClr val="000000"/>
                </a:solidFill>
                <a:round/>
                <a:headEnd/>
                <a:tailEnd/>
              </a:ln>
            </xdr:spPr>
          </xdr:sp>
        </xdr:grpSp>
        <xdr:grpSp>
          <xdr:nvGrpSpPr>
            <xdr:cNvPr id="5698" name="Group 1511"/>
            <xdr:cNvGrpSpPr>
              <a:grpSpLocks/>
            </xdr:cNvGrpSpPr>
          </xdr:nvGrpSpPr>
          <xdr:grpSpPr bwMode="auto">
            <a:xfrm>
              <a:off x="825" y="600"/>
              <a:ext cx="15" cy="40"/>
              <a:chOff x="256" y="166"/>
              <a:chExt cx="24" cy="60"/>
            </a:xfrm>
          </xdr:grpSpPr>
          <xdr:sp macro="" textlink="">
            <xdr:nvSpPr>
              <xdr:cNvPr id="5701" name="Arc 1512"/>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02" name="Arc 1513"/>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703" name="Line 1514"/>
              <xdr:cNvSpPr>
                <a:spLocks noChangeShapeType="1"/>
              </xdr:cNvSpPr>
            </xdr:nvSpPr>
            <xdr:spPr bwMode="auto">
              <a:xfrm>
                <a:off x="256" y="166"/>
                <a:ext cx="0" cy="60"/>
              </a:xfrm>
              <a:prstGeom prst="line">
                <a:avLst/>
              </a:prstGeom>
              <a:noFill/>
              <a:ln w="9525">
                <a:solidFill>
                  <a:srgbClr val="000000"/>
                </a:solidFill>
                <a:round/>
                <a:headEnd/>
                <a:tailEnd/>
              </a:ln>
            </xdr:spPr>
          </xdr:sp>
        </xdr:grpSp>
        <xdr:sp macro="" textlink="">
          <xdr:nvSpPr>
            <xdr:cNvPr id="5699" name="Line 1515"/>
            <xdr:cNvSpPr>
              <a:spLocks noChangeShapeType="1"/>
            </xdr:cNvSpPr>
          </xdr:nvSpPr>
          <xdr:spPr bwMode="auto">
            <a:xfrm>
              <a:off x="714" y="600"/>
              <a:ext cx="111" cy="0"/>
            </a:xfrm>
            <a:prstGeom prst="line">
              <a:avLst/>
            </a:prstGeom>
            <a:noFill/>
            <a:ln w="9525">
              <a:solidFill>
                <a:srgbClr val="000000"/>
              </a:solidFill>
              <a:round/>
              <a:headEnd/>
              <a:tailEnd/>
            </a:ln>
          </xdr:spPr>
        </xdr:sp>
        <xdr:sp macro="" textlink="">
          <xdr:nvSpPr>
            <xdr:cNvPr id="5700" name="Line 1516"/>
            <xdr:cNvSpPr>
              <a:spLocks noChangeShapeType="1"/>
            </xdr:cNvSpPr>
          </xdr:nvSpPr>
          <xdr:spPr bwMode="auto">
            <a:xfrm>
              <a:off x="714" y="640"/>
              <a:ext cx="111" cy="0"/>
            </a:xfrm>
            <a:prstGeom prst="line">
              <a:avLst/>
            </a:prstGeom>
            <a:noFill/>
            <a:ln w="9525">
              <a:solidFill>
                <a:srgbClr val="000000"/>
              </a:solidFill>
              <a:round/>
              <a:headEnd/>
              <a:tailEnd/>
            </a:ln>
          </xdr:spPr>
        </xdr:sp>
      </xdr:grpSp>
      <xdr:sp macro="" textlink="">
        <xdr:nvSpPr>
          <xdr:cNvPr id="1855" name="Text Box 1519"/>
          <xdr:cNvSpPr txBox="1">
            <a:spLocks noChangeArrowheads="1"/>
          </xdr:cNvSpPr>
        </xdr:nvSpPr>
        <xdr:spPr bwMode="auto">
          <a:xfrm>
            <a:off x="1880" y="469"/>
            <a:ext cx="100" cy="74"/>
          </a:xfrm>
          <a:prstGeom prst="rect">
            <a:avLst/>
          </a:prstGeom>
          <a:noFill/>
          <a:ln>
            <a:noFill/>
          </a:ln>
          <a:extLst/>
        </xdr:spPr>
        <xdr:txBody>
          <a:bodyPr vertOverflow="clip" wrap="square" lIns="27432" tIns="22860" rIns="27432" bIns="22860" anchor="ctr" upright="1"/>
          <a:lstStyle/>
          <a:p>
            <a:pPr algn="ctr" rtl="0">
              <a:defRPr sz="1000"/>
            </a:pPr>
            <a:r>
              <a:rPr lang="en-US" sz="1000" b="1" i="0" u="sng" strike="noStrike" baseline="0">
                <a:solidFill>
                  <a:srgbClr val="000000"/>
                </a:solidFill>
                <a:latin typeface="Arial Narrow"/>
              </a:rPr>
              <a:t>E-EO4110</a:t>
            </a:r>
          </a:p>
          <a:p>
            <a:pPr algn="ctr" rtl="0">
              <a:defRPr sz="1000"/>
            </a:pPr>
            <a:r>
              <a:rPr lang="en-US" sz="900" b="0" i="0" u="none" strike="noStrike" baseline="0">
                <a:solidFill>
                  <a:srgbClr val="000000"/>
                </a:solidFill>
                <a:latin typeface="+mn-lt"/>
              </a:rPr>
              <a:t>EO REACTOR</a:t>
            </a:r>
            <a:endParaRPr lang="en-US" sz="900" b="0" u="none">
              <a:latin typeface="+mn-lt"/>
            </a:endParaRPr>
          </a:p>
        </xdr:txBody>
      </xdr:sp>
    </xdr:grpSp>
    <xdr:clientData/>
  </xdr:twoCellAnchor>
  <xdr:twoCellAnchor editAs="oneCell">
    <xdr:from>
      <xdr:col>36</xdr:col>
      <xdr:colOff>1588</xdr:colOff>
      <xdr:row>12</xdr:row>
      <xdr:rowOff>4763</xdr:rowOff>
    </xdr:from>
    <xdr:to>
      <xdr:col>36</xdr:col>
      <xdr:colOff>1589</xdr:colOff>
      <xdr:row>13</xdr:row>
      <xdr:rowOff>114303</xdr:rowOff>
    </xdr:to>
    <xdr:cxnSp macro="">
      <xdr:nvCxnSpPr>
        <xdr:cNvPr id="3" name="Straight Connector 2"/>
        <xdr:cNvCxnSpPr/>
      </xdr:nvCxnSpPr>
      <xdr:spPr>
        <a:xfrm flipH="1" flipV="1">
          <a:off x="6236133" y="2290763"/>
          <a:ext cx="1" cy="309565"/>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1591</xdr:colOff>
      <xdr:row>12</xdr:row>
      <xdr:rowOff>0</xdr:rowOff>
    </xdr:from>
    <xdr:to>
      <xdr:col>36</xdr:col>
      <xdr:colOff>6350</xdr:colOff>
      <xdr:row>12</xdr:row>
      <xdr:rowOff>4</xdr:rowOff>
    </xdr:to>
    <xdr:cxnSp macro="">
      <xdr:nvCxnSpPr>
        <xdr:cNvPr id="10" name="Straight Connector 9"/>
        <xdr:cNvCxnSpPr>
          <a:stCxn id="5170" idx="0"/>
        </xdr:cNvCxnSpPr>
      </xdr:nvCxnSpPr>
      <xdr:spPr>
        <a:xfrm flipV="1">
          <a:off x="5716591" y="2286000"/>
          <a:ext cx="524304" cy="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36</xdr:col>
      <xdr:colOff>1588</xdr:colOff>
      <xdr:row>20</xdr:row>
      <xdr:rowOff>47625</xdr:rowOff>
    </xdr:from>
    <xdr:to>
      <xdr:col>36</xdr:col>
      <xdr:colOff>1588</xdr:colOff>
      <xdr:row>23</xdr:row>
      <xdr:rowOff>-1</xdr:rowOff>
    </xdr:to>
    <xdr:cxnSp macro="">
      <xdr:nvCxnSpPr>
        <xdr:cNvPr id="15" name="Straight Connector 14"/>
        <xdr:cNvCxnSpPr>
          <a:endCxn id="5169" idx="1"/>
        </xdr:cNvCxnSpPr>
      </xdr:nvCxnSpPr>
      <xdr:spPr>
        <a:xfrm>
          <a:off x="6236133" y="3857625"/>
          <a:ext cx="0" cy="533399"/>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92075</xdr:colOff>
      <xdr:row>24</xdr:row>
      <xdr:rowOff>0</xdr:rowOff>
    </xdr:from>
    <xdr:to>
      <xdr:col>32</xdr:col>
      <xdr:colOff>92075</xdr:colOff>
      <xdr:row>24</xdr:row>
      <xdr:rowOff>95250</xdr:rowOff>
    </xdr:to>
    <xdr:cxnSp macro="">
      <xdr:nvCxnSpPr>
        <xdr:cNvPr id="24" name="Straight Connector 23"/>
        <xdr:cNvCxnSpPr>
          <a:stCxn id="5707" idx="4"/>
        </xdr:cNvCxnSpPr>
      </xdr:nvCxnSpPr>
      <xdr:spPr>
        <a:xfrm>
          <a:off x="5633893" y="4572000"/>
          <a:ext cx="0" cy="9525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87313</xdr:colOff>
      <xdr:row>24</xdr:row>
      <xdr:rowOff>95240</xdr:rowOff>
    </xdr:from>
    <xdr:to>
      <xdr:col>34</xdr:col>
      <xdr:colOff>6644</xdr:colOff>
      <xdr:row>24</xdr:row>
      <xdr:rowOff>95250</xdr:rowOff>
    </xdr:to>
    <xdr:cxnSp macro="">
      <xdr:nvCxnSpPr>
        <xdr:cNvPr id="26" name="Straight Connector 25"/>
        <xdr:cNvCxnSpPr/>
      </xdr:nvCxnSpPr>
      <xdr:spPr>
        <a:xfrm>
          <a:off x="5629131" y="4667240"/>
          <a:ext cx="265695" cy="10"/>
        </a:xfrm>
        <a:prstGeom prst="line">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92075</xdr:colOff>
      <xdr:row>21</xdr:row>
      <xdr:rowOff>90488</xdr:rowOff>
    </xdr:from>
    <xdr:to>
      <xdr:col>32</xdr:col>
      <xdr:colOff>92075</xdr:colOff>
      <xdr:row>22</xdr:row>
      <xdr:rowOff>0</xdr:rowOff>
    </xdr:to>
    <xdr:cxnSp macro="">
      <xdr:nvCxnSpPr>
        <xdr:cNvPr id="28" name="Straight Connector 27"/>
        <xdr:cNvCxnSpPr>
          <a:stCxn id="5707" idx="0"/>
        </xdr:cNvCxnSpPr>
      </xdr:nvCxnSpPr>
      <xdr:spPr>
        <a:xfrm flipV="1">
          <a:off x="5633893" y="4090988"/>
          <a:ext cx="0" cy="100012"/>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92075</xdr:colOff>
      <xdr:row>21</xdr:row>
      <xdr:rowOff>95250</xdr:rowOff>
    </xdr:from>
    <xdr:to>
      <xdr:col>33</xdr:col>
      <xdr:colOff>106363</xdr:colOff>
      <xdr:row>21</xdr:row>
      <xdr:rowOff>95260</xdr:rowOff>
    </xdr:to>
    <xdr:cxnSp macro="">
      <xdr:nvCxnSpPr>
        <xdr:cNvPr id="30" name="Straight Connector 29"/>
        <xdr:cNvCxnSpPr/>
      </xdr:nvCxnSpPr>
      <xdr:spPr>
        <a:xfrm flipV="1">
          <a:off x="5633893" y="4095750"/>
          <a:ext cx="187470" cy="1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101599</xdr:colOff>
      <xdr:row>21</xdr:row>
      <xdr:rowOff>95250</xdr:rowOff>
    </xdr:from>
    <xdr:to>
      <xdr:col>33</xdr:col>
      <xdr:colOff>120649</xdr:colOff>
      <xdr:row>21</xdr:row>
      <xdr:rowOff>95250</xdr:rowOff>
    </xdr:to>
    <xdr:cxnSp macro="">
      <xdr:nvCxnSpPr>
        <xdr:cNvPr id="1891" name="Straight Connector 1890"/>
        <xdr:cNvCxnSpPr/>
      </xdr:nvCxnSpPr>
      <xdr:spPr>
        <a:xfrm flipH="1">
          <a:off x="5816599" y="4095750"/>
          <a:ext cx="19050" cy="0"/>
        </a:xfrm>
        <a:prstGeom prst="line">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42</xdr:col>
      <xdr:colOff>0</xdr:colOff>
      <xdr:row>26</xdr:row>
      <xdr:rowOff>9525</xdr:rowOff>
    </xdr:from>
    <xdr:to>
      <xdr:col>44</xdr:col>
      <xdr:colOff>19050</xdr:colOff>
      <xdr:row>27</xdr:row>
      <xdr:rowOff>180975</xdr:rowOff>
    </xdr:to>
    <xdr:grpSp>
      <xdr:nvGrpSpPr>
        <xdr:cNvPr id="5180" name="Group 429"/>
        <xdr:cNvGrpSpPr>
          <a:grpSpLocks/>
        </xdr:cNvGrpSpPr>
      </xdr:nvGrpSpPr>
      <xdr:grpSpPr bwMode="auto">
        <a:xfrm rot="5400000">
          <a:off x="7275368" y="5324475"/>
          <a:ext cx="361950" cy="365414"/>
          <a:chOff x="380" y="600"/>
          <a:chExt cx="38" cy="40"/>
        </a:xfrm>
      </xdr:grpSpPr>
      <xdr:sp macro="" textlink="">
        <xdr:nvSpPr>
          <xdr:cNvPr id="5688"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689" name="Group 431"/>
          <xdr:cNvGrpSpPr>
            <a:grpSpLocks/>
          </xdr:cNvGrpSpPr>
        </xdr:nvGrpSpPr>
        <xdr:grpSpPr bwMode="auto">
          <a:xfrm>
            <a:off x="391" y="600"/>
            <a:ext cx="16" cy="40"/>
            <a:chOff x="797" y="600"/>
            <a:chExt cx="16" cy="40"/>
          </a:xfrm>
        </xdr:grpSpPr>
        <xdr:sp macro="" textlink="">
          <xdr:nvSpPr>
            <xdr:cNvPr id="5690"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691"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692"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693"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694"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44</xdr:col>
      <xdr:colOff>19050</xdr:colOff>
      <xdr:row>27</xdr:row>
      <xdr:rowOff>0</xdr:rowOff>
    </xdr:from>
    <xdr:to>
      <xdr:col>46</xdr:col>
      <xdr:colOff>0</xdr:colOff>
      <xdr:row>27</xdr:row>
      <xdr:rowOff>0</xdr:rowOff>
    </xdr:to>
    <xdr:sp macro="" textlink="">
      <xdr:nvSpPr>
        <xdr:cNvPr id="5181" name="Line 3889"/>
        <xdr:cNvSpPr>
          <a:spLocks noChangeShapeType="1"/>
        </xdr:cNvSpPr>
      </xdr:nvSpPr>
      <xdr:spPr bwMode="auto">
        <a:xfrm flipH="1">
          <a:off x="7639050" y="5143500"/>
          <a:ext cx="327314" cy="0"/>
        </a:xfrm>
        <a:prstGeom prst="line">
          <a:avLst/>
        </a:prstGeom>
        <a:noFill/>
        <a:ln w="25400">
          <a:solidFill>
            <a:srgbClr val="000000"/>
          </a:solidFill>
          <a:round/>
          <a:headEnd/>
          <a:tailEnd/>
        </a:ln>
      </xdr:spPr>
    </xdr:sp>
    <xdr:clientData/>
  </xdr:twoCellAnchor>
  <xdr:twoCellAnchor editAs="oneCell">
    <xdr:from>
      <xdr:col>43</xdr:col>
      <xdr:colOff>7793</xdr:colOff>
      <xdr:row>25</xdr:row>
      <xdr:rowOff>0</xdr:rowOff>
    </xdr:from>
    <xdr:to>
      <xdr:col>43</xdr:col>
      <xdr:colOff>7793</xdr:colOff>
      <xdr:row>26</xdr:row>
      <xdr:rowOff>0</xdr:rowOff>
    </xdr:to>
    <xdr:sp macro="" textlink="">
      <xdr:nvSpPr>
        <xdr:cNvPr id="5182" name="Line 1113"/>
        <xdr:cNvSpPr>
          <a:spLocks noChangeShapeType="1"/>
        </xdr:cNvSpPr>
      </xdr:nvSpPr>
      <xdr:spPr bwMode="auto">
        <a:xfrm rot="5400000">
          <a:off x="7359361" y="4857750"/>
          <a:ext cx="190500" cy="0"/>
        </a:xfrm>
        <a:prstGeom prst="line">
          <a:avLst/>
        </a:prstGeom>
        <a:noFill/>
        <a:ln w="25400">
          <a:solidFill>
            <a:srgbClr val="000000"/>
          </a:solidFill>
          <a:round/>
          <a:headEnd/>
          <a:tailEnd/>
        </a:ln>
      </xdr:spPr>
    </xdr:sp>
    <xdr:clientData/>
  </xdr:twoCellAnchor>
  <xdr:twoCellAnchor editAs="oneCell">
    <xdr:from>
      <xdr:col>42</xdr:col>
      <xdr:colOff>171450</xdr:colOff>
      <xdr:row>25</xdr:row>
      <xdr:rowOff>0</xdr:rowOff>
    </xdr:from>
    <xdr:to>
      <xdr:col>46</xdr:col>
      <xdr:colOff>0</xdr:colOff>
      <xdr:row>25</xdr:row>
      <xdr:rowOff>0</xdr:rowOff>
    </xdr:to>
    <xdr:sp macro="" textlink="">
      <xdr:nvSpPr>
        <xdr:cNvPr id="5183" name="Line 242"/>
        <xdr:cNvSpPr>
          <a:spLocks noChangeShapeType="1"/>
        </xdr:cNvSpPr>
      </xdr:nvSpPr>
      <xdr:spPr bwMode="auto">
        <a:xfrm>
          <a:off x="7445086" y="4762500"/>
          <a:ext cx="521278" cy="0"/>
        </a:xfrm>
        <a:prstGeom prst="line">
          <a:avLst/>
        </a:prstGeom>
        <a:noFill/>
        <a:ln w="28575">
          <a:solidFill>
            <a:srgbClr val="000000"/>
          </a:solidFill>
          <a:round/>
          <a:headEnd type="triangle" w="med" len="med"/>
          <a:tailEnd/>
        </a:ln>
      </xdr:spPr>
    </xdr:sp>
    <xdr:clientData/>
  </xdr:twoCellAnchor>
  <xdr:twoCellAnchor editAs="oneCell">
    <xdr:from>
      <xdr:col>46</xdr:col>
      <xdr:colOff>0</xdr:colOff>
      <xdr:row>20</xdr:row>
      <xdr:rowOff>0</xdr:rowOff>
    </xdr:from>
    <xdr:to>
      <xdr:col>48</xdr:col>
      <xdr:colOff>114300</xdr:colOff>
      <xdr:row>35</xdr:row>
      <xdr:rowOff>180975</xdr:rowOff>
    </xdr:to>
    <xdr:grpSp>
      <xdr:nvGrpSpPr>
        <xdr:cNvPr id="5184" name="Group 2056"/>
        <xdr:cNvGrpSpPr>
          <a:grpSpLocks/>
        </xdr:cNvGrpSpPr>
      </xdr:nvGrpSpPr>
      <xdr:grpSpPr bwMode="auto">
        <a:xfrm>
          <a:off x="7966364" y="4156364"/>
          <a:ext cx="460663" cy="3055793"/>
          <a:chOff x="713" y="740"/>
          <a:chExt cx="53" cy="320"/>
        </a:xfrm>
      </xdr:grpSpPr>
      <xdr:grpSp>
        <xdr:nvGrpSpPr>
          <xdr:cNvPr id="5678" name="Group 650"/>
          <xdr:cNvGrpSpPr>
            <a:grpSpLocks/>
          </xdr:cNvGrpSpPr>
        </xdr:nvGrpSpPr>
        <xdr:grpSpPr bwMode="auto">
          <a:xfrm>
            <a:off x="713" y="740"/>
            <a:ext cx="53" cy="13"/>
            <a:chOff x="196" y="126"/>
            <a:chExt cx="72" cy="20"/>
          </a:xfrm>
        </xdr:grpSpPr>
        <xdr:sp macro="" textlink="">
          <xdr:nvSpPr>
            <xdr:cNvPr id="5685" name="Arc 651"/>
            <xdr:cNvSpPr>
              <a:spLocks/>
            </xdr:cNvSpPr>
          </xdr:nvSpPr>
          <xdr:spPr bwMode="auto">
            <a:xfrm flipH="1">
              <a:off x="196"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86" name="Arc 652"/>
            <xdr:cNvSpPr>
              <a:spLocks/>
            </xdr:cNvSpPr>
          </xdr:nvSpPr>
          <xdr:spPr bwMode="auto">
            <a:xfrm>
              <a:off x="232"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87" name="Line 653"/>
            <xdr:cNvSpPr>
              <a:spLocks noChangeShapeType="1"/>
            </xdr:cNvSpPr>
          </xdr:nvSpPr>
          <xdr:spPr bwMode="auto">
            <a:xfrm>
              <a:off x="196" y="146"/>
              <a:ext cx="72" cy="0"/>
            </a:xfrm>
            <a:prstGeom prst="line">
              <a:avLst/>
            </a:prstGeom>
            <a:noFill/>
            <a:ln w="9525">
              <a:solidFill>
                <a:srgbClr val="000000"/>
              </a:solidFill>
              <a:round/>
              <a:headEnd/>
              <a:tailEnd/>
            </a:ln>
          </xdr:spPr>
        </xdr:sp>
      </xdr:grpSp>
      <xdr:sp macro="" textlink="">
        <xdr:nvSpPr>
          <xdr:cNvPr id="5679" name="Line 654"/>
          <xdr:cNvSpPr>
            <a:spLocks noChangeShapeType="1"/>
          </xdr:cNvSpPr>
        </xdr:nvSpPr>
        <xdr:spPr bwMode="auto">
          <a:xfrm>
            <a:off x="713" y="753"/>
            <a:ext cx="0" cy="294"/>
          </a:xfrm>
          <a:prstGeom prst="line">
            <a:avLst/>
          </a:prstGeom>
          <a:noFill/>
          <a:ln w="9525">
            <a:solidFill>
              <a:srgbClr val="000000"/>
            </a:solidFill>
            <a:round/>
            <a:headEnd/>
            <a:tailEnd/>
          </a:ln>
        </xdr:spPr>
      </xdr:sp>
      <xdr:sp macro="" textlink="">
        <xdr:nvSpPr>
          <xdr:cNvPr id="5680" name="Line 655"/>
          <xdr:cNvSpPr>
            <a:spLocks noChangeShapeType="1"/>
          </xdr:cNvSpPr>
        </xdr:nvSpPr>
        <xdr:spPr bwMode="auto">
          <a:xfrm>
            <a:off x="766" y="753"/>
            <a:ext cx="0" cy="294"/>
          </a:xfrm>
          <a:prstGeom prst="line">
            <a:avLst/>
          </a:prstGeom>
          <a:noFill/>
          <a:ln w="9525">
            <a:solidFill>
              <a:srgbClr val="000000"/>
            </a:solidFill>
            <a:round/>
            <a:headEnd/>
            <a:tailEnd/>
          </a:ln>
        </xdr:spPr>
      </xdr:sp>
      <xdr:grpSp>
        <xdr:nvGrpSpPr>
          <xdr:cNvPr id="5681" name="Group 656"/>
          <xdr:cNvGrpSpPr>
            <a:grpSpLocks/>
          </xdr:cNvGrpSpPr>
        </xdr:nvGrpSpPr>
        <xdr:grpSpPr bwMode="auto">
          <a:xfrm flipV="1">
            <a:off x="713" y="1047"/>
            <a:ext cx="53" cy="13"/>
            <a:chOff x="196" y="126"/>
            <a:chExt cx="72" cy="20"/>
          </a:xfrm>
        </xdr:grpSpPr>
        <xdr:sp macro="" textlink="">
          <xdr:nvSpPr>
            <xdr:cNvPr id="5682" name="Arc 657"/>
            <xdr:cNvSpPr>
              <a:spLocks/>
            </xdr:cNvSpPr>
          </xdr:nvSpPr>
          <xdr:spPr bwMode="auto">
            <a:xfrm flipH="1">
              <a:off x="196"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83" name="Arc 658"/>
            <xdr:cNvSpPr>
              <a:spLocks/>
            </xdr:cNvSpPr>
          </xdr:nvSpPr>
          <xdr:spPr bwMode="auto">
            <a:xfrm>
              <a:off x="232"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84" name="Line 659"/>
            <xdr:cNvSpPr>
              <a:spLocks noChangeShapeType="1"/>
            </xdr:cNvSpPr>
          </xdr:nvSpPr>
          <xdr:spPr bwMode="auto">
            <a:xfrm>
              <a:off x="196" y="146"/>
              <a:ext cx="72" cy="0"/>
            </a:xfrm>
            <a:prstGeom prst="line">
              <a:avLst/>
            </a:prstGeom>
            <a:noFill/>
            <a:ln w="9525">
              <a:solidFill>
                <a:srgbClr val="000000"/>
              </a:solidFill>
              <a:round/>
              <a:headEnd/>
              <a:tailEnd/>
            </a:ln>
          </xdr:spPr>
        </xdr:sp>
      </xdr:grpSp>
    </xdr:grpSp>
    <xdr:clientData/>
  </xdr:twoCellAnchor>
  <xdr:twoCellAnchor editAs="oneCell">
    <xdr:from>
      <xdr:col>48</xdr:col>
      <xdr:colOff>123825</xdr:colOff>
      <xdr:row>23</xdr:row>
      <xdr:rowOff>114300</xdr:rowOff>
    </xdr:from>
    <xdr:to>
      <xdr:col>78</xdr:col>
      <xdr:colOff>66675</xdr:colOff>
      <xdr:row>23</xdr:row>
      <xdr:rowOff>123825</xdr:rowOff>
    </xdr:to>
    <xdr:sp macro="" textlink="">
      <xdr:nvSpPr>
        <xdr:cNvPr id="5185" name="Line 753"/>
        <xdr:cNvSpPr>
          <a:spLocks noChangeShapeType="1"/>
        </xdr:cNvSpPr>
      </xdr:nvSpPr>
      <xdr:spPr bwMode="auto">
        <a:xfrm flipH="1">
          <a:off x="8436552" y="4495800"/>
          <a:ext cx="5138305" cy="9525"/>
        </a:xfrm>
        <a:prstGeom prst="line">
          <a:avLst/>
        </a:prstGeom>
        <a:noFill/>
        <a:ln w="9525">
          <a:solidFill>
            <a:srgbClr val="000000"/>
          </a:solidFill>
          <a:round/>
          <a:headEnd/>
          <a:tailEnd type="triangle" w="med" len="med"/>
        </a:ln>
      </xdr:spPr>
    </xdr:sp>
    <xdr:clientData/>
  </xdr:twoCellAnchor>
  <xdr:twoCellAnchor editAs="oneCell">
    <xdr:from>
      <xdr:col>95</xdr:col>
      <xdr:colOff>57150</xdr:colOff>
      <xdr:row>24</xdr:row>
      <xdr:rowOff>28575</xdr:rowOff>
    </xdr:from>
    <xdr:to>
      <xdr:col>95</xdr:col>
      <xdr:colOff>57150</xdr:colOff>
      <xdr:row>24</xdr:row>
      <xdr:rowOff>123825</xdr:rowOff>
    </xdr:to>
    <xdr:sp macro="" textlink="">
      <xdr:nvSpPr>
        <xdr:cNvPr id="5186" name="Line 2514"/>
        <xdr:cNvSpPr>
          <a:spLocks noChangeShapeType="1"/>
        </xdr:cNvSpPr>
      </xdr:nvSpPr>
      <xdr:spPr bwMode="auto">
        <a:xfrm>
          <a:off x="16509423" y="4600575"/>
          <a:ext cx="0" cy="95250"/>
        </a:xfrm>
        <a:prstGeom prst="line">
          <a:avLst/>
        </a:prstGeom>
        <a:noFill/>
        <a:ln w="9525">
          <a:solidFill>
            <a:srgbClr val="FFFFFF"/>
          </a:solidFill>
          <a:round/>
          <a:headEnd/>
          <a:tailEnd/>
        </a:ln>
      </xdr:spPr>
    </xdr:sp>
    <xdr:clientData/>
  </xdr:twoCellAnchor>
  <xdr:twoCellAnchor editAs="oneCell">
    <xdr:from>
      <xdr:col>95</xdr:col>
      <xdr:colOff>66675</xdr:colOff>
      <xdr:row>24</xdr:row>
      <xdr:rowOff>66675</xdr:rowOff>
    </xdr:from>
    <xdr:to>
      <xdr:col>100</xdr:col>
      <xdr:colOff>171450</xdr:colOff>
      <xdr:row>27</xdr:row>
      <xdr:rowOff>161925</xdr:rowOff>
    </xdr:to>
    <xdr:sp macro="" textlink="">
      <xdr:nvSpPr>
        <xdr:cNvPr id="9371" name="Text Box 2516"/>
        <xdr:cNvSpPr txBox="1">
          <a:spLocks noChangeArrowheads="1"/>
        </xdr:cNvSpPr>
      </xdr:nvSpPr>
      <xdr:spPr bwMode="auto">
        <a:xfrm>
          <a:off x="16518948" y="4638675"/>
          <a:ext cx="970684" cy="666750"/>
        </a:xfrm>
        <a:prstGeom prst="rect">
          <a:avLst/>
        </a:prstGeom>
        <a:noFill/>
        <a:ln w="9525">
          <a:noFill/>
          <a:miter lim="800000"/>
          <a:headEnd/>
          <a:tailEnd/>
        </a:ln>
      </xdr:spPr>
      <xdr:txBody>
        <a:bodyPr vertOverflow="clip" wrap="square" lIns="0" tIns="0" rIns="27432" bIns="27432" anchor="b" upright="1"/>
        <a:lstStyle/>
        <a:p>
          <a:pPr algn="l" rtl="0">
            <a:defRPr sz="1000"/>
          </a:pPr>
          <a:r>
            <a:rPr lang="en-US" sz="800" b="0" i="0" u="none" strike="noStrike" baseline="0">
              <a:solidFill>
                <a:srgbClr val="000000"/>
              </a:solidFill>
              <a:latin typeface="Arial Narrow"/>
            </a:rPr>
            <a:t>FROM P-EO4245/4246 </a:t>
          </a:r>
        </a:p>
        <a:p>
          <a:pPr algn="l" rtl="0">
            <a:defRPr sz="1000"/>
          </a:pPr>
          <a:r>
            <a:rPr lang="en-US" sz="800" b="0" i="0" u="none" strike="noStrike" baseline="0">
              <a:solidFill>
                <a:srgbClr val="000000"/>
              </a:solidFill>
              <a:latin typeface="Arial Narrow"/>
            </a:rPr>
            <a:t>EO  STRIPPER BOTTOM PUMPS</a:t>
          </a:r>
        </a:p>
      </xdr:txBody>
    </xdr:sp>
    <xdr:clientData/>
  </xdr:twoCellAnchor>
  <xdr:twoCellAnchor editAs="oneCell">
    <xdr:from>
      <xdr:col>95</xdr:col>
      <xdr:colOff>57150</xdr:colOff>
      <xdr:row>23</xdr:row>
      <xdr:rowOff>28575</xdr:rowOff>
    </xdr:from>
    <xdr:to>
      <xdr:col>100</xdr:col>
      <xdr:colOff>66675</xdr:colOff>
      <xdr:row>24</xdr:row>
      <xdr:rowOff>28575</xdr:rowOff>
    </xdr:to>
    <xdr:grpSp>
      <xdr:nvGrpSpPr>
        <xdr:cNvPr id="5188" name="Group 2517"/>
        <xdr:cNvGrpSpPr>
          <a:grpSpLocks/>
        </xdr:cNvGrpSpPr>
      </xdr:nvGrpSpPr>
      <xdr:grpSpPr bwMode="auto">
        <a:xfrm flipH="1">
          <a:off x="16509423" y="4773757"/>
          <a:ext cx="875434" cy="190500"/>
          <a:chOff x="1840" y="1050"/>
          <a:chExt cx="100" cy="20"/>
        </a:xfrm>
      </xdr:grpSpPr>
      <xdr:grpSp>
        <xdr:nvGrpSpPr>
          <xdr:cNvPr id="5667" name="Group 2518"/>
          <xdr:cNvGrpSpPr>
            <a:grpSpLocks/>
          </xdr:cNvGrpSpPr>
        </xdr:nvGrpSpPr>
        <xdr:grpSpPr bwMode="auto">
          <a:xfrm>
            <a:off x="1840" y="1050"/>
            <a:ext cx="100" cy="20"/>
            <a:chOff x="1840" y="1050"/>
            <a:chExt cx="100" cy="20"/>
          </a:xfrm>
        </xdr:grpSpPr>
        <xdr:sp macro="" textlink="">
          <xdr:nvSpPr>
            <xdr:cNvPr id="5676" name="Rectangle 2519"/>
            <xdr:cNvSpPr>
              <a:spLocks noChangeArrowheads="1"/>
            </xdr:cNvSpPr>
          </xdr:nvSpPr>
          <xdr:spPr bwMode="auto">
            <a:xfrm flipH="1">
              <a:off x="1840" y="1050"/>
              <a:ext cx="93" cy="20"/>
            </a:xfrm>
            <a:prstGeom prst="rect">
              <a:avLst/>
            </a:prstGeom>
            <a:noFill/>
            <a:ln w="9525" algn="ctr">
              <a:noFill/>
              <a:miter lim="800000"/>
              <a:headEnd/>
              <a:tailEnd/>
            </a:ln>
          </xdr:spPr>
        </xdr:sp>
        <xdr:sp macro="" textlink="">
          <xdr:nvSpPr>
            <xdr:cNvPr id="5677" name="AutoShape 2520"/>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668" name="Group 2521"/>
          <xdr:cNvGrpSpPr>
            <a:grpSpLocks/>
          </xdr:cNvGrpSpPr>
        </xdr:nvGrpSpPr>
        <xdr:grpSpPr bwMode="auto">
          <a:xfrm>
            <a:off x="1840" y="1050"/>
            <a:ext cx="100" cy="20"/>
            <a:chOff x="1840" y="1050"/>
            <a:chExt cx="100" cy="20"/>
          </a:xfrm>
        </xdr:grpSpPr>
        <xdr:grpSp>
          <xdr:nvGrpSpPr>
            <xdr:cNvPr id="5669" name="Group 2522"/>
            <xdr:cNvGrpSpPr>
              <a:grpSpLocks/>
            </xdr:cNvGrpSpPr>
          </xdr:nvGrpSpPr>
          <xdr:grpSpPr bwMode="auto">
            <a:xfrm>
              <a:off x="1933" y="1050"/>
              <a:ext cx="7" cy="20"/>
              <a:chOff x="1893" y="1050"/>
              <a:chExt cx="7" cy="20"/>
            </a:xfrm>
          </xdr:grpSpPr>
          <xdr:sp macro="" textlink="">
            <xdr:nvSpPr>
              <xdr:cNvPr id="5674" name="Line 2523"/>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675" name="Line 2524"/>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670" name="Group 2525"/>
            <xdr:cNvGrpSpPr>
              <a:grpSpLocks/>
            </xdr:cNvGrpSpPr>
          </xdr:nvGrpSpPr>
          <xdr:grpSpPr bwMode="auto">
            <a:xfrm>
              <a:off x="1840" y="1050"/>
              <a:ext cx="93" cy="20"/>
              <a:chOff x="1840" y="1050"/>
              <a:chExt cx="93" cy="20"/>
            </a:xfrm>
          </xdr:grpSpPr>
          <xdr:sp macro="" textlink="">
            <xdr:nvSpPr>
              <xdr:cNvPr id="5671" name="Line 2526"/>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672" name="Line 2527"/>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673" name="Line 2528"/>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clientData/>
  </xdr:twoCellAnchor>
  <xdr:twoCellAnchor editAs="oneCell">
    <xdr:from>
      <xdr:col>47</xdr:col>
      <xdr:colOff>53975</xdr:colOff>
      <xdr:row>14</xdr:row>
      <xdr:rowOff>185738</xdr:rowOff>
    </xdr:from>
    <xdr:to>
      <xdr:col>58</xdr:col>
      <xdr:colOff>173031</xdr:colOff>
      <xdr:row>14</xdr:row>
      <xdr:rowOff>185738</xdr:rowOff>
    </xdr:to>
    <xdr:cxnSp macro="">
      <xdr:nvCxnSpPr>
        <xdr:cNvPr id="45" name="Straight Arrow Connector 44"/>
        <xdr:cNvCxnSpPr/>
      </xdr:nvCxnSpPr>
      <xdr:spPr>
        <a:xfrm>
          <a:off x="8193520" y="2852738"/>
          <a:ext cx="2024056" cy="0"/>
        </a:xfrm>
        <a:prstGeom prst="straightConnector1">
          <a:avLst/>
        </a:prstGeom>
        <a:ln w="2540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59</xdr:col>
      <xdr:colOff>173038</xdr:colOff>
      <xdr:row>9</xdr:row>
      <xdr:rowOff>37984</xdr:rowOff>
    </xdr:from>
    <xdr:to>
      <xdr:col>60</xdr:col>
      <xdr:colOff>1608</xdr:colOff>
      <xdr:row>11</xdr:row>
      <xdr:rowOff>192881</xdr:rowOff>
    </xdr:to>
    <xdr:cxnSp macro="">
      <xdr:nvCxnSpPr>
        <xdr:cNvPr id="47" name="Straight Connector 46"/>
        <xdr:cNvCxnSpPr/>
      </xdr:nvCxnSpPr>
      <xdr:spPr>
        <a:xfrm flipH="1">
          <a:off x="10390765" y="1752484"/>
          <a:ext cx="1752" cy="554947"/>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60</xdr:col>
      <xdr:colOff>1588</xdr:colOff>
      <xdr:row>18</xdr:row>
      <xdr:rowOff>152276</xdr:rowOff>
    </xdr:from>
    <xdr:to>
      <xdr:col>60</xdr:col>
      <xdr:colOff>1588</xdr:colOff>
      <xdr:row>19</xdr:row>
      <xdr:rowOff>180975</xdr:rowOff>
    </xdr:to>
    <xdr:cxnSp macro="">
      <xdr:nvCxnSpPr>
        <xdr:cNvPr id="50" name="Straight Connector 49"/>
        <xdr:cNvCxnSpPr/>
      </xdr:nvCxnSpPr>
      <xdr:spPr>
        <a:xfrm>
          <a:off x="10392497" y="3581276"/>
          <a:ext cx="0" cy="22872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92</xdr:col>
      <xdr:colOff>96838</xdr:colOff>
      <xdr:row>20</xdr:row>
      <xdr:rowOff>19050</xdr:rowOff>
    </xdr:from>
    <xdr:to>
      <xdr:col>95</xdr:col>
      <xdr:colOff>82550</xdr:colOff>
      <xdr:row>20</xdr:row>
      <xdr:rowOff>19050</xdr:rowOff>
    </xdr:to>
    <xdr:cxnSp macro="">
      <xdr:nvCxnSpPr>
        <xdr:cNvPr id="2280" name="Straight Connector 2279"/>
        <xdr:cNvCxnSpPr>
          <a:stCxn id="2340" idx="3"/>
        </xdr:cNvCxnSpPr>
      </xdr:nvCxnSpPr>
      <xdr:spPr>
        <a:xfrm flipH="1">
          <a:off x="16029565" y="3829050"/>
          <a:ext cx="505258"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60</xdr:col>
      <xdr:colOff>1590</xdr:colOff>
      <xdr:row>9</xdr:row>
      <xdr:rowOff>45244</xdr:rowOff>
    </xdr:from>
    <xdr:to>
      <xdr:col>66</xdr:col>
      <xdr:colOff>173038</xdr:colOff>
      <xdr:row>9</xdr:row>
      <xdr:rowOff>47626</xdr:rowOff>
    </xdr:to>
    <xdr:cxnSp macro="">
      <xdr:nvCxnSpPr>
        <xdr:cNvPr id="2290" name="Straight Connector 2289"/>
        <xdr:cNvCxnSpPr/>
      </xdr:nvCxnSpPr>
      <xdr:spPr>
        <a:xfrm flipH="1">
          <a:off x="10392499" y="1759744"/>
          <a:ext cx="1210539" cy="238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61</xdr:col>
      <xdr:colOff>6351</xdr:colOff>
      <xdr:row>7</xdr:row>
      <xdr:rowOff>0</xdr:rowOff>
    </xdr:from>
    <xdr:to>
      <xdr:col>61</xdr:col>
      <xdr:colOff>6370</xdr:colOff>
      <xdr:row>9</xdr:row>
      <xdr:rowOff>23697</xdr:rowOff>
    </xdr:to>
    <xdr:cxnSp macro="">
      <xdr:nvCxnSpPr>
        <xdr:cNvPr id="2291" name="Straight Connector 2290"/>
        <xdr:cNvCxnSpPr/>
      </xdr:nvCxnSpPr>
      <xdr:spPr>
        <a:xfrm>
          <a:off x="10570442" y="1333500"/>
          <a:ext cx="19" cy="423747"/>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59</xdr:col>
      <xdr:colOff>171450</xdr:colOff>
      <xdr:row>5</xdr:row>
      <xdr:rowOff>142875</xdr:rowOff>
    </xdr:from>
    <xdr:to>
      <xdr:col>61</xdr:col>
      <xdr:colOff>57150</xdr:colOff>
      <xdr:row>7</xdr:row>
      <xdr:rowOff>104775</xdr:rowOff>
    </xdr:to>
    <xdr:grpSp>
      <xdr:nvGrpSpPr>
        <xdr:cNvPr id="5195" name="Group 3915"/>
        <xdr:cNvGrpSpPr>
          <a:grpSpLocks/>
        </xdr:cNvGrpSpPr>
      </xdr:nvGrpSpPr>
      <xdr:grpSpPr bwMode="auto">
        <a:xfrm rot="-5400000">
          <a:off x="10316441" y="1254702"/>
          <a:ext cx="377536" cy="232064"/>
          <a:chOff x="460" y="220"/>
          <a:chExt cx="40" cy="26"/>
        </a:xfrm>
      </xdr:grpSpPr>
      <xdr:grpSp>
        <xdr:nvGrpSpPr>
          <xdr:cNvPr id="5653" name="Group 3916"/>
          <xdr:cNvGrpSpPr>
            <a:grpSpLocks/>
          </xdr:cNvGrpSpPr>
        </xdr:nvGrpSpPr>
        <xdr:grpSpPr bwMode="auto">
          <a:xfrm>
            <a:off x="473" y="223"/>
            <a:ext cx="14" cy="23"/>
            <a:chOff x="184" y="256"/>
            <a:chExt cx="24" cy="40"/>
          </a:xfrm>
        </xdr:grpSpPr>
        <xdr:grpSp>
          <xdr:nvGrpSpPr>
            <xdr:cNvPr id="5657" name="Group 3917"/>
            <xdr:cNvGrpSpPr>
              <a:grpSpLocks/>
            </xdr:cNvGrpSpPr>
          </xdr:nvGrpSpPr>
          <xdr:grpSpPr bwMode="auto">
            <a:xfrm>
              <a:off x="184" y="256"/>
              <a:ext cx="24" cy="10"/>
              <a:chOff x="196" y="276"/>
              <a:chExt cx="24" cy="10"/>
            </a:xfrm>
          </xdr:grpSpPr>
          <xdr:sp macro="" textlink="">
            <xdr:nvSpPr>
              <xdr:cNvPr id="5664" name="Arc 3918"/>
              <xdr:cNvSpPr>
                <a:spLocks/>
              </xdr:cNvSpPr>
            </xdr:nvSpPr>
            <xdr:spPr bwMode="auto">
              <a:xfrm>
                <a:off x="208" y="276"/>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65" name="Arc 3919"/>
              <xdr:cNvSpPr>
                <a:spLocks/>
              </xdr:cNvSpPr>
            </xdr:nvSpPr>
            <xdr:spPr bwMode="auto">
              <a:xfrm flipH="1">
                <a:off x="196" y="276"/>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66" name="Line 3920"/>
              <xdr:cNvSpPr>
                <a:spLocks noChangeShapeType="1"/>
              </xdr:cNvSpPr>
            </xdr:nvSpPr>
            <xdr:spPr bwMode="auto">
              <a:xfrm>
                <a:off x="196" y="286"/>
                <a:ext cx="24" cy="0"/>
              </a:xfrm>
              <a:prstGeom prst="line">
                <a:avLst/>
              </a:prstGeom>
              <a:noFill/>
              <a:ln w="9525">
                <a:solidFill>
                  <a:srgbClr val="000000"/>
                </a:solidFill>
                <a:round/>
                <a:headEnd/>
                <a:tailEnd/>
              </a:ln>
            </xdr:spPr>
          </xdr:sp>
        </xdr:grpSp>
        <xdr:grpSp>
          <xdr:nvGrpSpPr>
            <xdr:cNvPr id="5658" name="Group 3921"/>
            <xdr:cNvGrpSpPr>
              <a:grpSpLocks/>
            </xdr:cNvGrpSpPr>
          </xdr:nvGrpSpPr>
          <xdr:grpSpPr bwMode="auto">
            <a:xfrm>
              <a:off x="184" y="276"/>
              <a:ext cx="24" cy="20"/>
              <a:chOff x="280" y="226"/>
              <a:chExt cx="24" cy="20"/>
            </a:xfrm>
          </xdr:grpSpPr>
          <xdr:sp macro="" textlink="">
            <xdr:nvSpPr>
              <xdr:cNvPr id="5660"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661"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662"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663"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659"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654" name="Line 3927"/>
          <xdr:cNvSpPr>
            <a:spLocks noChangeShapeType="1"/>
          </xdr:cNvSpPr>
        </xdr:nvSpPr>
        <xdr:spPr bwMode="auto">
          <a:xfrm flipH="1">
            <a:off x="487" y="240"/>
            <a:ext cx="13" cy="0"/>
          </a:xfrm>
          <a:prstGeom prst="line">
            <a:avLst/>
          </a:prstGeom>
          <a:noFill/>
          <a:ln w="9525">
            <a:solidFill>
              <a:srgbClr val="000000"/>
            </a:solidFill>
            <a:round/>
            <a:headEnd/>
            <a:tailEnd/>
          </a:ln>
        </xdr:spPr>
      </xdr:sp>
      <xdr:sp macro="" textlink="">
        <xdr:nvSpPr>
          <xdr:cNvPr id="5655" name="Line 3928"/>
          <xdr:cNvSpPr>
            <a:spLocks noChangeShapeType="1"/>
          </xdr:cNvSpPr>
        </xdr:nvSpPr>
        <xdr:spPr bwMode="auto">
          <a:xfrm flipH="1">
            <a:off x="460" y="240"/>
            <a:ext cx="13" cy="0"/>
          </a:xfrm>
          <a:prstGeom prst="line">
            <a:avLst/>
          </a:prstGeom>
          <a:noFill/>
          <a:ln w="9525">
            <a:solidFill>
              <a:srgbClr val="000000"/>
            </a:solidFill>
            <a:round/>
            <a:headEnd/>
            <a:tailEnd/>
          </a:ln>
        </xdr:spPr>
      </xdr:sp>
      <xdr:sp macro="" textlink="">
        <xdr:nvSpPr>
          <xdr:cNvPr id="5656" name="Line 3929"/>
          <xdr:cNvSpPr>
            <a:spLocks noChangeShapeType="1"/>
          </xdr:cNvSpPr>
        </xdr:nvSpPr>
        <xdr:spPr bwMode="auto">
          <a:xfrm flipV="1">
            <a:off x="480" y="220"/>
            <a:ext cx="0" cy="3"/>
          </a:xfrm>
          <a:prstGeom prst="line">
            <a:avLst/>
          </a:prstGeom>
          <a:noFill/>
          <a:ln w="9525">
            <a:solidFill>
              <a:srgbClr val="000000"/>
            </a:solidFill>
            <a:prstDash val="dash"/>
            <a:round/>
            <a:headEnd/>
            <a:tailEnd/>
          </a:ln>
        </xdr:spPr>
      </xdr:sp>
    </xdr:grpSp>
    <xdr:clientData/>
  </xdr:twoCellAnchor>
  <xdr:twoCellAnchor editAs="oneCell">
    <xdr:from>
      <xdr:col>61</xdr:col>
      <xdr:colOff>6351</xdr:colOff>
      <xdr:row>4</xdr:row>
      <xdr:rowOff>19051</xdr:rowOff>
    </xdr:from>
    <xdr:to>
      <xdr:col>61</xdr:col>
      <xdr:colOff>6370</xdr:colOff>
      <xdr:row>6</xdr:row>
      <xdr:rowOff>42748</xdr:rowOff>
    </xdr:to>
    <xdr:cxnSp macro="">
      <xdr:nvCxnSpPr>
        <xdr:cNvPr id="2308" name="Straight Connector 2307"/>
        <xdr:cNvCxnSpPr/>
      </xdr:nvCxnSpPr>
      <xdr:spPr>
        <a:xfrm>
          <a:off x="10570442" y="781051"/>
          <a:ext cx="19" cy="423747"/>
        </a:xfrm>
        <a:prstGeom prst="line">
          <a:avLst/>
        </a:prstGeom>
        <a:ln w="9525">
          <a:headEnd type="arrow"/>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61</xdr:col>
      <xdr:colOff>53975</xdr:colOff>
      <xdr:row>6</xdr:row>
      <xdr:rowOff>66675</xdr:rowOff>
    </xdr:from>
    <xdr:to>
      <xdr:col>64</xdr:col>
      <xdr:colOff>149253</xdr:colOff>
      <xdr:row>7</xdr:row>
      <xdr:rowOff>28575</xdr:rowOff>
    </xdr:to>
    <xdr:sp macro="" textlink="">
      <xdr:nvSpPr>
        <xdr:cNvPr id="2317" name="TextBox 2316"/>
        <xdr:cNvSpPr txBox="1"/>
      </xdr:nvSpPr>
      <xdr:spPr>
        <a:xfrm>
          <a:off x="10618066" y="1209675"/>
          <a:ext cx="614823"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XZV-2005</a:t>
          </a:r>
        </a:p>
      </xdr:txBody>
    </xdr:sp>
    <xdr:clientData/>
  </xdr:twoCellAnchor>
  <xdr:twoCellAnchor editAs="oneCell">
    <xdr:from>
      <xdr:col>61</xdr:col>
      <xdr:colOff>139684</xdr:colOff>
      <xdr:row>20</xdr:row>
      <xdr:rowOff>38083</xdr:rowOff>
    </xdr:from>
    <xdr:to>
      <xdr:col>65</xdr:col>
      <xdr:colOff>47637</xdr:colOff>
      <xdr:row>20</xdr:row>
      <xdr:rowOff>200008</xdr:rowOff>
    </xdr:to>
    <xdr:sp macro="" textlink="">
      <xdr:nvSpPr>
        <xdr:cNvPr id="2319" name="TextBox 2318"/>
        <xdr:cNvSpPr txBox="1"/>
      </xdr:nvSpPr>
      <xdr:spPr>
        <a:xfrm>
          <a:off x="10703775" y="3848083"/>
          <a:ext cx="600680"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XZV-2007</a:t>
          </a:r>
        </a:p>
      </xdr:txBody>
    </xdr:sp>
    <xdr:clientData/>
  </xdr:twoCellAnchor>
  <xdr:twoCellAnchor editAs="oneCell">
    <xdr:from>
      <xdr:col>95</xdr:col>
      <xdr:colOff>85725</xdr:colOff>
      <xdr:row>17</xdr:row>
      <xdr:rowOff>19050</xdr:rowOff>
    </xdr:from>
    <xdr:to>
      <xdr:col>101</xdr:col>
      <xdr:colOff>85725</xdr:colOff>
      <xdr:row>19</xdr:row>
      <xdr:rowOff>95250</xdr:rowOff>
    </xdr:to>
    <xdr:sp macro="" textlink="">
      <xdr:nvSpPr>
        <xdr:cNvPr id="9409" name="Text Box 3525"/>
        <xdr:cNvSpPr txBox="1">
          <a:spLocks noChangeArrowheads="1"/>
        </xdr:cNvSpPr>
      </xdr:nvSpPr>
      <xdr:spPr bwMode="auto">
        <a:xfrm>
          <a:off x="16537998" y="3257550"/>
          <a:ext cx="1039091" cy="476250"/>
        </a:xfrm>
        <a:prstGeom prst="rect">
          <a:avLst/>
        </a:prstGeom>
        <a:noFill/>
        <a:ln w="9525">
          <a:noFill/>
          <a:miter lim="800000"/>
          <a:headEnd/>
          <a:tailEnd/>
        </a:ln>
      </xdr:spPr>
      <xdr:txBody>
        <a:bodyPr vertOverflow="clip" wrap="square" lIns="27432" tIns="0" rIns="0" bIns="27432" anchor="b" upright="1"/>
        <a:lstStyle/>
        <a:p>
          <a:pPr algn="l" rtl="0">
            <a:defRPr sz="1000"/>
          </a:pPr>
          <a:r>
            <a:rPr lang="en-US" sz="800" b="0" i="0" u="none" strike="noStrike" baseline="0">
              <a:solidFill>
                <a:srgbClr val="000000"/>
              </a:solidFill>
              <a:latin typeface="Arial Narrow"/>
            </a:rPr>
            <a:t>TO C-EO4215</a:t>
          </a:r>
        </a:p>
      </xdr:txBody>
    </xdr:sp>
    <xdr:clientData/>
  </xdr:twoCellAnchor>
  <xdr:twoCellAnchor editAs="oneCell">
    <xdr:from>
      <xdr:col>95</xdr:col>
      <xdr:colOff>85725</xdr:colOff>
      <xdr:row>19</xdr:row>
      <xdr:rowOff>114300</xdr:rowOff>
    </xdr:from>
    <xdr:to>
      <xdr:col>100</xdr:col>
      <xdr:colOff>85725</xdr:colOff>
      <xdr:row>20</xdr:row>
      <xdr:rowOff>104775</xdr:rowOff>
    </xdr:to>
    <xdr:grpSp>
      <xdr:nvGrpSpPr>
        <xdr:cNvPr id="5200" name="Group 3526"/>
        <xdr:cNvGrpSpPr>
          <a:grpSpLocks/>
        </xdr:cNvGrpSpPr>
      </xdr:nvGrpSpPr>
      <xdr:grpSpPr bwMode="auto">
        <a:xfrm>
          <a:off x="16537998" y="4062845"/>
          <a:ext cx="865909" cy="198294"/>
          <a:chOff x="1840" y="1050"/>
          <a:chExt cx="100" cy="20"/>
        </a:xfrm>
      </xdr:grpSpPr>
      <xdr:grpSp>
        <xdr:nvGrpSpPr>
          <xdr:cNvPr id="5642" name="Group 3527"/>
          <xdr:cNvGrpSpPr>
            <a:grpSpLocks/>
          </xdr:cNvGrpSpPr>
        </xdr:nvGrpSpPr>
        <xdr:grpSpPr bwMode="auto">
          <a:xfrm>
            <a:off x="1840" y="1050"/>
            <a:ext cx="100" cy="20"/>
            <a:chOff x="1840" y="1050"/>
            <a:chExt cx="100" cy="20"/>
          </a:xfrm>
        </xdr:grpSpPr>
        <xdr:sp macro="" textlink="">
          <xdr:nvSpPr>
            <xdr:cNvPr id="2340" name="Rectangle 3528"/>
            <xdr:cNvSpPr>
              <a:spLocks noChangeArrowheads="1"/>
            </xdr:cNvSpPr>
          </xdr:nvSpPr>
          <xdr:spPr bwMode="auto">
            <a:xfrm flipH="1">
              <a:off x="1840" y="1050"/>
              <a:ext cx="93" cy="20"/>
            </a:xfrm>
            <a:prstGeom prst="rect">
              <a:avLst/>
            </a:prstGeom>
            <a:noFill/>
            <a:ln>
              <a:noFill/>
            </a:ln>
            <a:effectLs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           -</a:t>
              </a:r>
              <a:endParaRPr lang="en-US"/>
            </a:p>
          </xdr:txBody>
        </xdr:sp>
        <xdr:sp macro="" textlink="">
          <xdr:nvSpPr>
            <xdr:cNvPr id="5652" name="AutoShape 3529"/>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643" name="Group 3530"/>
          <xdr:cNvGrpSpPr>
            <a:grpSpLocks/>
          </xdr:cNvGrpSpPr>
        </xdr:nvGrpSpPr>
        <xdr:grpSpPr bwMode="auto">
          <a:xfrm>
            <a:off x="1840" y="1050"/>
            <a:ext cx="100" cy="20"/>
            <a:chOff x="1840" y="1050"/>
            <a:chExt cx="100" cy="20"/>
          </a:xfrm>
        </xdr:grpSpPr>
        <xdr:grpSp>
          <xdr:nvGrpSpPr>
            <xdr:cNvPr id="5644" name="Group 3531"/>
            <xdr:cNvGrpSpPr>
              <a:grpSpLocks/>
            </xdr:cNvGrpSpPr>
          </xdr:nvGrpSpPr>
          <xdr:grpSpPr bwMode="auto">
            <a:xfrm>
              <a:off x="1933" y="1050"/>
              <a:ext cx="7" cy="20"/>
              <a:chOff x="1893" y="1050"/>
              <a:chExt cx="7" cy="20"/>
            </a:xfrm>
          </xdr:grpSpPr>
          <xdr:sp macro="" textlink="">
            <xdr:nvSpPr>
              <xdr:cNvPr id="5649" name="Line 3532"/>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650" name="Line 3533"/>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645" name="Group 3534"/>
            <xdr:cNvGrpSpPr>
              <a:grpSpLocks/>
            </xdr:cNvGrpSpPr>
          </xdr:nvGrpSpPr>
          <xdr:grpSpPr bwMode="auto">
            <a:xfrm>
              <a:off x="1840" y="1050"/>
              <a:ext cx="93" cy="20"/>
              <a:chOff x="1840" y="1050"/>
              <a:chExt cx="93" cy="20"/>
            </a:xfrm>
          </xdr:grpSpPr>
          <xdr:sp macro="" textlink="">
            <xdr:nvSpPr>
              <xdr:cNvPr id="5646" name="Line 3535"/>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647" name="Line 3536"/>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648" name="Line 3537"/>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clientData/>
  </xdr:twoCellAnchor>
  <xdr:twoCellAnchor editAs="oneCell">
    <xdr:from>
      <xdr:col>47</xdr:col>
      <xdr:colOff>53975</xdr:colOff>
      <xdr:row>36</xdr:row>
      <xdr:rowOff>0</xdr:rowOff>
    </xdr:from>
    <xdr:to>
      <xdr:col>47</xdr:col>
      <xdr:colOff>53981</xdr:colOff>
      <xdr:row>39</xdr:row>
      <xdr:rowOff>9525</xdr:rowOff>
    </xdr:to>
    <xdr:cxnSp macro="">
      <xdr:nvCxnSpPr>
        <xdr:cNvPr id="68" name="Straight Connector 67"/>
        <xdr:cNvCxnSpPr>
          <a:stCxn id="5683" idx="0"/>
        </xdr:cNvCxnSpPr>
      </xdr:nvCxnSpPr>
      <xdr:spPr>
        <a:xfrm flipH="1">
          <a:off x="8193520" y="6858000"/>
          <a:ext cx="6" cy="581025"/>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47</xdr:col>
      <xdr:colOff>44452</xdr:colOff>
      <xdr:row>39</xdr:row>
      <xdr:rowOff>0</xdr:rowOff>
    </xdr:from>
    <xdr:to>
      <xdr:col>49</xdr:col>
      <xdr:colOff>153955</xdr:colOff>
      <xdr:row>39</xdr:row>
      <xdr:rowOff>2</xdr:rowOff>
    </xdr:to>
    <xdr:cxnSp macro="">
      <xdr:nvCxnSpPr>
        <xdr:cNvPr id="2364" name="Straight Connector 2363"/>
        <xdr:cNvCxnSpPr/>
      </xdr:nvCxnSpPr>
      <xdr:spPr>
        <a:xfrm flipH="1">
          <a:off x="8183997" y="7429500"/>
          <a:ext cx="455867" cy="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47</xdr:col>
      <xdr:colOff>142875</xdr:colOff>
      <xdr:row>38</xdr:row>
      <xdr:rowOff>0</xdr:rowOff>
    </xdr:from>
    <xdr:to>
      <xdr:col>53</xdr:col>
      <xdr:colOff>142875</xdr:colOff>
      <xdr:row>43</xdr:row>
      <xdr:rowOff>0</xdr:rowOff>
    </xdr:to>
    <xdr:grpSp>
      <xdr:nvGrpSpPr>
        <xdr:cNvPr id="5203" name="Group 1149"/>
        <xdr:cNvGrpSpPr>
          <a:grpSpLocks/>
        </xdr:cNvGrpSpPr>
      </xdr:nvGrpSpPr>
      <xdr:grpSpPr bwMode="auto">
        <a:xfrm>
          <a:off x="8282420" y="7602682"/>
          <a:ext cx="1039091" cy="952500"/>
          <a:chOff x="1440" y="1060"/>
          <a:chExt cx="120" cy="100"/>
        </a:xfrm>
      </xdr:grpSpPr>
      <xdr:grpSp>
        <xdr:nvGrpSpPr>
          <xdr:cNvPr id="5624" name="Group 1143"/>
          <xdr:cNvGrpSpPr>
            <a:grpSpLocks/>
          </xdr:cNvGrpSpPr>
        </xdr:nvGrpSpPr>
        <xdr:grpSpPr bwMode="auto">
          <a:xfrm>
            <a:off x="1480" y="1060"/>
            <a:ext cx="40" cy="46"/>
            <a:chOff x="1480" y="1060"/>
            <a:chExt cx="40" cy="46"/>
          </a:xfrm>
        </xdr:grpSpPr>
        <xdr:grpSp>
          <xdr:nvGrpSpPr>
            <xdr:cNvPr id="5626" name="Group 1142"/>
            <xdr:cNvGrpSpPr>
              <a:grpSpLocks/>
            </xdr:cNvGrpSpPr>
          </xdr:nvGrpSpPr>
          <xdr:grpSpPr bwMode="auto">
            <a:xfrm>
              <a:off x="1480" y="1060"/>
              <a:ext cx="40" cy="46"/>
              <a:chOff x="1480" y="1060"/>
              <a:chExt cx="40" cy="46"/>
            </a:xfrm>
          </xdr:grpSpPr>
          <xdr:grpSp>
            <xdr:nvGrpSpPr>
              <xdr:cNvPr id="5632" name="Group 1127"/>
              <xdr:cNvGrpSpPr>
                <a:grpSpLocks/>
              </xdr:cNvGrpSpPr>
            </xdr:nvGrpSpPr>
            <xdr:grpSpPr bwMode="auto">
              <a:xfrm>
                <a:off x="1480" y="1060"/>
                <a:ext cx="40" cy="40"/>
                <a:chOff x="216" y="620"/>
                <a:chExt cx="38" cy="38"/>
              </a:xfrm>
            </xdr:grpSpPr>
            <xdr:sp macro="" textlink="">
              <xdr:nvSpPr>
                <xdr:cNvPr id="5637" name="Arc 1128"/>
                <xdr:cNvSpPr>
                  <a:spLocks/>
                </xdr:cNvSpPr>
              </xdr:nvSpPr>
              <xdr:spPr bwMode="auto">
                <a:xfrm flipH="1">
                  <a:off x="216" y="620"/>
                  <a:ext cx="19" cy="19"/>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38" name="Arc 1129"/>
                <xdr:cNvSpPr>
                  <a:spLocks/>
                </xdr:cNvSpPr>
              </xdr:nvSpPr>
              <xdr:spPr bwMode="auto">
                <a:xfrm flipH="1" flipV="1">
                  <a:off x="216" y="639"/>
                  <a:ext cx="19" cy="19"/>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39" name="Arc 1130"/>
                <xdr:cNvSpPr>
                  <a:spLocks/>
                </xdr:cNvSpPr>
              </xdr:nvSpPr>
              <xdr:spPr bwMode="auto">
                <a:xfrm flipV="1">
                  <a:off x="235" y="639"/>
                  <a:ext cx="19" cy="19"/>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40" name="Line 1131"/>
                <xdr:cNvSpPr>
                  <a:spLocks noChangeShapeType="1"/>
                </xdr:cNvSpPr>
              </xdr:nvSpPr>
              <xdr:spPr bwMode="auto">
                <a:xfrm flipV="1">
                  <a:off x="254" y="620"/>
                  <a:ext cx="0" cy="19"/>
                </a:xfrm>
                <a:prstGeom prst="line">
                  <a:avLst/>
                </a:prstGeom>
                <a:noFill/>
                <a:ln w="9525">
                  <a:solidFill>
                    <a:srgbClr val="000000"/>
                  </a:solidFill>
                  <a:round/>
                  <a:headEnd/>
                  <a:tailEnd/>
                </a:ln>
              </xdr:spPr>
            </xdr:sp>
            <xdr:sp macro="" textlink="">
              <xdr:nvSpPr>
                <xdr:cNvPr id="5641" name="Line 1132"/>
                <xdr:cNvSpPr>
                  <a:spLocks noChangeShapeType="1"/>
                </xdr:cNvSpPr>
              </xdr:nvSpPr>
              <xdr:spPr bwMode="auto">
                <a:xfrm>
                  <a:off x="235" y="620"/>
                  <a:ext cx="19" cy="0"/>
                </a:xfrm>
                <a:prstGeom prst="line">
                  <a:avLst/>
                </a:prstGeom>
                <a:noFill/>
                <a:ln w="9525">
                  <a:solidFill>
                    <a:srgbClr val="000000"/>
                  </a:solidFill>
                  <a:round/>
                  <a:headEnd/>
                  <a:tailEnd/>
                </a:ln>
              </xdr:spPr>
            </xdr:sp>
          </xdr:grpSp>
          <xdr:grpSp>
            <xdr:nvGrpSpPr>
              <xdr:cNvPr id="5633" name="Group 1133"/>
              <xdr:cNvGrpSpPr>
                <a:grpSpLocks/>
              </xdr:cNvGrpSpPr>
            </xdr:nvGrpSpPr>
            <xdr:grpSpPr bwMode="auto">
              <a:xfrm>
                <a:off x="1480" y="1095"/>
                <a:ext cx="40" cy="11"/>
                <a:chOff x="216" y="654"/>
                <a:chExt cx="38" cy="13"/>
              </a:xfrm>
            </xdr:grpSpPr>
            <xdr:sp macro="" textlink="">
              <xdr:nvSpPr>
                <xdr:cNvPr id="5634" name="Line 1134"/>
                <xdr:cNvSpPr>
                  <a:spLocks noChangeShapeType="1"/>
                </xdr:cNvSpPr>
              </xdr:nvSpPr>
              <xdr:spPr bwMode="auto">
                <a:xfrm flipH="1">
                  <a:off x="216" y="654"/>
                  <a:ext cx="6" cy="13"/>
                </a:xfrm>
                <a:prstGeom prst="line">
                  <a:avLst/>
                </a:prstGeom>
                <a:noFill/>
                <a:ln w="9525">
                  <a:solidFill>
                    <a:srgbClr val="000000"/>
                  </a:solidFill>
                  <a:round/>
                  <a:headEnd/>
                  <a:tailEnd/>
                </a:ln>
              </xdr:spPr>
            </xdr:sp>
            <xdr:sp macro="" textlink="">
              <xdr:nvSpPr>
                <xdr:cNvPr id="5635" name="Line 1135"/>
                <xdr:cNvSpPr>
                  <a:spLocks noChangeShapeType="1"/>
                </xdr:cNvSpPr>
              </xdr:nvSpPr>
              <xdr:spPr bwMode="auto">
                <a:xfrm>
                  <a:off x="248" y="654"/>
                  <a:ext cx="6" cy="13"/>
                </a:xfrm>
                <a:prstGeom prst="line">
                  <a:avLst/>
                </a:prstGeom>
                <a:noFill/>
                <a:ln w="9525">
                  <a:solidFill>
                    <a:srgbClr val="000000"/>
                  </a:solidFill>
                  <a:round/>
                  <a:headEnd/>
                  <a:tailEnd/>
                </a:ln>
              </xdr:spPr>
            </xdr:sp>
            <xdr:sp macro="" textlink="">
              <xdr:nvSpPr>
                <xdr:cNvPr id="5636" name="Line 1136"/>
                <xdr:cNvSpPr>
                  <a:spLocks noChangeShapeType="1"/>
                </xdr:cNvSpPr>
              </xdr:nvSpPr>
              <xdr:spPr bwMode="auto">
                <a:xfrm>
                  <a:off x="216" y="667"/>
                  <a:ext cx="38" cy="0"/>
                </a:xfrm>
                <a:prstGeom prst="line">
                  <a:avLst/>
                </a:prstGeom>
                <a:noFill/>
                <a:ln w="9525">
                  <a:solidFill>
                    <a:srgbClr val="000000"/>
                  </a:solidFill>
                  <a:round/>
                  <a:headEnd/>
                  <a:tailEnd/>
                </a:ln>
              </xdr:spPr>
            </xdr:sp>
          </xdr:grpSp>
        </xdr:grpSp>
        <xdr:grpSp>
          <xdr:nvGrpSpPr>
            <xdr:cNvPr id="5627" name="Group 1137"/>
            <xdr:cNvGrpSpPr>
              <a:grpSpLocks/>
            </xdr:cNvGrpSpPr>
          </xdr:nvGrpSpPr>
          <xdr:grpSpPr bwMode="auto">
            <a:xfrm rot="-5400000">
              <a:off x="1487" y="1069"/>
              <a:ext cx="8" cy="22"/>
              <a:chOff x="991" y="620"/>
              <a:chExt cx="8" cy="22"/>
            </a:xfrm>
          </xdr:grpSpPr>
          <xdr:grpSp>
            <xdr:nvGrpSpPr>
              <xdr:cNvPr id="5628" name="Group 1138"/>
              <xdr:cNvGrpSpPr>
                <a:grpSpLocks/>
              </xdr:cNvGrpSpPr>
            </xdr:nvGrpSpPr>
            <xdr:grpSpPr bwMode="auto">
              <a:xfrm rot="5400000">
                <a:off x="993" y="636"/>
                <a:ext cx="4" cy="8"/>
                <a:chOff x="482" y="384"/>
                <a:chExt cx="12" cy="20"/>
              </a:xfrm>
            </xdr:grpSpPr>
            <xdr:sp macro="" textlink="">
              <xdr:nvSpPr>
                <xdr:cNvPr id="5630" name="Arc 1139"/>
                <xdr:cNvSpPr>
                  <a:spLocks/>
                </xdr:cNvSpPr>
              </xdr:nvSpPr>
              <xdr:spPr bwMode="auto">
                <a:xfrm>
                  <a:off x="482" y="384"/>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631" name="Arc 1140"/>
                <xdr:cNvSpPr>
                  <a:spLocks/>
                </xdr:cNvSpPr>
              </xdr:nvSpPr>
              <xdr:spPr bwMode="auto">
                <a:xfrm flipV="1">
                  <a:off x="482" y="394"/>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grpSp>
          <xdr:sp macro="" textlink="">
            <xdr:nvSpPr>
              <xdr:cNvPr id="5629" name="Line 1141"/>
              <xdr:cNvSpPr>
                <a:spLocks noChangeShapeType="1"/>
              </xdr:cNvSpPr>
            </xdr:nvSpPr>
            <xdr:spPr bwMode="auto">
              <a:xfrm rot="5400000">
                <a:off x="986" y="629"/>
                <a:ext cx="18" cy="0"/>
              </a:xfrm>
              <a:prstGeom prst="line">
                <a:avLst/>
              </a:prstGeom>
              <a:noFill/>
              <a:ln w="9525">
                <a:solidFill>
                  <a:srgbClr val="000000"/>
                </a:solidFill>
                <a:round/>
                <a:headEnd/>
                <a:tailEnd/>
              </a:ln>
            </xdr:spPr>
          </xdr:sp>
        </xdr:grpSp>
      </xdr:grpSp>
      <xdr:sp macro="" textlink="">
        <xdr:nvSpPr>
          <xdr:cNvPr id="2368" name="Text Box 1148"/>
          <xdr:cNvSpPr txBox="1">
            <a:spLocks noChangeArrowheads="1"/>
          </xdr:cNvSpPr>
        </xdr:nvSpPr>
        <xdr:spPr bwMode="auto">
          <a:xfrm>
            <a:off x="1440" y="1106"/>
            <a:ext cx="120" cy="54"/>
          </a:xfrm>
          <a:prstGeom prst="rect">
            <a:avLst/>
          </a:prstGeom>
          <a:noFill/>
          <a:ln>
            <a:noFill/>
          </a:ln>
          <a:extLst/>
        </xdr:spPr>
        <xdr:txBody>
          <a:bodyPr vertOverflow="clip" wrap="square" lIns="27432" tIns="22860" rIns="27432" bIns="0" anchor="t" upright="1"/>
          <a:lstStyle/>
          <a:p>
            <a:pPr algn="ctr" rtl="0">
              <a:defRPr sz="1000"/>
            </a:pPr>
            <a:r>
              <a:rPr lang="en-US" sz="1000" b="1" i="0" u="sng" strike="noStrike" baseline="0">
                <a:solidFill>
                  <a:srgbClr val="000000"/>
                </a:solidFill>
                <a:latin typeface="Arial Narrow"/>
              </a:rPr>
              <a:t>P-EO4285</a:t>
            </a:r>
          </a:p>
          <a:p>
            <a:pPr algn="ctr" rtl="0">
              <a:defRPr sz="1000"/>
            </a:pPr>
            <a:r>
              <a:rPr lang="en-US" sz="900" b="0" u="none"/>
              <a:t>QUENCH CIRC. </a:t>
            </a:r>
          </a:p>
          <a:p>
            <a:pPr algn="ctr" rtl="0">
              <a:defRPr sz="1000"/>
            </a:pPr>
            <a:r>
              <a:rPr lang="en-US" sz="900" b="0" u="none"/>
              <a:t>PUMP</a:t>
            </a:r>
          </a:p>
          <a:p>
            <a:pPr algn="ctr" rtl="0">
              <a:defRPr sz="1000"/>
            </a:pPr>
            <a:endParaRPr lang="en-US" sz="900" b="0" u="none"/>
          </a:p>
        </xdr:txBody>
      </xdr:sp>
    </xdr:grpSp>
    <xdr:clientData/>
  </xdr:twoCellAnchor>
  <xdr:twoCellAnchor editAs="oneCell">
    <xdr:from>
      <xdr:col>51</xdr:col>
      <xdr:colOff>139702</xdr:colOff>
      <xdr:row>38</xdr:row>
      <xdr:rowOff>9525</xdr:rowOff>
    </xdr:from>
    <xdr:to>
      <xdr:col>54</xdr:col>
      <xdr:colOff>63500</xdr:colOff>
      <xdr:row>38</xdr:row>
      <xdr:rowOff>9527</xdr:rowOff>
    </xdr:to>
    <xdr:cxnSp macro="">
      <xdr:nvCxnSpPr>
        <xdr:cNvPr id="2386" name="Straight Connector 2385"/>
        <xdr:cNvCxnSpPr/>
      </xdr:nvCxnSpPr>
      <xdr:spPr>
        <a:xfrm flipH="1">
          <a:off x="8971975" y="7248525"/>
          <a:ext cx="443343" cy="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54</xdr:col>
      <xdr:colOff>63500</xdr:colOff>
      <xdr:row>35</xdr:row>
      <xdr:rowOff>188119</xdr:rowOff>
    </xdr:from>
    <xdr:to>
      <xdr:col>54</xdr:col>
      <xdr:colOff>63500</xdr:colOff>
      <xdr:row>38</xdr:row>
      <xdr:rowOff>14288</xdr:rowOff>
    </xdr:to>
    <xdr:cxnSp macro="">
      <xdr:nvCxnSpPr>
        <xdr:cNvPr id="2395" name="Straight Connector 2394"/>
        <xdr:cNvCxnSpPr/>
      </xdr:nvCxnSpPr>
      <xdr:spPr>
        <a:xfrm>
          <a:off x="9415318" y="6855619"/>
          <a:ext cx="0" cy="397669"/>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52</xdr:col>
      <xdr:colOff>66675</xdr:colOff>
      <xdr:row>33</xdr:row>
      <xdr:rowOff>0</xdr:rowOff>
    </xdr:from>
    <xdr:to>
      <xdr:col>56</xdr:col>
      <xdr:colOff>0</xdr:colOff>
      <xdr:row>38</xdr:row>
      <xdr:rowOff>0</xdr:rowOff>
    </xdr:to>
    <xdr:grpSp>
      <xdr:nvGrpSpPr>
        <xdr:cNvPr id="5206" name="Group 2014"/>
        <xdr:cNvGrpSpPr>
          <a:grpSpLocks/>
        </xdr:cNvGrpSpPr>
      </xdr:nvGrpSpPr>
      <xdr:grpSpPr bwMode="auto">
        <a:xfrm>
          <a:off x="9072130" y="6650182"/>
          <a:ext cx="626052" cy="952500"/>
          <a:chOff x="1680" y="1180"/>
          <a:chExt cx="72" cy="100"/>
        </a:xfrm>
      </xdr:grpSpPr>
      <xdr:sp macro="" textlink="">
        <xdr:nvSpPr>
          <xdr:cNvPr id="5611" name="Line 1580"/>
          <xdr:cNvSpPr>
            <a:spLocks noChangeShapeType="1"/>
          </xdr:cNvSpPr>
        </xdr:nvSpPr>
        <xdr:spPr bwMode="auto">
          <a:xfrm>
            <a:off x="1720" y="1180"/>
            <a:ext cx="0" cy="20"/>
          </a:xfrm>
          <a:prstGeom prst="line">
            <a:avLst/>
          </a:prstGeom>
          <a:noFill/>
          <a:ln w="9525">
            <a:solidFill>
              <a:srgbClr val="FFFFFF"/>
            </a:solidFill>
            <a:round/>
            <a:headEnd/>
            <a:tailEnd/>
          </a:ln>
        </xdr:spPr>
      </xdr:sp>
      <xdr:sp macro="" textlink="">
        <xdr:nvSpPr>
          <xdr:cNvPr id="5612" name="Line 1581"/>
          <xdr:cNvSpPr>
            <a:spLocks noChangeShapeType="1"/>
          </xdr:cNvSpPr>
        </xdr:nvSpPr>
        <xdr:spPr bwMode="auto">
          <a:xfrm>
            <a:off x="1680" y="1274"/>
            <a:ext cx="0" cy="6"/>
          </a:xfrm>
          <a:prstGeom prst="line">
            <a:avLst/>
          </a:prstGeom>
          <a:noFill/>
          <a:ln w="9525">
            <a:solidFill>
              <a:srgbClr val="FFFFFF"/>
            </a:solidFill>
            <a:round/>
            <a:headEnd/>
            <a:tailEnd/>
          </a:ln>
        </xdr:spPr>
      </xdr:sp>
      <xdr:grpSp>
        <xdr:nvGrpSpPr>
          <xdr:cNvPr id="5613" name="Group 2013"/>
          <xdr:cNvGrpSpPr>
            <a:grpSpLocks/>
          </xdr:cNvGrpSpPr>
        </xdr:nvGrpSpPr>
        <xdr:grpSpPr bwMode="auto">
          <a:xfrm>
            <a:off x="1690" y="1189"/>
            <a:ext cx="62" cy="61"/>
            <a:chOff x="1690" y="1189"/>
            <a:chExt cx="62" cy="61"/>
          </a:xfrm>
        </xdr:grpSpPr>
        <xdr:sp macro="" textlink="">
          <xdr:nvSpPr>
            <xdr:cNvPr id="5614" name="Line 1591"/>
            <xdr:cNvSpPr>
              <a:spLocks noChangeShapeType="1"/>
            </xdr:cNvSpPr>
          </xdr:nvSpPr>
          <xdr:spPr bwMode="auto">
            <a:xfrm flipV="1">
              <a:off x="1690" y="1234"/>
              <a:ext cx="16" cy="16"/>
            </a:xfrm>
            <a:prstGeom prst="line">
              <a:avLst/>
            </a:prstGeom>
            <a:noFill/>
            <a:ln w="9525">
              <a:solidFill>
                <a:srgbClr val="000000"/>
              </a:solidFill>
              <a:round/>
              <a:headEnd/>
              <a:tailEnd type="triangle" w="med" len="med"/>
            </a:ln>
          </xdr:spPr>
        </xdr:sp>
        <xdr:sp macro="" textlink="">
          <xdr:nvSpPr>
            <xdr:cNvPr id="5615" name="Line 1595"/>
            <xdr:cNvSpPr>
              <a:spLocks noChangeShapeType="1"/>
            </xdr:cNvSpPr>
          </xdr:nvSpPr>
          <xdr:spPr bwMode="auto">
            <a:xfrm flipV="1">
              <a:off x="1734" y="1189"/>
              <a:ext cx="18" cy="17"/>
            </a:xfrm>
            <a:prstGeom prst="line">
              <a:avLst/>
            </a:prstGeom>
            <a:noFill/>
            <a:ln w="9525">
              <a:solidFill>
                <a:srgbClr val="000000"/>
              </a:solidFill>
              <a:round/>
              <a:headEnd/>
              <a:tailEnd type="triangle" w="med" len="med"/>
            </a:ln>
          </xdr:spPr>
        </xdr:sp>
        <xdr:grpSp>
          <xdr:nvGrpSpPr>
            <xdr:cNvPr id="5616" name="Group 2005"/>
            <xdr:cNvGrpSpPr>
              <a:grpSpLocks/>
            </xdr:cNvGrpSpPr>
          </xdr:nvGrpSpPr>
          <xdr:grpSpPr bwMode="auto">
            <a:xfrm>
              <a:off x="1700" y="1200"/>
              <a:ext cx="40" cy="40"/>
              <a:chOff x="494" y="360"/>
              <a:chExt cx="38" cy="40"/>
            </a:xfrm>
          </xdr:grpSpPr>
          <xdr:sp macro="" textlink="">
            <xdr:nvSpPr>
              <xdr:cNvPr id="5617" name="Oval 2006"/>
              <xdr:cNvSpPr>
                <a:spLocks noChangeArrowheads="1"/>
              </xdr:cNvSpPr>
            </xdr:nvSpPr>
            <xdr:spPr bwMode="auto">
              <a:xfrm>
                <a:off x="494" y="360"/>
                <a:ext cx="38" cy="40"/>
              </a:xfrm>
              <a:prstGeom prst="ellipse">
                <a:avLst/>
              </a:prstGeom>
              <a:noFill/>
              <a:ln w="9525">
                <a:solidFill>
                  <a:srgbClr val="000000"/>
                </a:solidFill>
                <a:round/>
                <a:headEnd/>
                <a:tailEnd/>
              </a:ln>
            </xdr:spPr>
          </xdr:sp>
          <xdr:grpSp>
            <xdr:nvGrpSpPr>
              <xdr:cNvPr id="5618" name="Group 2007"/>
              <xdr:cNvGrpSpPr>
                <a:grpSpLocks/>
              </xdr:cNvGrpSpPr>
            </xdr:nvGrpSpPr>
            <xdr:grpSpPr bwMode="auto">
              <a:xfrm>
                <a:off x="494" y="372"/>
                <a:ext cx="38" cy="16"/>
                <a:chOff x="311" y="972"/>
                <a:chExt cx="38" cy="16"/>
              </a:xfrm>
            </xdr:grpSpPr>
            <xdr:sp macro="" textlink="">
              <xdr:nvSpPr>
                <xdr:cNvPr id="5619" name="Line 2008"/>
                <xdr:cNvSpPr>
                  <a:spLocks noChangeShapeType="1"/>
                </xdr:cNvSpPr>
              </xdr:nvSpPr>
              <xdr:spPr bwMode="auto">
                <a:xfrm>
                  <a:off x="311" y="980"/>
                  <a:ext cx="6" cy="0"/>
                </a:xfrm>
                <a:prstGeom prst="line">
                  <a:avLst/>
                </a:prstGeom>
                <a:noFill/>
                <a:ln w="9525">
                  <a:solidFill>
                    <a:srgbClr val="000000"/>
                  </a:solidFill>
                  <a:prstDash val="dash"/>
                  <a:round/>
                  <a:headEnd/>
                  <a:tailEnd/>
                </a:ln>
              </xdr:spPr>
            </xdr:sp>
            <xdr:sp macro="" textlink="">
              <xdr:nvSpPr>
                <xdr:cNvPr id="5620" name="Line 2009"/>
                <xdr:cNvSpPr>
                  <a:spLocks noChangeShapeType="1"/>
                </xdr:cNvSpPr>
              </xdr:nvSpPr>
              <xdr:spPr bwMode="auto">
                <a:xfrm>
                  <a:off x="343" y="980"/>
                  <a:ext cx="6" cy="0"/>
                </a:xfrm>
                <a:prstGeom prst="line">
                  <a:avLst/>
                </a:prstGeom>
                <a:noFill/>
                <a:ln w="9525">
                  <a:solidFill>
                    <a:srgbClr val="000000"/>
                  </a:solidFill>
                  <a:prstDash val="dash"/>
                  <a:round/>
                  <a:headEnd/>
                  <a:tailEnd/>
                </a:ln>
              </xdr:spPr>
            </xdr:sp>
            <xdr:sp macro="" textlink="">
              <xdr:nvSpPr>
                <xdr:cNvPr id="5621" name="Line 2010"/>
                <xdr:cNvSpPr>
                  <a:spLocks noChangeShapeType="1"/>
                </xdr:cNvSpPr>
              </xdr:nvSpPr>
              <xdr:spPr bwMode="auto">
                <a:xfrm>
                  <a:off x="343" y="980"/>
                  <a:ext cx="0" cy="8"/>
                </a:xfrm>
                <a:prstGeom prst="line">
                  <a:avLst/>
                </a:prstGeom>
                <a:noFill/>
                <a:ln w="9525">
                  <a:solidFill>
                    <a:srgbClr val="000000"/>
                  </a:solidFill>
                  <a:prstDash val="dash"/>
                  <a:round/>
                  <a:headEnd/>
                  <a:tailEnd/>
                </a:ln>
              </xdr:spPr>
            </xdr:sp>
            <xdr:sp macro="" textlink="">
              <xdr:nvSpPr>
                <xdr:cNvPr id="5622" name="Line 2011"/>
                <xdr:cNvSpPr>
                  <a:spLocks noChangeShapeType="1"/>
                </xdr:cNvSpPr>
              </xdr:nvSpPr>
              <xdr:spPr bwMode="auto">
                <a:xfrm>
                  <a:off x="317" y="972"/>
                  <a:ext cx="0" cy="8"/>
                </a:xfrm>
                <a:prstGeom prst="line">
                  <a:avLst/>
                </a:prstGeom>
                <a:noFill/>
                <a:ln w="9525">
                  <a:solidFill>
                    <a:srgbClr val="000000"/>
                  </a:solidFill>
                  <a:prstDash val="dash"/>
                  <a:round/>
                  <a:headEnd/>
                  <a:tailEnd/>
                </a:ln>
              </xdr:spPr>
            </xdr:sp>
            <xdr:sp macro="" textlink="">
              <xdr:nvSpPr>
                <xdr:cNvPr id="5623" name="Line 2012"/>
                <xdr:cNvSpPr>
                  <a:spLocks noChangeShapeType="1"/>
                </xdr:cNvSpPr>
              </xdr:nvSpPr>
              <xdr:spPr bwMode="auto">
                <a:xfrm>
                  <a:off x="317" y="972"/>
                  <a:ext cx="26" cy="16"/>
                </a:xfrm>
                <a:prstGeom prst="line">
                  <a:avLst/>
                </a:prstGeom>
                <a:noFill/>
                <a:ln w="9525">
                  <a:solidFill>
                    <a:srgbClr val="000000"/>
                  </a:solidFill>
                  <a:prstDash val="dash"/>
                  <a:round/>
                  <a:headEnd/>
                  <a:tailEnd/>
                </a:ln>
              </xdr:spPr>
            </xdr:sp>
          </xdr:grpSp>
        </xdr:grpSp>
      </xdr:grpSp>
    </xdr:grpSp>
    <xdr:clientData/>
  </xdr:twoCellAnchor>
  <xdr:twoCellAnchor editAs="oneCell">
    <xdr:from>
      <xdr:col>54</xdr:col>
      <xdr:colOff>61119</xdr:colOff>
      <xdr:row>31</xdr:row>
      <xdr:rowOff>183356</xdr:rowOff>
    </xdr:from>
    <xdr:to>
      <xdr:col>54</xdr:col>
      <xdr:colOff>63519</xdr:colOff>
      <xdr:row>34</xdr:row>
      <xdr:rowOff>2266</xdr:rowOff>
    </xdr:to>
    <xdr:cxnSp macro="">
      <xdr:nvCxnSpPr>
        <xdr:cNvPr id="2441" name="Straight Connector 2440"/>
        <xdr:cNvCxnSpPr/>
      </xdr:nvCxnSpPr>
      <xdr:spPr>
        <a:xfrm>
          <a:off x="9412937" y="6088856"/>
          <a:ext cx="2400" cy="390410"/>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48</xdr:col>
      <xdr:colOff>106363</xdr:colOff>
      <xdr:row>32</xdr:row>
      <xdr:rowOff>0</xdr:rowOff>
    </xdr:from>
    <xdr:to>
      <xdr:col>54</xdr:col>
      <xdr:colOff>59692</xdr:colOff>
      <xdr:row>32</xdr:row>
      <xdr:rowOff>1471</xdr:rowOff>
    </xdr:to>
    <xdr:cxnSp macro="">
      <xdr:nvCxnSpPr>
        <xdr:cNvPr id="2442" name="Straight Connector 2441"/>
        <xdr:cNvCxnSpPr/>
      </xdr:nvCxnSpPr>
      <xdr:spPr>
        <a:xfrm flipH="1" flipV="1">
          <a:off x="8419090" y="6096000"/>
          <a:ext cx="992420" cy="1471"/>
        </a:xfrm>
        <a:prstGeom prst="line">
          <a:avLst/>
        </a:prstGeom>
        <a:ln w="2540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43</xdr:col>
      <xdr:colOff>15875</xdr:colOff>
      <xdr:row>27</xdr:row>
      <xdr:rowOff>180975</xdr:rowOff>
    </xdr:from>
    <xdr:to>
      <xdr:col>43</xdr:col>
      <xdr:colOff>15875</xdr:colOff>
      <xdr:row>40</xdr:row>
      <xdr:rowOff>0</xdr:rowOff>
    </xdr:to>
    <xdr:cxnSp macro="">
      <xdr:nvCxnSpPr>
        <xdr:cNvPr id="2462" name="Straight Connector 2461"/>
        <xdr:cNvCxnSpPr/>
      </xdr:nvCxnSpPr>
      <xdr:spPr>
        <a:xfrm>
          <a:off x="7462693" y="5324475"/>
          <a:ext cx="0" cy="2295525"/>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41</xdr:col>
      <xdr:colOff>1443</xdr:colOff>
      <xdr:row>40</xdr:row>
      <xdr:rowOff>0</xdr:rowOff>
    </xdr:from>
    <xdr:to>
      <xdr:col>45</xdr:col>
      <xdr:colOff>1444</xdr:colOff>
      <xdr:row>40</xdr:row>
      <xdr:rowOff>0</xdr:rowOff>
    </xdr:to>
    <xdr:cxnSp macro="">
      <xdr:nvCxnSpPr>
        <xdr:cNvPr id="2464" name="Straight Connector 2463"/>
        <xdr:cNvCxnSpPr/>
      </xdr:nvCxnSpPr>
      <xdr:spPr>
        <a:xfrm flipH="1">
          <a:off x="7101898" y="7620000"/>
          <a:ext cx="692728"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41</xdr:col>
      <xdr:colOff>4763</xdr:colOff>
      <xdr:row>44</xdr:row>
      <xdr:rowOff>180975</xdr:rowOff>
    </xdr:from>
    <xdr:to>
      <xdr:col>45</xdr:col>
      <xdr:colOff>1672</xdr:colOff>
      <xdr:row>44</xdr:row>
      <xdr:rowOff>180975</xdr:rowOff>
    </xdr:to>
    <xdr:cxnSp macro="">
      <xdr:nvCxnSpPr>
        <xdr:cNvPr id="2469" name="Straight Connector 2468"/>
        <xdr:cNvCxnSpPr/>
      </xdr:nvCxnSpPr>
      <xdr:spPr>
        <a:xfrm flipH="1">
          <a:off x="7105218" y="8562975"/>
          <a:ext cx="689636"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44</xdr:col>
      <xdr:colOff>9525</xdr:colOff>
      <xdr:row>41</xdr:row>
      <xdr:rowOff>85725</xdr:rowOff>
    </xdr:from>
    <xdr:to>
      <xdr:col>46</xdr:col>
      <xdr:colOff>9525</xdr:colOff>
      <xdr:row>43</xdr:row>
      <xdr:rowOff>85725</xdr:rowOff>
    </xdr:to>
    <xdr:grpSp>
      <xdr:nvGrpSpPr>
        <xdr:cNvPr id="5212" name="Group 429"/>
        <xdr:cNvGrpSpPr>
          <a:grpSpLocks/>
        </xdr:cNvGrpSpPr>
      </xdr:nvGrpSpPr>
      <xdr:grpSpPr bwMode="auto">
        <a:xfrm>
          <a:off x="7629525" y="8259907"/>
          <a:ext cx="346364" cy="381000"/>
          <a:chOff x="380" y="600"/>
          <a:chExt cx="38" cy="40"/>
        </a:xfrm>
      </xdr:grpSpPr>
      <xdr:sp macro="" textlink="">
        <xdr:nvSpPr>
          <xdr:cNvPr id="5604"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605" name="Group 431"/>
          <xdr:cNvGrpSpPr>
            <a:grpSpLocks/>
          </xdr:cNvGrpSpPr>
        </xdr:nvGrpSpPr>
        <xdr:grpSpPr bwMode="auto">
          <a:xfrm>
            <a:off x="391" y="600"/>
            <a:ext cx="16" cy="40"/>
            <a:chOff x="797" y="600"/>
            <a:chExt cx="16" cy="40"/>
          </a:xfrm>
        </xdr:grpSpPr>
        <xdr:sp macro="" textlink="">
          <xdr:nvSpPr>
            <xdr:cNvPr id="5606"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607"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608"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609"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610"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40</xdr:col>
      <xdr:colOff>9525</xdr:colOff>
      <xdr:row>41</xdr:row>
      <xdr:rowOff>104775</xdr:rowOff>
    </xdr:from>
    <xdr:to>
      <xdr:col>42</xdr:col>
      <xdr:colOff>9525</xdr:colOff>
      <xdr:row>43</xdr:row>
      <xdr:rowOff>104775</xdr:rowOff>
    </xdr:to>
    <xdr:grpSp>
      <xdr:nvGrpSpPr>
        <xdr:cNvPr id="5213" name="Group 429"/>
        <xdr:cNvGrpSpPr>
          <a:grpSpLocks/>
        </xdr:cNvGrpSpPr>
      </xdr:nvGrpSpPr>
      <xdr:grpSpPr bwMode="auto">
        <a:xfrm>
          <a:off x="6936798" y="8278957"/>
          <a:ext cx="346363" cy="381000"/>
          <a:chOff x="380" y="600"/>
          <a:chExt cx="38" cy="40"/>
        </a:xfrm>
      </xdr:grpSpPr>
      <xdr:sp macro="" textlink="">
        <xdr:nvSpPr>
          <xdr:cNvPr id="5597"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598" name="Group 431"/>
          <xdr:cNvGrpSpPr>
            <a:grpSpLocks/>
          </xdr:cNvGrpSpPr>
        </xdr:nvGrpSpPr>
        <xdr:grpSpPr bwMode="auto">
          <a:xfrm>
            <a:off x="391" y="600"/>
            <a:ext cx="16" cy="40"/>
            <a:chOff x="797" y="600"/>
            <a:chExt cx="16" cy="40"/>
          </a:xfrm>
        </xdr:grpSpPr>
        <xdr:sp macro="" textlink="">
          <xdr:nvSpPr>
            <xdr:cNvPr id="5599"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600"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601"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602"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603"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45</xdr:col>
      <xdr:colOff>1443</xdr:colOff>
      <xdr:row>43</xdr:row>
      <xdr:rowOff>90477</xdr:rowOff>
    </xdr:from>
    <xdr:to>
      <xdr:col>45</xdr:col>
      <xdr:colOff>1608</xdr:colOff>
      <xdr:row>44</xdr:row>
      <xdr:rowOff>180975</xdr:rowOff>
    </xdr:to>
    <xdr:cxnSp macro="">
      <xdr:nvCxnSpPr>
        <xdr:cNvPr id="2486" name="Straight Connector 2485"/>
        <xdr:cNvCxnSpPr>
          <a:stCxn id="5609" idx="1"/>
        </xdr:cNvCxnSpPr>
      </xdr:nvCxnSpPr>
      <xdr:spPr>
        <a:xfrm flipH="1">
          <a:off x="7794625" y="8281977"/>
          <a:ext cx="165" cy="280998"/>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45</xdr:col>
      <xdr:colOff>1588</xdr:colOff>
      <xdr:row>39</xdr:row>
      <xdr:rowOff>180975</xdr:rowOff>
    </xdr:from>
    <xdr:to>
      <xdr:col>45</xdr:col>
      <xdr:colOff>1607</xdr:colOff>
      <xdr:row>41</xdr:row>
      <xdr:rowOff>90477</xdr:rowOff>
    </xdr:to>
    <xdr:cxnSp macro="">
      <xdr:nvCxnSpPr>
        <xdr:cNvPr id="2489" name="Straight Connector 2488"/>
        <xdr:cNvCxnSpPr>
          <a:endCxn id="5608" idx="0"/>
        </xdr:cNvCxnSpPr>
      </xdr:nvCxnSpPr>
      <xdr:spPr>
        <a:xfrm>
          <a:off x="7794770" y="7610475"/>
          <a:ext cx="19" cy="290502"/>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41</xdr:col>
      <xdr:colOff>1443</xdr:colOff>
      <xdr:row>39</xdr:row>
      <xdr:rowOff>185738</xdr:rowOff>
    </xdr:from>
    <xdr:to>
      <xdr:col>41</xdr:col>
      <xdr:colOff>1608</xdr:colOff>
      <xdr:row>41</xdr:row>
      <xdr:rowOff>104764</xdr:rowOff>
    </xdr:to>
    <xdr:cxnSp macro="">
      <xdr:nvCxnSpPr>
        <xdr:cNvPr id="2492" name="Straight Connector 2491"/>
        <xdr:cNvCxnSpPr>
          <a:endCxn id="5597" idx="0"/>
        </xdr:cNvCxnSpPr>
      </xdr:nvCxnSpPr>
      <xdr:spPr>
        <a:xfrm>
          <a:off x="7101898" y="7615238"/>
          <a:ext cx="165" cy="300026"/>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41</xdr:col>
      <xdr:colOff>4763</xdr:colOff>
      <xdr:row>43</xdr:row>
      <xdr:rowOff>104764</xdr:rowOff>
    </xdr:from>
    <xdr:to>
      <xdr:col>41</xdr:col>
      <xdr:colOff>4784</xdr:colOff>
      <xdr:row>44</xdr:row>
      <xdr:rowOff>185738</xdr:rowOff>
    </xdr:to>
    <xdr:cxnSp macro="">
      <xdr:nvCxnSpPr>
        <xdr:cNvPr id="2495" name="Straight Connector 2494"/>
        <xdr:cNvCxnSpPr/>
      </xdr:nvCxnSpPr>
      <xdr:spPr>
        <a:xfrm flipH="1">
          <a:off x="7105218" y="8296264"/>
          <a:ext cx="21" cy="271474"/>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43</xdr:col>
      <xdr:colOff>6350</xdr:colOff>
      <xdr:row>44</xdr:row>
      <xdr:rowOff>185738</xdr:rowOff>
    </xdr:from>
    <xdr:to>
      <xdr:col>43</xdr:col>
      <xdr:colOff>11113</xdr:colOff>
      <xdr:row>50</xdr:row>
      <xdr:rowOff>0</xdr:rowOff>
    </xdr:to>
    <xdr:cxnSp macro="">
      <xdr:nvCxnSpPr>
        <xdr:cNvPr id="2503" name="Straight Connector 2502"/>
        <xdr:cNvCxnSpPr/>
      </xdr:nvCxnSpPr>
      <xdr:spPr>
        <a:xfrm>
          <a:off x="7453168" y="8567738"/>
          <a:ext cx="4763" cy="957262"/>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42</xdr:col>
      <xdr:colOff>173039</xdr:colOff>
      <xdr:row>50</xdr:row>
      <xdr:rowOff>0</xdr:rowOff>
    </xdr:from>
    <xdr:to>
      <xdr:col>51</xdr:col>
      <xdr:colOff>114459</xdr:colOff>
      <xdr:row>50</xdr:row>
      <xdr:rowOff>59</xdr:rowOff>
    </xdr:to>
    <xdr:cxnSp macro="">
      <xdr:nvCxnSpPr>
        <xdr:cNvPr id="2508" name="Straight Connector 2507"/>
        <xdr:cNvCxnSpPr/>
      </xdr:nvCxnSpPr>
      <xdr:spPr>
        <a:xfrm flipH="1">
          <a:off x="7446675" y="9525000"/>
          <a:ext cx="1500057" cy="59"/>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50</xdr:col>
      <xdr:colOff>92055</xdr:colOff>
      <xdr:row>50</xdr:row>
      <xdr:rowOff>28624</xdr:rowOff>
    </xdr:from>
    <xdr:to>
      <xdr:col>54</xdr:col>
      <xdr:colOff>6358</xdr:colOff>
      <xdr:row>51</xdr:row>
      <xdr:rowOff>49</xdr:rowOff>
    </xdr:to>
    <xdr:sp macro="" textlink="">
      <xdr:nvSpPr>
        <xdr:cNvPr id="2531" name="TextBox 2530"/>
        <xdr:cNvSpPr txBox="1"/>
      </xdr:nvSpPr>
      <xdr:spPr>
        <a:xfrm>
          <a:off x="8751146" y="9553624"/>
          <a:ext cx="607030"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XZV-2203</a:t>
          </a:r>
        </a:p>
      </xdr:txBody>
    </xdr:sp>
    <xdr:clientData/>
  </xdr:twoCellAnchor>
  <xdr:twoCellAnchor editAs="oneCell">
    <xdr:from>
      <xdr:col>95</xdr:col>
      <xdr:colOff>76200</xdr:colOff>
      <xdr:row>47</xdr:row>
      <xdr:rowOff>0</xdr:rowOff>
    </xdr:from>
    <xdr:to>
      <xdr:col>100</xdr:col>
      <xdr:colOff>76200</xdr:colOff>
      <xdr:row>51</xdr:row>
      <xdr:rowOff>0</xdr:rowOff>
    </xdr:to>
    <xdr:grpSp>
      <xdr:nvGrpSpPr>
        <xdr:cNvPr id="5221" name="Group 2494"/>
        <xdr:cNvGrpSpPr>
          <a:grpSpLocks/>
        </xdr:cNvGrpSpPr>
      </xdr:nvGrpSpPr>
      <xdr:grpSpPr bwMode="auto">
        <a:xfrm>
          <a:off x="16528473" y="9317182"/>
          <a:ext cx="865909" cy="762000"/>
          <a:chOff x="1900" y="840"/>
          <a:chExt cx="100" cy="80"/>
        </a:xfrm>
      </xdr:grpSpPr>
      <xdr:sp macro="" textlink="">
        <xdr:nvSpPr>
          <xdr:cNvPr id="5582" name="Line 2478"/>
          <xdr:cNvSpPr>
            <a:spLocks noChangeShapeType="1"/>
          </xdr:cNvSpPr>
        </xdr:nvSpPr>
        <xdr:spPr bwMode="auto">
          <a:xfrm>
            <a:off x="1900" y="910"/>
            <a:ext cx="0" cy="10"/>
          </a:xfrm>
          <a:prstGeom prst="line">
            <a:avLst/>
          </a:prstGeom>
          <a:noFill/>
          <a:ln w="9525">
            <a:solidFill>
              <a:srgbClr val="FFFFFF"/>
            </a:solidFill>
            <a:round/>
            <a:headEnd/>
            <a:tailEnd/>
          </a:ln>
        </xdr:spPr>
      </xdr:sp>
      <xdr:grpSp>
        <xdr:nvGrpSpPr>
          <xdr:cNvPr id="5583" name="Group 2493"/>
          <xdr:cNvGrpSpPr>
            <a:grpSpLocks/>
          </xdr:cNvGrpSpPr>
        </xdr:nvGrpSpPr>
        <xdr:grpSpPr bwMode="auto">
          <a:xfrm>
            <a:off x="1900" y="840"/>
            <a:ext cx="100" cy="70"/>
            <a:chOff x="1900" y="840"/>
            <a:chExt cx="100" cy="70"/>
          </a:xfrm>
        </xdr:grpSpPr>
        <xdr:sp macro="" textlink="">
          <xdr:nvSpPr>
            <xdr:cNvPr id="2543" name="Text Box 2480"/>
            <xdr:cNvSpPr txBox="1">
              <a:spLocks noChangeArrowheads="1"/>
            </xdr:cNvSpPr>
          </xdr:nvSpPr>
          <xdr:spPr bwMode="auto">
            <a:xfrm>
              <a:off x="1900" y="840"/>
              <a:ext cx="100" cy="50"/>
            </a:xfrm>
            <a:prstGeom prst="rect">
              <a:avLst/>
            </a:prstGeom>
            <a:noFill/>
            <a:ln>
              <a:noFill/>
            </a:ln>
            <a:extLst/>
          </xdr:spPr>
          <xdr:txBody>
            <a:bodyPr vertOverflow="clip" wrap="square" lIns="0" tIns="0" rIns="27432" bIns="27432" anchor="b" upright="1"/>
            <a:lstStyle/>
            <a:p>
              <a:pPr algn="l" rtl="0">
                <a:defRPr sz="1000"/>
              </a:pPr>
              <a:r>
                <a:rPr lang="en-US" sz="800" b="0" i="0" u="none" strike="noStrike" baseline="0">
                  <a:solidFill>
                    <a:srgbClr val="000000"/>
                  </a:solidFill>
                  <a:latin typeface="Arial Narrow"/>
                </a:rPr>
                <a:t>TO EO STRIPPER</a:t>
              </a:r>
              <a:endParaRPr lang="en-US"/>
            </a:p>
          </xdr:txBody>
        </xdr:sp>
        <xdr:grpSp>
          <xdr:nvGrpSpPr>
            <xdr:cNvPr id="5585" name="Group 2481"/>
            <xdr:cNvGrpSpPr>
              <a:grpSpLocks/>
            </xdr:cNvGrpSpPr>
          </xdr:nvGrpSpPr>
          <xdr:grpSpPr bwMode="auto">
            <a:xfrm>
              <a:off x="1900" y="890"/>
              <a:ext cx="100" cy="20"/>
              <a:chOff x="1840" y="1050"/>
              <a:chExt cx="100" cy="20"/>
            </a:xfrm>
          </xdr:grpSpPr>
          <xdr:grpSp>
            <xdr:nvGrpSpPr>
              <xdr:cNvPr id="5586" name="Group 2482"/>
              <xdr:cNvGrpSpPr>
                <a:grpSpLocks/>
              </xdr:cNvGrpSpPr>
            </xdr:nvGrpSpPr>
            <xdr:grpSpPr bwMode="auto">
              <a:xfrm>
                <a:off x="1840" y="1050"/>
                <a:ext cx="100" cy="20"/>
                <a:chOff x="1840" y="1050"/>
                <a:chExt cx="100" cy="20"/>
              </a:xfrm>
            </xdr:grpSpPr>
            <xdr:sp macro="" textlink="">
              <xdr:nvSpPr>
                <xdr:cNvPr id="2554" name="Rectangle 2483"/>
                <xdr:cNvSpPr>
                  <a:spLocks noChangeArrowheads="1"/>
                </xdr:cNvSpPr>
              </xdr:nvSpPr>
              <xdr:spPr bwMode="auto">
                <a:xfrm flipH="1">
                  <a:off x="1840" y="1050"/>
                  <a:ext cx="93" cy="20"/>
                </a:xfrm>
                <a:prstGeom prst="rect">
                  <a:avLst/>
                </a:prstGeom>
                <a:noFill/>
                <a:ln>
                  <a:noFill/>
                </a:ln>
                <a:effectLs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a:t>
                  </a:r>
                  <a:endParaRPr lang="en-US"/>
                </a:p>
              </xdr:txBody>
            </xdr:sp>
            <xdr:sp macro="" textlink="">
              <xdr:nvSpPr>
                <xdr:cNvPr id="5596" name="AutoShape 2484"/>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587" name="Group 2485"/>
              <xdr:cNvGrpSpPr>
                <a:grpSpLocks/>
              </xdr:cNvGrpSpPr>
            </xdr:nvGrpSpPr>
            <xdr:grpSpPr bwMode="auto">
              <a:xfrm>
                <a:off x="1840" y="1050"/>
                <a:ext cx="100" cy="20"/>
                <a:chOff x="1840" y="1050"/>
                <a:chExt cx="100" cy="20"/>
              </a:xfrm>
            </xdr:grpSpPr>
            <xdr:grpSp>
              <xdr:nvGrpSpPr>
                <xdr:cNvPr id="5588" name="Group 2486"/>
                <xdr:cNvGrpSpPr>
                  <a:grpSpLocks/>
                </xdr:cNvGrpSpPr>
              </xdr:nvGrpSpPr>
              <xdr:grpSpPr bwMode="auto">
                <a:xfrm>
                  <a:off x="1933" y="1050"/>
                  <a:ext cx="7" cy="20"/>
                  <a:chOff x="1893" y="1050"/>
                  <a:chExt cx="7" cy="20"/>
                </a:xfrm>
              </xdr:grpSpPr>
              <xdr:sp macro="" textlink="">
                <xdr:nvSpPr>
                  <xdr:cNvPr id="5593" name="Line 2487"/>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594" name="Line 2488"/>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589" name="Group 2489"/>
                <xdr:cNvGrpSpPr>
                  <a:grpSpLocks/>
                </xdr:cNvGrpSpPr>
              </xdr:nvGrpSpPr>
              <xdr:grpSpPr bwMode="auto">
                <a:xfrm>
                  <a:off x="1840" y="1050"/>
                  <a:ext cx="93" cy="20"/>
                  <a:chOff x="1840" y="1050"/>
                  <a:chExt cx="93" cy="20"/>
                </a:xfrm>
              </xdr:grpSpPr>
              <xdr:sp macro="" textlink="">
                <xdr:nvSpPr>
                  <xdr:cNvPr id="5590" name="Line 2490"/>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591" name="Line 2491"/>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592" name="Line 2492"/>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grpSp>
    </xdr:grpSp>
    <xdr:clientData/>
  </xdr:twoCellAnchor>
  <xdr:twoCellAnchor editAs="oneCell">
    <xdr:from>
      <xdr:col>30</xdr:col>
      <xdr:colOff>9525</xdr:colOff>
      <xdr:row>27</xdr:row>
      <xdr:rowOff>0</xdr:rowOff>
    </xdr:from>
    <xdr:to>
      <xdr:col>30</xdr:col>
      <xdr:colOff>9525</xdr:colOff>
      <xdr:row>30</xdr:row>
      <xdr:rowOff>0</xdr:rowOff>
    </xdr:to>
    <xdr:sp macro="" textlink="">
      <xdr:nvSpPr>
        <xdr:cNvPr id="5222" name="Line 242"/>
        <xdr:cNvSpPr>
          <a:spLocks noChangeShapeType="1"/>
        </xdr:cNvSpPr>
      </xdr:nvSpPr>
      <xdr:spPr bwMode="auto">
        <a:xfrm flipH="1" flipV="1">
          <a:off x="5204980" y="5143500"/>
          <a:ext cx="0" cy="571500"/>
        </a:xfrm>
        <a:prstGeom prst="line">
          <a:avLst/>
        </a:prstGeom>
        <a:noFill/>
        <a:ln w="28575">
          <a:solidFill>
            <a:srgbClr val="000000"/>
          </a:solidFill>
          <a:round/>
          <a:headEnd/>
          <a:tailEnd type="triangle" w="med" len="med"/>
        </a:ln>
      </xdr:spPr>
    </xdr:sp>
    <xdr:clientData/>
  </xdr:twoCellAnchor>
  <xdr:twoCellAnchor editAs="oneCell">
    <xdr:from>
      <xdr:col>29</xdr:col>
      <xdr:colOff>0</xdr:colOff>
      <xdr:row>30</xdr:row>
      <xdr:rowOff>0</xdr:rowOff>
    </xdr:from>
    <xdr:to>
      <xdr:col>31</xdr:col>
      <xdr:colOff>0</xdr:colOff>
      <xdr:row>32</xdr:row>
      <xdr:rowOff>0</xdr:rowOff>
    </xdr:to>
    <xdr:grpSp>
      <xdr:nvGrpSpPr>
        <xdr:cNvPr id="5223" name="Group 2556"/>
        <xdr:cNvGrpSpPr>
          <a:grpSpLocks/>
        </xdr:cNvGrpSpPr>
      </xdr:nvGrpSpPr>
      <xdr:grpSpPr bwMode="auto">
        <a:xfrm>
          <a:off x="5022273" y="6078682"/>
          <a:ext cx="346363" cy="381000"/>
          <a:chOff x="0" y="0"/>
          <a:chExt cx="38" cy="40"/>
        </a:xfrm>
      </xdr:grpSpPr>
      <xdr:sp macro="" textlink="">
        <xdr:nvSpPr>
          <xdr:cNvPr id="5575" name="Oval 2557"/>
          <xdr:cNvSpPr>
            <a:spLocks noChangeArrowheads="1"/>
          </xdr:cNvSpPr>
        </xdr:nvSpPr>
        <xdr:spPr bwMode="auto">
          <a:xfrm>
            <a:off x="0" y="0"/>
            <a:ext cx="38" cy="40"/>
          </a:xfrm>
          <a:prstGeom prst="ellipse">
            <a:avLst/>
          </a:prstGeom>
          <a:noFill/>
          <a:ln w="9525">
            <a:solidFill>
              <a:srgbClr val="000000"/>
            </a:solidFill>
            <a:round/>
            <a:headEnd/>
            <a:tailEnd/>
          </a:ln>
        </xdr:spPr>
      </xdr:sp>
      <xdr:grpSp>
        <xdr:nvGrpSpPr>
          <xdr:cNvPr id="5576" name="Group 2558"/>
          <xdr:cNvGrpSpPr>
            <a:grpSpLocks/>
          </xdr:cNvGrpSpPr>
        </xdr:nvGrpSpPr>
        <xdr:grpSpPr bwMode="auto">
          <a:xfrm>
            <a:off x="11" y="0"/>
            <a:ext cx="16" cy="40"/>
            <a:chOff x="11" y="0"/>
            <a:chExt cx="16" cy="40"/>
          </a:xfrm>
        </xdr:grpSpPr>
        <xdr:sp macro="" textlink="">
          <xdr:nvSpPr>
            <xdr:cNvPr id="5577" name="Line 432"/>
            <xdr:cNvSpPr>
              <a:spLocks noChangeShapeType="1"/>
            </xdr:cNvSpPr>
          </xdr:nvSpPr>
          <xdr:spPr bwMode="auto">
            <a:xfrm>
              <a:off x="19" y="7"/>
              <a:ext cx="8" cy="0"/>
            </a:xfrm>
            <a:prstGeom prst="line">
              <a:avLst/>
            </a:prstGeom>
            <a:noFill/>
            <a:ln w="9525">
              <a:solidFill>
                <a:srgbClr val="000000"/>
              </a:solidFill>
              <a:prstDash val="dash"/>
              <a:round/>
              <a:headEnd/>
              <a:tailEnd/>
            </a:ln>
          </xdr:spPr>
        </xdr:sp>
        <xdr:sp macro="" textlink="">
          <xdr:nvSpPr>
            <xdr:cNvPr id="5578" name="Line 433"/>
            <xdr:cNvSpPr>
              <a:spLocks noChangeShapeType="1"/>
            </xdr:cNvSpPr>
          </xdr:nvSpPr>
          <xdr:spPr bwMode="auto">
            <a:xfrm flipH="1">
              <a:off x="11" y="33"/>
              <a:ext cx="8" cy="0"/>
            </a:xfrm>
            <a:prstGeom prst="line">
              <a:avLst/>
            </a:prstGeom>
            <a:noFill/>
            <a:ln w="9525">
              <a:solidFill>
                <a:srgbClr val="000000"/>
              </a:solidFill>
              <a:prstDash val="dash"/>
              <a:round/>
              <a:headEnd/>
              <a:tailEnd/>
            </a:ln>
          </xdr:spPr>
        </xdr:sp>
        <xdr:sp macro="" textlink="">
          <xdr:nvSpPr>
            <xdr:cNvPr id="5579" name="Line 434"/>
            <xdr:cNvSpPr>
              <a:spLocks noChangeShapeType="1"/>
            </xdr:cNvSpPr>
          </xdr:nvSpPr>
          <xdr:spPr bwMode="auto">
            <a:xfrm>
              <a:off x="19" y="0"/>
              <a:ext cx="0" cy="7"/>
            </a:xfrm>
            <a:prstGeom prst="line">
              <a:avLst/>
            </a:prstGeom>
            <a:noFill/>
            <a:ln w="9525">
              <a:solidFill>
                <a:srgbClr val="000000"/>
              </a:solidFill>
              <a:prstDash val="dash"/>
              <a:round/>
              <a:headEnd/>
              <a:tailEnd/>
            </a:ln>
          </xdr:spPr>
        </xdr:sp>
        <xdr:sp macro="" textlink="">
          <xdr:nvSpPr>
            <xdr:cNvPr id="5580" name="Line 435"/>
            <xdr:cNvSpPr>
              <a:spLocks noChangeShapeType="1"/>
            </xdr:cNvSpPr>
          </xdr:nvSpPr>
          <xdr:spPr bwMode="auto">
            <a:xfrm>
              <a:off x="19" y="33"/>
              <a:ext cx="0" cy="7"/>
            </a:xfrm>
            <a:prstGeom prst="line">
              <a:avLst/>
            </a:prstGeom>
            <a:noFill/>
            <a:ln w="9525">
              <a:solidFill>
                <a:srgbClr val="000000"/>
              </a:solidFill>
              <a:prstDash val="dash"/>
              <a:round/>
              <a:headEnd/>
              <a:tailEnd/>
            </a:ln>
          </xdr:spPr>
        </xdr:sp>
        <xdr:sp macro="" textlink="">
          <xdr:nvSpPr>
            <xdr:cNvPr id="5581" name="Line 436"/>
            <xdr:cNvSpPr>
              <a:spLocks noChangeShapeType="1"/>
            </xdr:cNvSpPr>
          </xdr:nvSpPr>
          <xdr:spPr bwMode="auto">
            <a:xfrm flipV="1">
              <a:off x="11" y="7"/>
              <a:ext cx="16" cy="26"/>
            </a:xfrm>
            <a:prstGeom prst="line">
              <a:avLst/>
            </a:prstGeom>
            <a:noFill/>
            <a:ln w="9525">
              <a:solidFill>
                <a:srgbClr val="000000"/>
              </a:solidFill>
              <a:prstDash val="dash"/>
              <a:round/>
              <a:headEnd/>
              <a:tailEnd/>
            </a:ln>
          </xdr:spPr>
        </xdr:sp>
      </xdr:grpSp>
    </xdr:grpSp>
    <xdr:clientData/>
  </xdr:twoCellAnchor>
  <xdr:twoCellAnchor editAs="oneCell">
    <xdr:from>
      <xdr:col>31</xdr:col>
      <xdr:colOff>9525</xdr:colOff>
      <xdr:row>31</xdr:row>
      <xdr:rowOff>0</xdr:rowOff>
    </xdr:from>
    <xdr:to>
      <xdr:col>34</xdr:col>
      <xdr:colOff>104775</xdr:colOff>
      <xdr:row>31</xdr:row>
      <xdr:rowOff>0</xdr:rowOff>
    </xdr:to>
    <xdr:sp macro="" textlink="">
      <xdr:nvSpPr>
        <xdr:cNvPr id="5224" name="Line 242"/>
        <xdr:cNvSpPr>
          <a:spLocks noChangeShapeType="1"/>
        </xdr:cNvSpPr>
      </xdr:nvSpPr>
      <xdr:spPr bwMode="auto">
        <a:xfrm flipV="1">
          <a:off x="5378161" y="5905500"/>
          <a:ext cx="614796" cy="0"/>
        </a:xfrm>
        <a:prstGeom prst="line">
          <a:avLst/>
        </a:prstGeom>
        <a:noFill/>
        <a:ln w="28575">
          <a:solidFill>
            <a:srgbClr val="000000"/>
          </a:solidFill>
          <a:round/>
          <a:headEnd/>
          <a:tailEnd type="triangle" w="med" len="med"/>
        </a:ln>
      </xdr:spPr>
    </xdr:sp>
    <xdr:clientData/>
  </xdr:twoCellAnchor>
  <xdr:twoCellAnchor editAs="oneCell">
    <xdr:from>
      <xdr:col>34</xdr:col>
      <xdr:colOff>95250</xdr:colOff>
      <xdr:row>31</xdr:row>
      <xdr:rowOff>9525</xdr:rowOff>
    </xdr:from>
    <xdr:to>
      <xdr:col>34</xdr:col>
      <xdr:colOff>95250</xdr:colOff>
      <xdr:row>36</xdr:row>
      <xdr:rowOff>9525</xdr:rowOff>
    </xdr:to>
    <xdr:sp macro="" textlink="">
      <xdr:nvSpPr>
        <xdr:cNvPr id="5225" name="Line 274"/>
        <xdr:cNvSpPr>
          <a:spLocks noChangeShapeType="1"/>
        </xdr:cNvSpPr>
      </xdr:nvSpPr>
      <xdr:spPr bwMode="auto">
        <a:xfrm flipH="1">
          <a:off x="5983432" y="5915025"/>
          <a:ext cx="0" cy="952500"/>
        </a:xfrm>
        <a:prstGeom prst="line">
          <a:avLst/>
        </a:prstGeom>
        <a:noFill/>
        <a:ln w="28575">
          <a:solidFill>
            <a:srgbClr val="000000"/>
          </a:solidFill>
          <a:round/>
          <a:headEnd/>
          <a:tailEnd type="triangle" w="med" len="med"/>
        </a:ln>
      </xdr:spPr>
    </xdr:sp>
    <xdr:clientData/>
  </xdr:twoCellAnchor>
  <xdr:twoCellAnchor editAs="oneCell">
    <xdr:from>
      <xdr:col>33</xdr:col>
      <xdr:colOff>85725</xdr:colOff>
      <xdr:row>36</xdr:row>
      <xdr:rowOff>0</xdr:rowOff>
    </xdr:from>
    <xdr:to>
      <xdr:col>39</xdr:col>
      <xdr:colOff>76200</xdr:colOff>
      <xdr:row>42</xdr:row>
      <xdr:rowOff>123825</xdr:rowOff>
    </xdr:to>
    <xdr:grpSp>
      <xdr:nvGrpSpPr>
        <xdr:cNvPr id="5226" name="Group 1523"/>
        <xdr:cNvGrpSpPr>
          <a:grpSpLocks/>
        </xdr:cNvGrpSpPr>
      </xdr:nvGrpSpPr>
      <xdr:grpSpPr bwMode="auto">
        <a:xfrm rot="5400000">
          <a:off x="5682095" y="7340312"/>
          <a:ext cx="1266825" cy="1029566"/>
          <a:chOff x="1860" y="467"/>
          <a:chExt cx="140" cy="113"/>
        </a:xfrm>
      </xdr:grpSpPr>
      <xdr:grpSp>
        <xdr:nvGrpSpPr>
          <xdr:cNvPr id="5563" name="Group 1506"/>
          <xdr:cNvGrpSpPr>
            <a:grpSpLocks/>
          </xdr:cNvGrpSpPr>
        </xdr:nvGrpSpPr>
        <xdr:grpSpPr bwMode="auto">
          <a:xfrm>
            <a:off x="1860" y="540"/>
            <a:ext cx="140" cy="40"/>
            <a:chOff x="700" y="600"/>
            <a:chExt cx="140" cy="40"/>
          </a:xfrm>
        </xdr:grpSpPr>
        <xdr:grpSp>
          <xdr:nvGrpSpPr>
            <xdr:cNvPr id="5565" name="Group 1507"/>
            <xdr:cNvGrpSpPr>
              <a:grpSpLocks/>
            </xdr:cNvGrpSpPr>
          </xdr:nvGrpSpPr>
          <xdr:grpSpPr bwMode="auto">
            <a:xfrm flipH="1">
              <a:off x="700" y="600"/>
              <a:ext cx="14" cy="40"/>
              <a:chOff x="256" y="166"/>
              <a:chExt cx="24" cy="60"/>
            </a:xfrm>
          </xdr:grpSpPr>
          <xdr:sp macro="" textlink="">
            <xdr:nvSpPr>
              <xdr:cNvPr id="5572" name="Arc 1508"/>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73" name="Arc 1509"/>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74" name="Line 1510"/>
              <xdr:cNvSpPr>
                <a:spLocks noChangeShapeType="1"/>
              </xdr:cNvSpPr>
            </xdr:nvSpPr>
            <xdr:spPr bwMode="auto">
              <a:xfrm>
                <a:off x="256" y="166"/>
                <a:ext cx="0" cy="60"/>
              </a:xfrm>
              <a:prstGeom prst="line">
                <a:avLst/>
              </a:prstGeom>
              <a:noFill/>
              <a:ln w="9525">
                <a:solidFill>
                  <a:srgbClr val="000000"/>
                </a:solidFill>
                <a:round/>
                <a:headEnd/>
                <a:tailEnd/>
              </a:ln>
            </xdr:spPr>
          </xdr:sp>
        </xdr:grpSp>
        <xdr:grpSp>
          <xdr:nvGrpSpPr>
            <xdr:cNvPr id="5566" name="Group 1511"/>
            <xdr:cNvGrpSpPr>
              <a:grpSpLocks/>
            </xdr:cNvGrpSpPr>
          </xdr:nvGrpSpPr>
          <xdr:grpSpPr bwMode="auto">
            <a:xfrm>
              <a:off x="825" y="600"/>
              <a:ext cx="15" cy="40"/>
              <a:chOff x="256" y="166"/>
              <a:chExt cx="24" cy="60"/>
            </a:xfrm>
          </xdr:grpSpPr>
          <xdr:sp macro="" textlink="">
            <xdr:nvSpPr>
              <xdr:cNvPr id="5569" name="Arc 1512"/>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70" name="Arc 1513"/>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71" name="Line 1514"/>
              <xdr:cNvSpPr>
                <a:spLocks noChangeShapeType="1"/>
              </xdr:cNvSpPr>
            </xdr:nvSpPr>
            <xdr:spPr bwMode="auto">
              <a:xfrm>
                <a:off x="256" y="166"/>
                <a:ext cx="0" cy="60"/>
              </a:xfrm>
              <a:prstGeom prst="line">
                <a:avLst/>
              </a:prstGeom>
              <a:noFill/>
              <a:ln w="9525">
                <a:solidFill>
                  <a:srgbClr val="000000"/>
                </a:solidFill>
                <a:round/>
                <a:headEnd/>
                <a:tailEnd/>
              </a:ln>
            </xdr:spPr>
          </xdr:sp>
        </xdr:grpSp>
        <xdr:sp macro="" textlink="">
          <xdr:nvSpPr>
            <xdr:cNvPr id="5567" name="Line 1515"/>
            <xdr:cNvSpPr>
              <a:spLocks noChangeShapeType="1"/>
            </xdr:cNvSpPr>
          </xdr:nvSpPr>
          <xdr:spPr bwMode="auto">
            <a:xfrm>
              <a:off x="714" y="600"/>
              <a:ext cx="111" cy="0"/>
            </a:xfrm>
            <a:prstGeom prst="line">
              <a:avLst/>
            </a:prstGeom>
            <a:noFill/>
            <a:ln w="9525">
              <a:solidFill>
                <a:srgbClr val="000000"/>
              </a:solidFill>
              <a:round/>
              <a:headEnd/>
              <a:tailEnd/>
            </a:ln>
          </xdr:spPr>
        </xdr:sp>
        <xdr:sp macro="" textlink="">
          <xdr:nvSpPr>
            <xdr:cNvPr id="5568" name="Line 1516"/>
            <xdr:cNvSpPr>
              <a:spLocks noChangeShapeType="1"/>
            </xdr:cNvSpPr>
          </xdr:nvSpPr>
          <xdr:spPr bwMode="auto">
            <a:xfrm>
              <a:off x="714" y="640"/>
              <a:ext cx="111" cy="0"/>
            </a:xfrm>
            <a:prstGeom prst="line">
              <a:avLst/>
            </a:prstGeom>
            <a:noFill/>
            <a:ln w="9525">
              <a:solidFill>
                <a:srgbClr val="000000"/>
              </a:solidFill>
              <a:round/>
              <a:headEnd/>
              <a:tailEnd/>
            </a:ln>
          </xdr:spPr>
        </xdr:sp>
      </xdr:grpSp>
      <xdr:sp macro="" textlink="">
        <xdr:nvSpPr>
          <xdr:cNvPr id="2577" name="Text Box 1519"/>
          <xdr:cNvSpPr txBox="1">
            <a:spLocks noChangeArrowheads="1"/>
          </xdr:cNvSpPr>
        </xdr:nvSpPr>
        <xdr:spPr bwMode="auto">
          <a:xfrm>
            <a:off x="1880" y="461"/>
            <a:ext cx="100" cy="74"/>
          </a:xfrm>
          <a:prstGeom prst="rect">
            <a:avLst/>
          </a:prstGeom>
          <a:noFill/>
          <a:ln>
            <a:noFill/>
          </a:ln>
          <a:extLst/>
        </xdr:spPr>
        <xdr:txBody>
          <a:bodyPr vertOverflow="clip" wrap="square" lIns="27432" tIns="22860" rIns="27432" bIns="22860" anchor="ctr" upright="1"/>
          <a:lstStyle/>
          <a:p>
            <a:pPr algn="ctr" rtl="0">
              <a:defRPr sz="1000"/>
            </a:pPr>
            <a:r>
              <a:rPr lang="en-US" sz="1000" b="1" i="0" u="sng" strike="noStrike" baseline="0">
                <a:solidFill>
                  <a:srgbClr val="000000"/>
                </a:solidFill>
                <a:latin typeface="Arial Narrow"/>
              </a:rPr>
              <a:t>E-EO4120</a:t>
            </a:r>
          </a:p>
          <a:p>
            <a:pPr algn="ctr" rtl="0">
              <a:defRPr sz="1000"/>
            </a:pPr>
            <a:r>
              <a:rPr lang="en-US" sz="900" b="0" i="0" u="none" strike="noStrike" baseline="0">
                <a:solidFill>
                  <a:srgbClr val="000000"/>
                </a:solidFill>
                <a:latin typeface="+mn-lt"/>
              </a:rPr>
              <a:t>EO REACTOR</a:t>
            </a:r>
            <a:endParaRPr lang="en-US" sz="900" b="0" u="none">
              <a:latin typeface="+mn-lt"/>
            </a:endParaRPr>
          </a:p>
        </xdr:txBody>
      </xdr:sp>
    </xdr:grpSp>
    <xdr:clientData/>
  </xdr:twoCellAnchor>
  <xdr:twoCellAnchor editAs="oneCell">
    <xdr:from>
      <xdr:col>34</xdr:col>
      <xdr:colOff>104775</xdr:colOff>
      <xdr:row>42</xdr:row>
      <xdr:rowOff>133350</xdr:rowOff>
    </xdr:from>
    <xdr:to>
      <xdr:col>34</xdr:col>
      <xdr:colOff>104775</xdr:colOff>
      <xdr:row>48</xdr:row>
      <xdr:rowOff>0</xdr:rowOff>
    </xdr:to>
    <xdr:sp macro="" textlink="">
      <xdr:nvSpPr>
        <xdr:cNvPr id="5227" name="Line 274"/>
        <xdr:cNvSpPr>
          <a:spLocks noChangeShapeType="1"/>
        </xdr:cNvSpPr>
      </xdr:nvSpPr>
      <xdr:spPr bwMode="auto">
        <a:xfrm>
          <a:off x="5992957" y="8134350"/>
          <a:ext cx="0" cy="1009650"/>
        </a:xfrm>
        <a:prstGeom prst="line">
          <a:avLst/>
        </a:prstGeom>
        <a:noFill/>
        <a:ln w="28575">
          <a:solidFill>
            <a:srgbClr val="000000"/>
          </a:solidFill>
          <a:round/>
          <a:headEnd/>
          <a:tailEnd type="triangle" w="med" len="med"/>
        </a:ln>
      </xdr:spPr>
    </xdr:sp>
    <xdr:clientData/>
  </xdr:twoCellAnchor>
  <xdr:twoCellAnchor editAs="oneCell">
    <xdr:from>
      <xdr:col>30</xdr:col>
      <xdr:colOff>95250</xdr:colOff>
      <xdr:row>47</xdr:row>
      <xdr:rowOff>0</xdr:rowOff>
    </xdr:from>
    <xdr:to>
      <xdr:col>32</xdr:col>
      <xdr:colOff>95250</xdr:colOff>
      <xdr:row>49</xdr:row>
      <xdr:rowOff>0</xdr:rowOff>
    </xdr:to>
    <xdr:grpSp>
      <xdr:nvGrpSpPr>
        <xdr:cNvPr id="5228" name="Group 429"/>
        <xdr:cNvGrpSpPr>
          <a:grpSpLocks/>
        </xdr:cNvGrpSpPr>
      </xdr:nvGrpSpPr>
      <xdr:grpSpPr bwMode="auto">
        <a:xfrm>
          <a:off x="5290705" y="9317182"/>
          <a:ext cx="346363" cy="381000"/>
          <a:chOff x="380" y="600"/>
          <a:chExt cx="38" cy="40"/>
        </a:xfrm>
      </xdr:grpSpPr>
      <xdr:sp macro="" textlink="">
        <xdr:nvSpPr>
          <xdr:cNvPr id="5556"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557" name="Group 431"/>
          <xdr:cNvGrpSpPr>
            <a:grpSpLocks/>
          </xdr:cNvGrpSpPr>
        </xdr:nvGrpSpPr>
        <xdr:grpSpPr bwMode="auto">
          <a:xfrm>
            <a:off x="391" y="600"/>
            <a:ext cx="16" cy="40"/>
            <a:chOff x="797" y="600"/>
            <a:chExt cx="16" cy="40"/>
          </a:xfrm>
        </xdr:grpSpPr>
        <xdr:sp macro="" textlink="">
          <xdr:nvSpPr>
            <xdr:cNvPr id="5558"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559"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560"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561"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562"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31</xdr:col>
      <xdr:colOff>101600</xdr:colOff>
      <xdr:row>49</xdr:row>
      <xdr:rowOff>0</xdr:rowOff>
    </xdr:from>
    <xdr:to>
      <xdr:col>31</xdr:col>
      <xdr:colOff>101600</xdr:colOff>
      <xdr:row>49</xdr:row>
      <xdr:rowOff>95250</xdr:rowOff>
    </xdr:to>
    <xdr:cxnSp macro="">
      <xdr:nvCxnSpPr>
        <xdr:cNvPr id="2623" name="Straight Connector 2622"/>
        <xdr:cNvCxnSpPr>
          <a:stCxn id="5556" idx="4"/>
        </xdr:cNvCxnSpPr>
      </xdr:nvCxnSpPr>
      <xdr:spPr>
        <a:xfrm>
          <a:off x="5470236" y="9334500"/>
          <a:ext cx="0" cy="9525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101600</xdr:colOff>
      <xdr:row>46</xdr:row>
      <xdr:rowOff>90488</xdr:rowOff>
    </xdr:from>
    <xdr:to>
      <xdr:col>31</xdr:col>
      <xdr:colOff>101600</xdr:colOff>
      <xdr:row>47</xdr:row>
      <xdr:rowOff>0</xdr:rowOff>
    </xdr:to>
    <xdr:cxnSp macro="">
      <xdr:nvCxnSpPr>
        <xdr:cNvPr id="2625" name="Straight Connector 2624"/>
        <xdr:cNvCxnSpPr>
          <a:stCxn id="5556" idx="0"/>
        </xdr:cNvCxnSpPr>
      </xdr:nvCxnSpPr>
      <xdr:spPr>
        <a:xfrm flipV="1">
          <a:off x="5470236" y="8853488"/>
          <a:ext cx="0" cy="100012"/>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101600</xdr:colOff>
      <xdr:row>46</xdr:row>
      <xdr:rowOff>95250</xdr:rowOff>
    </xdr:from>
    <xdr:to>
      <xdr:col>32</xdr:col>
      <xdr:colOff>106741</xdr:colOff>
      <xdr:row>46</xdr:row>
      <xdr:rowOff>95260</xdr:rowOff>
    </xdr:to>
    <xdr:cxnSp macro="">
      <xdr:nvCxnSpPr>
        <xdr:cNvPr id="2626" name="Straight Connector 2625"/>
        <xdr:cNvCxnSpPr/>
      </xdr:nvCxnSpPr>
      <xdr:spPr>
        <a:xfrm flipV="1">
          <a:off x="5470236" y="8858250"/>
          <a:ext cx="178323" cy="1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99218</xdr:colOff>
      <xdr:row>46</xdr:row>
      <xdr:rowOff>95250</xdr:rowOff>
    </xdr:from>
    <xdr:to>
      <xdr:col>32</xdr:col>
      <xdr:colOff>118268</xdr:colOff>
      <xdr:row>46</xdr:row>
      <xdr:rowOff>95250</xdr:rowOff>
    </xdr:to>
    <xdr:cxnSp macro="">
      <xdr:nvCxnSpPr>
        <xdr:cNvPr id="2627" name="Straight Connector 2626"/>
        <xdr:cNvCxnSpPr/>
      </xdr:nvCxnSpPr>
      <xdr:spPr>
        <a:xfrm flipH="1">
          <a:off x="5641036" y="8858250"/>
          <a:ext cx="19050" cy="0"/>
        </a:xfrm>
        <a:prstGeom prst="line">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101609</xdr:colOff>
      <xdr:row>49</xdr:row>
      <xdr:rowOff>100003</xdr:rowOff>
    </xdr:from>
    <xdr:to>
      <xdr:col>33</xdr:col>
      <xdr:colOff>1979</xdr:colOff>
      <xdr:row>49</xdr:row>
      <xdr:rowOff>100013</xdr:rowOff>
    </xdr:to>
    <xdr:cxnSp macro="">
      <xdr:nvCxnSpPr>
        <xdr:cNvPr id="2628" name="Straight Connector 2627"/>
        <xdr:cNvCxnSpPr/>
      </xdr:nvCxnSpPr>
      <xdr:spPr>
        <a:xfrm>
          <a:off x="5470245" y="9434503"/>
          <a:ext cx="246734" cy="10"/>
        </a:xfrm>
        <a:prstGeom prst="line">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92075</xdr:colOff>
      <xdr:row>48</xdr:row>
      <xdr:rowOff>0</xdr:rowOff>
    </xdr:from>
    <xdr:to>
      <xdr:col>34</xdr:col>
      <xdr:colOff>116096</xdr:colOff>
      <xdr:row>48</xdr:row>
      <xdr:rowOff>0</xdr:rowOff>
    </xdr:to>
    <xdr:cxnSp macro="">
      <xdr:nvCxnSpPr>
        <xdr:cNvPr id="98" name="Straight Connector 97"/>
        <xdr:cNvCxnSpPr>
          <a:stCxn id="5556" idx="6"/>
          <a:endCxn id="5227" idx="1"/>
        </xdr:cNvCxnSpPr>
      </xdr:nvCxnSpPr>
      <xdr:spPr>
        <a:xfrm>
          <a:off x="5633893" y="9144000"/>
          <a:ext cx="370385"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173038</xdr:colOff>
      <xdr:row>48</xdr:row>
      <xdr:rowOff>0</xdr:rowOff>
    </xdr:from>
    <xdr:to>
      <xdr:col>30</xdr:col>
      <xdr:colOff>92075</xdr:colOff>
      <xdr:row>48</xdr:row>
      <xdr:rowOff>0</xdr:rowOff>
    </xdr:to>
    <xdr:cxnSp macro="">
      <xdr:nvCxnSpPr>
        <xdr:cNvPr id="2634" name="Straight Connector 2633"/>
        <xdr:cNvCxnSpPr>
          <a:endCxn id="5556" idx="2"/>
        </xdr:cNvCxnSpPr>
      </xdr:nvCxnSpPr>
      <xdr:spPr>
        <a:xfrm>
          <a:off x="5195311" y="9144000"/>
          <a:ext cx="92219"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95250</xdr:colOff>
      <xdr:row>53</xdr:row>
      <xdr:rowOff>9525</xdr:rowOff>
    </xdr:from>
    <xdr:to>
      <xdr:col>73</xdr:col>
      <xdr:colOff>19050</xdr:colOff>
      <xdr:row>53</xdr:row>
      <xdr:rowOff>9525</xdr:rowOff>
    </xdr:to>
    <xdr:cxnSp macro="">
      <xdr:nvCxnSpPr>
        <xdr:cNvPr id="5236" name="Straight Connector 2644"/>
        <xdr:cNvCxnSpPr>
          <a:cxnSpLocks noChangeShapeType="1"/>
        </xdr:cNvCxnSpPr>
      </xdr:nvCxnSpPr>
      <xdr:spPr bwMode="auto">
        <a:xfrm>
          <a:off x="1653886" y="10106025"/>
          <a:ext cx="11007437" cy="0"/>
        </a:xfrm>
        <a:prstGeom prst="line">
          <a:avLst/>
        </a:prstGeom>
        <a:noFill/>
        <a:ln w="25400" algn="ctr">
          <a:solidFill>
            <a:srgbClr val="000000"/>
          </a:solidFill>
          <a:round/>
          <a:headEnd type="triangle" w="med" len="med"/>
          <a:tailEnd/>
        </a:ln>
      </xdr:spPr>
    </xdr:cxnSp>
    <xdr:clientData/>
  </xdr:twoCellAnchor>
  <xdr:twoCellAnchor editAs="oneCell">
    <xdr:from>
      <xdr:col>67</xdr:col>
      <xdr:colOff>171450</xdr:colOff>
      <xdr:row>54</xdr:row>
      <xdr:rowOff>57150</xdr:rowOff>
    </xdr:from>
    <xdr:to>
      <xdr:col>74</xdr:col>
      <xdr:colOff>19050</xdr:colOff>
      <xdr:row>60</xdr:row>
      <xdr:rowOff>180975</xdr:rowOff>
    </xdr:to>
    <xdr:grpSp>
      <xdr:nvGrpSpPr>
        <xdr:cNvPr id="5237" name="Group 1523"/>
        <xdr:cNvGrpSpPr>
          <a:grpSpLocks/>
        </xdr:cNvGrpSpPr>
      </xdr:nvGrpSpPr>
      <xdr:grpSpPr bwMode="auto">
        <a:xfrm rot="5400000">
          <a:off x="11671156" y="10811308"/>
          <a:ext cx="1266825" cy="1059873"/>
          <a:chOff x="1860" y="540"/>
          <a:chExt cx="140" cy="117"/>
        </a:xfrm>
      </xdr:grpSpPr>
      <xdr:grpSp>
        <xdr:nvGrpSpPr>
          <xdr:cNvPr id="5544" name="Group 1506"/>
          <xdr:cNvGrpSpPr>
            <a:grpSpLocks/>
          </xdr:cNvGrpSpPr>
        </xdr:nvGrpSpPr>
        <xdr:grpSpPr bwMode="auto">
          <a:xfrm>
            <a:off x="1860" y="540"/>
            <a:ext cx="140" cy="40"/>
            <a:chOff x="700" y="600"/>
            <a:chExt cx="140" cy="40"/>
          </a:xfrm>
        </xdr:grpSpPr>
        <xdr:grpSp>
          <xdr:nvGrpSpPr>
            <xdr:cNvPr id="5546" name="Group 1507"/>
            <xdr:cNvGrpSpPr>
              <a:grpSpLocks/>
            </xdr:cNvGrpSpPr>
          </xdr:nvGrpSpPr>
          <xdr:grpSpPr bwMode="auto">
            <a:xfrm flipH="1">
              <a:off x="700" y="600"/>
              <a:ext cx="14" cy="40"/>
              <a:chOff x="256" y="166"/>
              <a:chExt cx="24" cy="60"/>
            </a:xfrm>
          </xdr:grpSpPr>
          <xdr:sp macro="" textlink="">
            <xdr:nvSpPr>
              <xdr:cNvPr id="5553" name="Arc 1508"/>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54" name="Arc 1509"/>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55" name="Line 1510"/>
              <xdr:cNvSpPr>
                <a:spLocks noChangeShapeType="1"/>
              </xdr:cNvSpPr>
            </xdr:nvSpPr>
            <xdr:spPr bwMode="auto">
              <a:xfrm>
                <a:off x="256" y="166"/>
                <a:ext cx="0" cy="60"/>
              </a:xfrm>
              <a:prstGeom prst="line">
                <a:avLst/>
              </a:prstGeom>
              <a:noFill/>
              <a:ln w="9525">
                <a:solidFill>
                  <a:srgbClr val="000000"/>
                </a:solidFill>
                <a:round/>
                <a:headEnd/>
                <a:tailEnd/>
              </a:ln>
            </xdr:spPr>
          </xdr:sp>
        </xdr:grpSp>
        <xdr:grpSp>
          <xdr:nvGrpSpPr>
            <xdr:cNvPr id="5547" name="Group 1511"/>
            <xdr:cNvGrpSpPr>
              <a:grpSpLocks/>
            </xdr:cNvGrpSpPr>
          </xdr:nvGrpSpPr>
          <xdr:grpSpPr bwMode="auto">
            <a:xfrm>
              <a:off x="825" y="600"/>
              <a:ext cx="15" cy="40"/>
              <a:chOff x="256" y="166"/>
              <a:chExt cx="24" cy="60"/>
            </a:xfrm>
          </xdr:grpSpPr>
          <xdr:sp macro="" textlink="">
            <xdr:nvSpPr>
              <xdr:cNvPr id="5550" name="Arc 1512"/>
              <xdr:cNvSpPr>
                <a:spLocks/>
              </xdr:cNvSpPr>
            </xdr:nvSpPr>
            <xdr:spPr bwMode="auto">
              <a:xfrm>
                <a:off x="256" y="16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51" name="Arc 1513"/>
              <xdr:cNvSpPr>
                <a:spLocks/>
              </xdr:cNvSpPr>
            </xdr:nvSpPr>
            <xdr:spPr bwMode="auto">
              <a:xfrm flipV="1">
                <a:off x="256" y="196"/>
                <a:ext cx="24" cy="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52" name="Line 1514"/>
              <xdr:cNvSpPr>
                <a:spLocks noChangeShapeType="1"/>
              </xdr:cNvSpPr>
            </xdr:nvSpPr>
            <xdr:spPr bwMode="auto">
              <a:xfrm>
                <a:off x="256" y="166"/>
                <a:ext cx="0" cy="60"/>
              </a:xfrm>
              <a:prstGeom prst="line">
                <a:avLst/>
              </a:prstGeom>
              <a:noFill/>
              <a:ln w="9525">
                <a:solidFill>
                  <a:srgbClr val="000000"/>
                </a:solidFill>
                <a:round/>
                <a:headEnd/>
                <a:tailEnd/>
              </a:ln>
            </xdr:spPr>
          </xdr:sp>
        </xdr:grpSp>
        <xdr:sp macro="" textlink="">
          <xdr:nvSpPr>
            <xdr:cNvPr id="5548" name="Line 1515"/>
            <xdr:cNvSpPr>
              <a:spLocks noChangeShapeType="1"/>
            </xdr:cNvSpPr>
          </xdr:nvSpPr>
          <xdr:spPr bwMode="auto">
            <a:xfrm>
              <a:off x="714" y="600"/>
              <a:ext cx="111" cy="0"/>
            </a:xfrm>
            <a:prstGeom prst="line">
              <a:avLst/>
            </a:prstGeom>
            <a:noFill/>
            <a:ln w="9525">
              <a:solidFill>
                <a:srgbClr val="000000"/>
              </a:solidFill>
              <a:round/>
              <a:headEnd/>
              <a:tailEnd/>
            </a:ln>
          </xdr:spPr>
        </xdr:sp>
        <xdr:sp macro="" textlink="">
          <xdr:nvSpPr>
            <xdr:cNvPr id="5549" name="Line 1516"/>
            <xdr:cNvSpPr>
              <a:spLocks noChangeShapeType="1"/>
            </xdr:cNvSpPr>
          </xdr:nvSpPr>
          <xdr:spPr bwMode="auto">
            <a:xfrm>
              <a:off x="714" y="640"/>
              <a:ext cx="111" cy="0"/>
            </a:xfrm>
            <a:prstGeom prst="line">
              <a:avLst/>
            </a:prstGeom>
            <a:noFill/>
            <a:ln w="9525">
              <a:solidFill>
                <a:srgbClr val="000000"/>
              </a:solidFill>
              <a:round/>
              <a:headEnd/>
              <a:tailEnd/>
            </a:ln>
          </xdr:spPr>
        </xdr:sp>
      </xdr:grpSp>
      <xdr:sp macro="" textlink="">
        <xdr:nvSpPr>
          <xdr:cNvPr id="2682" name="Text Box 1519"/>
          <xdr:cNvSpPr txBox="1">
            <a:spLocks noChangeArrowheads="1"/>
          </xdr:cNvSpPr>
        </xdr:nvSpPr>
        <xdr:spPr bwMode="auto">
          <a:xfrm>
            <a:off x="1882" y="580"/>
            <a:ext cx="100" cy="77"/>
          </a:xfrm>
          <a:prstGeom prst="rect">
            <a:avLst/>
          </a:prstGeom>
          <a:noFill/>
          <a:ln>
            <a:noFill/>
          </a:ln>
          <a:extLst/>
        </xdr:spPr>
        <xdr:txBody>
          <a:bodyPr vertOverflow="clip" wrap="square" lIns="27432" tIns="22860" rIns="27432" bIns="22860" anchor="ctr" upright="1"/>
          <a:lstStyle/>
          <a:p>
            <a:pPr algn="ctr" rtl="0">
              <a:defRPr sz="1000"/>
            </a:pPr>
            <a:r>
              <a:rPr lang="en-US" sz="1000" b="1" i="0" u="sng" strike="noStrike" baseline="0">
                <a:solidFill>
                  <a:srgbClr val="000000"/>
                </a:solidFill>
                <a:latin typeface="Arial Narrow"/>
              </a:rPr>
              <a:t>V-EO4211</a:t>
            </a:r>
          </a:p>
          <a:p>
            <a:pPr algn="ctr" rtl="0">
              <a:defRPr sz="1000"/>
            </a:pPr>
            <a:r>
              <a:rPr lang="en-US" sz="900" i="0" baseline="0"/>
              <a:t>WATER</a:t>
            </a:r>
          </a:p>
          <a:p>
            <a:pPr algn="ctr" rtl="0">
              <a:defRPr sz="1000"/>
            </a:pPr>
            <a:r>
              <a:rPr lang="en-US" sz="900" i="0" baseline="0"/>
              <a:t>KO DRUM</a:t>
            </a:r>
            <a:endParaRPr lang="en-US" sz="900" i="0"/>
          </a:p>
        </xdr:txBody>
      </xdr:sp>
    </xdr:grpSp>
    <xdr:clientData/>
  </xdr:twoCellAnchor>
  <xdr:twoCellAnchor editAs="oneCell">
    <xdr:from>
      <xdr:col>73</xdr:col>
      <xdr:colOff>2236</xdr:colOff>
      <xdr:row>60</xdr:row>
      <xdr:rowOff>176212</xdr:rowOff>
    </xdr:from>
    <xdr:to>
      <xdr:col>73</xdr:col>
      <xdr:colOff>2238</xdr:colOff>
      <xdr:row>62</xdr:row>
      <xdr:rowOff>4762</xdr:rowOff>
    </xdr:to>
    <xdr:cxnSp macro="">
      <xdr:nvCxnSpPr>
        <xdr:cNvPr id="125" name="Straight Connector 124"/>
        <xdr:cNvCxnSpPr/>
      </xdr:nvCxnSpPr>
      <xdr:spPr>
        <a:xfrm flipH="1">
          <a:off x="12644509" y="11606212"/>
          <a:ext cx="2" cy="20955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72</xdr:col>
      <xdr:colOff>170656</xdr:colOff>
      <xdr:row>62</xdr:row>
      <xdr:rowOff>2380</xdr:rowOff>
    </xdr:from>
    <xdr:to>
      <xdr:col>75</xdr:col>
      <xdr:colOff>169222</xdr:colOff>
      <xdr:row>62</xdr:row>
      <xdr:rowOff>2381</xdr:rowOff>
    </xdr:to>
    <xdr:cxnSp macro="">
      <xdr:nvCxnSpPr>
        <xdr:cNvPr id="127" name="Straight Connector 126"/>
        <xdr:cNvCxnSpPr>
          <a:endCxn id="5399" idx="0"/>
        </xdr:cNvCxnSpPr>
      </xdr:nvCxnSpPr>
      <xdr:spPr>
        <a:xfrm flipV="1">
          <a:off x="12639747" y="11813380"/>
          <a:ext cx="518111" cy="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95</xdr:col>
      <xdr:colOff>19050</xdr:colOff>
      <xdr:row>59</xdr:row>
      <xdr:rowOff>0</xdr:rowOff>
    </xdr:from>
    <xdr:to>
      <xdr:col>100</xdr:col>
      <xdr:colOff>19050</xdr:colOff>
      <xdr:row>63</xdr:row>
      <xdr:rowOff>0</xdr:rowOff>
    </xdr:to>
    <xdr:grpSp>
      <xdr:nvGrpSpPr>
        <xdr:cNvPr id="5240" name="Group 2494"/>
        <xdr:cNvGrpSpPr>
          <a:grpSpLocks/>
        </xdr:cNvGrpSpPr>
      </xdr:nvGrpSpPr>
      <xdr:grpSpPr bwMode="auto">
        <a:xfrm>
          <a:off x="16471323" y="11603182"/>
          <a:ext cx="865909" cy="762000"/>
          <a:chOff x="1900" y="840"/>
          <a:chExt cx="100" cy="80"/>
        </a:xfrm>
      </xdr:grpSpPr>
      <xdr:sp macro="" textlink="">
        <xdr:nvSpPr>
          <xdr:cNvPr id="5529" name="Line 2478"/>
          <xdr:cNvSpPr>
            <a:spLocks noChangeShapeType="1"/>
          </xdr:cNvSpPr>
        </xdr:nvSpPr>
        <xdr:spPr bwMode="auto">
          <a:xfrm>
            <a:off x="1900" y="910"/>
            <a:ext cx="0" cy="10"/>
          </a:xfrm>
          <a:prstGeom prst="line">
            <a:avLst/>
          </a:prstGeom>
          <a:noFill/>
          <a:ln w="9525">
            <a:solidFill>
              <a:srgbClr val="FFFFFF"/>
            </a:solidFill>
            <a:round/>
            <a:headEnd/>
            <a:tailEnd/>
          </a:ln>
        </xdr:spPr>
      </xdr:sp>
      <xdr:grpSp>
        <xdr:nvGrpSpPr>
          <xdr:cNvPr id="5530" name="Group 2493"/>
          <xdr:cNvGrpSpPr>
            <a:grpSpLocks/>
          </xdr:cNvGrpSpPr>
        </xdr:nvGrpSpPr>
        <xdr:grpSpPr bwMode="auto">
          <a:xfrm>
            <a:off x="1900" y="840"/>
            <a:ext cx="100" cy="70"/>
            <a:chOff x="1900" y="840"/>
            <a:chExt cx="100" cy="70"/>
          </a:xfrm>
        </xdr:grpSpPr>
        <xdr:sp macro="" textlink="">
          <xdr:nvSpPr>
            <xdr:cNvPr id="2760" name="Text Box 2480"/>
            <xdr:cNvSpPr txBox="1">
              <a:spLocks noChangeArrowheads="1"/>
            </xdr:cNvSpPr>
          </xdr:nvSpPr>
          <xdr:spPr bwMode="auto">
            <a:xfrm>
              <a:off x="1900" y="840"/>
              <a:ext cx="100" cy="50"/>
            </a:xfrm>
            <a:prstGeom prst="rect">
              <a:avLst/>
            </a:prstGeom>
            <a:noFill/>
            <a:ln>
              <a:noFill/>
            </a:ln>
            <a:extLst/>
          </xdr:spPr>
          <xdr:txBody>
            <a:bodyPr vertOverflow="clip" wrap="square" lIns="0" tIns="0" rIns="27432" bIns="27432" anchor="b" upright="1"/>
            <a:lstStyle/>
            <a:p>
              <a:pPr algn="l" rtl="0">
                <a:defRPr sz="1000"/>
              </a:pPr>
              <a:r>
                <a:rPr lang="en-US" sz="800" b="0" i="0" u="none" strike="noStrike" baseline="0">
                  <a:solidFill>
                    <a:srgbClr val="000000"/>
                  </a:solidFill>
                  <a:latin typeface="Arial Narrow"/>
                </a:rPr>
                <a:t>TO C-EO4215</a:t>
              </a:r>
              <a:endParaRPr lang="en-US"/>
            </a:p>
          </xdr:txBody>
        </xdr:sp>
        <xdr:grpSp>
          <xdr:nvGrpSpPr>
            <xdr:cNvPr id="5532" name="Group 2481"/>
            <xdr:cNvGrpSpPr>
              <a:grpSpLocks/>
            </xdr:cNvGrpSpPr>
          </xdr:nvGrpSpPr>
          <xdr:grpSpPr bwMode="auto">
            <a:xfrm>
              <a:off x="1900" y="890"/>
              <a:ext cx="100" cy="20"/>
              <a:chOff x="1840" y="1050"/>
              <a:chExt cx="100" cy="20"/>
            </a:xfrm>
          </xdr:grpSpPr>
          <xdr:grpSp>
            <xdr:nvGrpSpPr>
              <xdr:cNvPr id="5533" name="Group 2482"/>
              <xdr:cNvGrpSpPr>
                <a:grpSpLocks/>
              </xdr:cNvGrpSpPr>
            </xdr:nvGrpSpPr>
            <xdr:grpSpPr bwMode="auto">
              <a:xfrm>
                <a:off x="1840" y="1050"/>
                <a:ext cx="100" cy="20"/>
                <a:chOff x="1840" y="1050"/>
                <a:chExt cx="100" cy="20"/>
              </a:xfrm>
            </xdr:grpSpPr>
            <xdr:sp macro="" textlink="">
              <xdr:nvSpPr>
                <xdr:cNvPr id="2771" name="Rectangle 2483"/>
                <xdr:cNvSpPr>
                  <a:spLocks noChangeArrowheads="1"/>
                </xdr:cNvSpPr>
              </xdr:nvSpPr>
              <xdr:spPr bwMode="auto">
                <a:xfrm flipH="1">
                  <a:off x="1840" y="1050"/>
                  <a:ext cx="93" cy="20"/>
                </a:xfrm>
                <a:prstGeom prst="rect">
                  <a:avLst/>
                </a:prstGeom>
                <a:noFill/>
                <a:ln>
                  <a:noFill/>
                </a:ln>
                <a:effectLs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a:t>
                  </a:r>
                  <a:endParaRPr lang="en-US"/>
                </a:p>
              </xdr:txBody>
            </xdr:sp>
            <xdr:sp macro="" textlink="">
              <xdr:nvSpPr>
                <xdr:cNvPr id="5543" name="AutoShape 2484"/>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534" name="Group 2485"/>
              <xdr:cNvGrpSpPr>
                <a:grpSpLocks/>
              </xdr:cNvGrpSpPr>
            </xdr:nvGrpSpPr>
            <xdr:grpSpPr bwMode="auto">
              <a:xfrm>
                <a:off x="1840" y="1050"/>
                <a:ext cx="100" cy="20"/>
                <a:chOff x="1840" y="1050"/>
                <a:chExt cx="100" cy="20"/>
              </a:xfrm>
            </xdr:grpSpPr>
            <xdr:grpSp>
              <xdr:nvGrpSpPr>
                <xdr:cNvPr id="5535" name="Group 2486"/>
                <xdr:cNvGrpSpPr>
                  <a:grpSpLocks/>
                </xdr:cNvGrpSpPr>
              </xdr:nvGrpSpPr>
              <xdr:grpSpPr bwMode="auto">
                <a:xfrm>
                  <a:off x="1933" y="1050"/>
                  <a:ext cx="7" cy="20"/>
                  <a:chOff x="1893" y="1050"/>
                  <a:chExt cx="7" cy="20"/>
                </a:xfrm>
              </xdr:grpSpPr>
              <xdr:sp macro="" textlink="">
                <xdr:nvSpPr>
                  <xdr:cNvPr id="5540" name="Line 2487"/>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541" name="Line 2488"/>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536" name="Group 2489"/>
                <xdr:cNvGrpSpPr>
                  <a:grpSpLocks/>
                </xdr:cNvGrpSpPr>
              </xdr:nvGrpSpPr>
              <xdr:grpSpPr bwMode="auto">
                <a:xfrm>
                  <a:off x="1840" y="1050"/>
                  <a:ext cx="93" cy="20"/>
                  <a:chOff x="1840" y="1050"/>
                  <a:chExt cx="93" cy="20"/>
                </a:xfrm>
              </xdr:grpSpPr>
              <xdr:sp macro="" textlink="">
                <xdr:nvSpPr>
                  <xdr:cNvPr id="5537" name="Line 2490"/>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538" name="Line 2491"/>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539" name="Line 2492"/>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grpSp>
    </xdr:grpSp>
    <xdr:clientData/>
  </xdr:twoCellAnchor>
  <xdr:twoCellAnchor editAs="oneCell">
    <xdr:from>
      <xdr:col>74</xdr:col>
      <xdr:colOff>92081</xdr:colOff>
      <xdr:row>62</xdr:row>
      <xdr:rowOff>68260</xdr:rowOff>
    </xdr:from>
    <xdr:to>
      <xdr:col>78</xdr:col>
      <xdr:colOff>6384</xdr:colOff>
      <xdr:row>63</xdr:row>
      <xdr:rowOff>39685</xdr:rowOff>
    </xdr:to>
    <xdr:sp macro="" textlink="">
      <xdr:nvSpPr>
        <xdr:cNvPr id="2773" name="TextBox 2772"/>
        <xdr:cNvSpPr txBox="1"/>
      </xdr:nvSpPr>
      <xdr:spPr>
        <a:xfrm>
          <a:off x="12907536" y="11879260"/>
          <a:ext cx="607030"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XZV-2016</a:t>
          </a:r>
        </a:p>
      </xdr:txBody>
    </xdr:sp>
    <xdr:clientData/>
  </xdr:twoCellAnchor>
  <xdr:twoCellAnchor editAs="oneCell">
    <xdr:from>
      <xdr:col>30</xdr:col>
      <xdr:colOff>1443</xdr:colOff>
      <xdr:row>31</xdr:row>
      <xdr:rowOff>190489</xdr:rowOff>
    </xdr:from>
    <xdr:to>
      <xdr:col>30</xdr:col>
      <xdr:colOff>1449</xdr:colOff>
      <xdr:row>48</xdr:row>
      <xdr:rowOff>0</xdr:rowOff>
    </xdr:to>
    <xdr:cxnSp macro="">
      <xdr:nvCxnSpPr>
        <xdr:cNvPr id="157" name="Straight Connector 156"/>
        <xdr:cNvCxnSpPr>
          <a:stCxn id="5575" idx="4"/>
        </xdr:cNvCxnSpPr>
      </xdr:nvCxnSpPr>
      <xdr:spPr>
        <a:xfrm flipH="1">
          <a:off x="5196898" y="6095989"/>
          <a:ext cx="6" cy="304801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44449</xdr:colOff>
      <xdr:row>30</xdr:row>
      <xdr:rowOff>190489</xdr:rowOff>
    </xdr:from>
    <xdr:to>
      <xdr:col>29</xdr:col>
      <xdr:colOff>1449</xdr:colOff>
      <xdr:row>31</xdr:row>
      <xdr:rowOff>-1</xdr:rowOff>
    </xdr:to>
    <xdr:cxnSp macro="">
      <xdr:nvCxnSpPr>
        <xdr:cNvPr id="161" name="Straight Connector 160"/>
        <xdr:cNvCxnSpPr>
          <a:stCxn id="5575" idx="2"/>
          <a:endCxn id="5159" idx="0"/>
        </xdr:cNvCxnSpPr>
      </xdr:nvCxnSpPr>
      <xdr:spPr>
        <a:xfrm flipH="1">
          <a:off x="4027631" y="5905489"/>
          <a:ext cx="996091" cy="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91</xdr:col>
      <xdr:colOff>120650</xdr:colOff>
      <xdr:row>15</xdr:row>
      <xdr:rowOff>12701</xdr:rowOff>
    </xdr:from>
    <xdr:to>
      <xdr:col>91</xdr:col>
      <xdr:colOff>120650</xdr:colOff>
      <xdr:row>48</xdr:row>
      <xdr:rowOff>123825</xdr:rowOff>
    </xdr:to>
    <xdr:cxnSp macro="">
      <xdr:nvCxnSpPr>
        <xdr:cNvPr id="4" name="Straight Connector 3"/>
        <xdr:cNvCxnSpPr/>
      </xdr:nvCxnSpPr>
      <xdr:spPr>
        <a:xfrm flipV="1">
          <a:off x="15880195" y="2870201"/>
          <a:ext cx="0" cy="645477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87</xdr:col>
      <xdr:colOff>76200</xdr:colOff>
      <xdr:row>18</xdr:row>
      <xdr:rowOff>104775</xdr:rowOff>
    </xdr:from>
    <xdr:to>
      <xdr:col>90</xdr:col>
      <xdr:colOff>9525</xdr:colOff>
      <xdr:row>34</xdr:row>
      <xdr:rowOff>76200</xdr:rowOff>
    </xdr:to>
    <xdr:grpSp>
      <xdr:nvGrpSpPr>
        <xdr:cNvPr id="5245" name="Group 2056"/>
        <xdr:cNvGrpSpPr>
          <a:grpSpLocks/>
        </xdr:cNvGrpSpPr>
      </xdr:nvGrpSpPr>
      <xdr:grpSpPr bwMode="auto">
        <a:xfrm>
          <a:off x="15143018" y="3845502"/>
          <a:ext cx="452871" cy="3071380"/>
          <a:chOff x="713" y="740"/>
          <a:chExt cx="53" cy="320"/>
        </a:xfrm>
      </xdr:grpSpPr>
      <xdr:grpSp>
        <xdr:nvGrpSpPr>
          <xdr:cNvPr id="5519" name="Group 650"/>
          <xdr:cNvGrpSpPr>
            <a:grpSpLocks/>
          </xdr:cNvGrpSpPr>
        </xdr:nvGrpSpPr>
        <xdr:grpSpPr bwMode="auto">
          <a:xfrm>
            <a:off x="713" y="740"/>
            <a:ext cx="53" cy="13"/>
            <a:chOff x="196" y="126"/>
            <a:chExt cx="72" cy="20"/>
          </a:xfrm>
        </xdr:grpSpPr>
        <xdr:sp macro="" textlink="">
          <xdr:nvSpPr>
            <xdr:cNvPr id="5526" name="Arc 651"/>
            <xdr:cNvSpPr>
              <a:spLocks/>
            </xdr:cNvSpPr>
          </xdr:nvSpPr>
          <xdr:spPr bwMode="auto">
            <a:xfrm flipH="1">
              <a:off x="196"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27" name="Arc 652"/>
            <xdr:cNvSpPr>
              <a:spLocks/>
            </xdr:cNvSpPr>
          </xdr:nvSpPr>
          <xdr:spPr bwMode="auto">
            <a:xfrm>
              <a:off x="232"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28" name="Line 653"/>
            <xdr:cNvSpPr>
              <a:spLocks noChangeShapeType="1"/>
            </xdr:cNvSpPr>
          </xdr:nvSpPr>
          <xdr:spPr bwMode="auto">
            <a:xfrm>
              <a:off x="196" y="146"/>
              <a:ext cx="72" cy="0"/>
            </a:xfrm>
            <a:prstGeom prst="line">
              <a:avLst/>
            </a:prstGeom>
            <a:noFill/>
            <a:ln w="9525">
              <a:solidFill>
                <a:srgbClr val="000000"/>
              </a:solidFill>
              <a:round/>
              <a:headEnd/>
              <a:tailEnd/>
            </a:ln>
          </xdr:spPr>
        </xdr:sp>
      </xdr:grpSp>
      <xdr:sp macro="" textlink="">
        <xdr:nvSpPr>
          <xdr:cNvPr id="5520" name="Line 654"/>
          <xdr:cNvSpPr>
            <a:spLocks noChangeShapeType="1"/>
          </xdr:cNvSpPr>
        </xdr:nvSpPr>
        <xdr:spPr bwMode="auto">
          <a:xfrm>
            <a:off x="713" y="753"/>
            <a:ext cx="0" cy="294"/>
          </a:xfrm>
          <a:prstGeom prst="line">
            <a:avLst/>
          </a:prstGeom>
          <a:noFill/>
          <a:ln w="9525">
            <a:solidFill>
              <a:srgbClr val="000000"/>
            </a:solidFill>
            <a:round/>
            <a:headEnd/>
            <a:tailEnd/>
          </a:ln>
        </xdr:spPr>
      </xdr:sp>
      <xdr:sp macro="" textlink="">
        <xdr:nvSpPr>
          <xdr:cNvPr id="5521" name="Line 655"/>
          <xdr:cNvSpPr>
            <a:spLocks noChangeShapeType="1"/>
          </xdr:cNvSpPr>
        </xdr:nvSpPr>
        <xdr:spPr bwMode="auto">
          <a:xfrm>
            <a:off x="766" y="753"/>
            <a:ext cx="0" cy="294"/>
          </a:xfrm>
          <a:prstGeom prst="line">
            <a:avLst/>
          </a:prstGeom>
          <a:noFill/>
          <a:ln w="9525">
            <a:solidFill>
              <a:srgbClr val="000000"/>
            </a:solidFill>
            <a:round/>
            <a:headEnd/>
            <a:tailEnd/>
          </a:ln>
        </xdr:spPr>
      </xdr:sp>
      <xdr:grpSp>
        <xdr:nvGrpSpPr>
          <xdr:cNvPr id="5522" name="Group 656"/>
          <xdr:cNvGrpSpPr>
            <a:grpSpLocks/>
          </xdr:cNvGrpSpPr>
        </xdr:nvGrpSpPr>
        <xdr:grpSpPr bwMode="auto">
          <a:xfrm flipV="1">
            <a:off x="713" y="1047"/>
            <a:ext cx="53" cy="13"/>
            <a:chOff x="196" y="126"/>
            <a:chExt cx="72" cy="20"/>
          </a:xfrm>
        </xdr:grpSpPr>
        <xdr:sp macro="" textlink="">
          <xdr:nvSpPr>
            <xdr:cNvPr id="5523" name="Arc 657"/>
            <xdr:cNvSpPr>
              <a:spLocks/>
            </xdr:cNvSpPr>
          </xdr:nvSpPr>
          <xdr:spPr bwMode="auto">
            <a:xfrm flipH="1">
              <a:off x="196"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24" name="Arc 658"/>
            <xdr:cNvSpPr>
              <a:spLocks/>
            </xdr:cNvSpPr>
          </xdr:nvSpPr>
          <xdr:spPr bwMode="auto">
            <a:xfrm>
              <a:off x="232" y="126"/>
              <a:ext cx="36" cy="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25" name="Line 659"/>
            <xdr:cNvSpPr>
              <a:spLocks noChangeShapeType="1"/>
            </xdr:cNvSpPr>
          </xdr:nvSpPr>
          <xdr:spPr bwMode="auto">
            <a:xfrm>
              <a:off x="196" y="146"/>
              <a:ext cx="72" cy="0"/>
            </a:xfrm>
            <a:prstGeom prst="line">
              <a:avLst/>
            </a:prstGeom>
            <a:noFill/>
            <a:ln w="9525">
              <a:solidFill>
                <a:srgbClr val="000000"/>
              </a:solidFill>
              <a:round/>
              <a:headEnd/>
              <a:tailEnd/>
            </a:ln>
          </xdr:spPr>
        </xdr:sp>
      </xdr:grpSp>
    </xdr:grpSp>
    <xdr:clientData/>
  </xdr:twoCellAnchor>
  <xdr:twoCellAnchor editAs="oneCell">
    <xdr:from>
      <xdr:col>88</xdr:col>
      <xdr:colOff>134938</xdr:colOff>
      <xdr:row>14</xdr:row>
      <xdr:rowOff>185738</xdr:rowOff>
    </xdr:from>
    <xdr:to>
      <xdr:col>91</xdr:col>
      <xdr:colOff>120650</xdr:colOff>
      <xdr:row>14</xdr:row>
      <xdr:rowOff>190500</xdr:rowOff>
    </xdr:to>
    <xdr:cxnSp macro="">
      <xdr:nvCxnSpPr>
        <xdr:cNvPr id="8" name="Straight Connector 7"/>
        <xdr:cNvCxnSpPr/>
      </xdr:nvCxnSpPr>
      <xdr:spPr>
        <a:xfrm>
          <a:off x="15374938" y="2852738"/>
          <a:ext cx="505257" cy="476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88</xdr:col>
      <xdr:colOff>139700</xdr:colOff>
      <xdr:row>15</xdr:row>
      <xdr:rowOff>4763</xdr:rowOff>
    </xdr:from>
    <xdr:to>
      <xdr:col>88</xdr:col>
      <xdr:colOff>149225</xdr:colOff>
      <xdr:row>18</xdr:row>
      <xdr:rowOff>76200</xdr:rowOff>
    </xdr:to>
    <xdr:cxnSp macro="">
      <xdr:nvCxnSpPr>
        <xdr:cNvPr id="11" name="Straight Connector 10"/>
        <xdr:cNvCxnSpPr>
          <a:stCxn id="5527" idx="0"/>
        </xdr:cNvCxnSpPr>
      </xdr:nvCxnSpPr>
      <xdr:spPr>
        <a:xfrm flipV="1">
          <a:off x="15379700" y="2862263"/>
          <a:ext cx="9525" cy="67151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88</xdr:col>
      <xdr:colOff>139700</xdr:colOff>
      <xdr:row>34</xdr:row>
      <xdr:rowOff>104775</xdr:rowOff>
    </xdr:from>
    <xdr:to>
      <xdr:col>88</xdr:col>
      <xdr:colOff>139700</xdr:colOff>
      <xdr:row>36</xdr:row>
      <xdr:rowOff>16669</xdr:rowOff>
    </xdr:to>
    <xdr:cxnSp macro="">
      <xdr:nvCxnSpPr>
        <xdr:cNvPr id="16" name="Straight Connector 15"/>
        <xdr:cNvCxnSpPr>
          <a:stCxn id="5524" idx="0"/>
        </xdr:cNvCxnSpPr>
      </xdr:nvCxnSpPr>
      <xdr:spPr>
        <a:xfrm>
          <a:off x="15379700" y="6581775"/>
          <a:ext cx="0" cy="29289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83</xdr:col>
      <xdr:colOff>7793</xdr:colOff>
      <xdr:row>35</xdr:row>
      <xdr:rowOff>19050</xdr:rowOff>
    </xdr:from>
    <xdr:to>
      <xdr:col>85</xdr:col>
      <xdr:colOff>19050</xdr:colOff>
      <xdr:row>37</xdr:row>
      <xdr:rowOff>0</xdr:rowOff>
    </xdr:to>
    <xdr:grpSp>
      <xdr:nvGrpSpPr>
        <xdr:cNvPr id="5249" name="Group 429"/>
        <xdr:cNvGrpSpPr>
          <a:grpSpLocks/>
        </xdr:cNvGrpSpPr>
      </xdr:nvGrpSpPr>
      <xdr:grpSpPr bwMode="auto">
        <a:xfrm rot="5400000">
          <a:off x="14379720" y="7052396"/>
          <a:ext cx="361950" cy="357621"/>
          <a:chOff x="380" y="600"/>
          <a:chExt cx="38" cy="40"/>
        </a:xfrm>
      </xdr:grpSpPr>
      <xdr:sp macro="" textlink="">
        <xdr:nvSpPr>
          <xdr:cNvPr id="5512"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513" name="Group 431"/>
          <xdr:cNvGrpSpPr>
            <a:grpSpLocks/>
          </xdr:cNvGrpSpPr>
        </xdr:nvGrpSpPr>
        <xdr:grpSpPr bwMode="auto">
          <a:xfrm>
            <a:off x="391" y="600"/>
            <a:ext cx="16" cy="40"/>
            <a:chOff x="797" y="600"/>
            <a:chExt cx="16" cy="40"/>
          </a:xfrm>
        </xdr:grpSpPr>
        <xdr:sp macro="" textlink="">
          <xdr:nvSpPr>
            <xdr:cNvPr id="5514"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515"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516"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517"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518"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79</xdr:col>
      <xdr:colOff>77788</xdr:colOff>
      <xdr:row>36</xdr:row>
      <xdr:rowOff>4763</xdr:rowOff>
    </xdr:from>
    <xdr:to>
      <xdr:col>83</xdr:col>
      <xdr:colOff>4762</xdr:colOff>
      <xdr:row>36</xdr:row>
      <xdr:rowOff>4824</xdr:rowOff>
    </xdr:to>
    <xdr:cxnSp macro="">
      <xdr:nvCxnSpPr>
        <xdr:cNvPr id="20" name="Straight Connector 19"/>
        <xdr:cNvCxnSpPr>
          <a:stCxn id="5512" idx="4"/>
        </xdr:cNvCxnSpPr>
      </xdr:nvCxnSpPr>
      <xdr:spPr>
        <a:xfrm flipH="1" flipV="1">
          <a:off x="13759152" y="6862763"/>
          <a:ext cx="619701" cy="6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79</xdr:col>
      <xdr:colOff>63500</xdr:colOff>
      <xdr:row>9</xdr:row>
      <xdr:rowOff>64294</xdr:rowOff>
    </xdr:from>
    <xdr:to>
      <xdr:col>79</xdr:col>
      <xdr:colOff>73026</xdr:colOff>
      <xdr:row>28</xdr:row>
      <xdr:rowOff>50957</xdr:rowOff>
    </xdr:to>
    <xdr:cxnSp macro="">
      <xdr:nvCxnSpPr>
        <xdr:cNvPr id="22" name="Straight Connector 21"/>
        <xdr:cNvCxnSpPr/>
      </xdr:nvCxnSpPr>
      <xdr:spPr>
        <a:xfrm flipH="1" flipV="1">
          <a:off x="13744864" y="1778794"/>
          <a:ext cx="9526" cy="3720463"/>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73</xdr:col>
      <xdr:colOff>50640</xdr:colOff>
      <xdr:row>27</xdr:row>
      <xdr:rowOff>2382</xdr:rowOff>
    </xdr:from>
    <xdr:to>
      <xdr:col>79</xdr:col>
      <xdr:colOff>73024</xdr:colOff>
      <xdr:row>27</xdr:row>
      <xdr:rowOff>2383</xdr:rowOff>
    </xdr:to>
    <xdr:cxnSp macro="">
      <xdr:nvCxnSpPr>
        <xdr:cNvPr id="25" name="Straight Connector 24"/>
        <xdr:cNvCxnSpPr/>
      </xdr:nvCxnSpPr>
      <xdr:spPr>
        <a:xfrm flipH="1">
          <a:off x="12692913" y="5145882"/>
          <a:ext cx="1061475" cy="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67</xdr:col>
      <xdr:colOff>6350</xdr:colOff>
      <xdr:row>27</xdr:row>
      <xdr:rowOff>0</xdr:rowOff>
    </xdr:from>
    <xdr:to>
      <xdr:col>67</xdr:col>
      <xdr:colOff>25400</xdr:colOff>
      <xdr:row>53</xdr:row>
      <xdr:rowOff>9525</xdr:rowOff>
    </xdr:to>
    <xdr:cxnSp macro="">
      <xdr:nvCxnSpPr>
        <xdr:cNvPr id="29" name="Straight Connector 28"/>
        <xdr:cNvCxnSpPr/>
      </xdr:nvCxnSpPr>
      <xdr:spPr>
        <a:xfrm>
          <a:off x="11609532" y="5143500"/>
          <a:ext cx="19050" cy="4962525"/>
        </a:xfrm>
        <a:prstGeom prst="line">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71</xdr:col>
      <xdr:colOff>161925</xdr:colOff>
      <xdr:row>26</xdr:row>
      <xdr:rowOff>0</xdr:rowOff>
    </xdr:from>
    <xdr:to>
      <xdr:col>73</xdr:col>
      <xdr:colOff>161925</xdr:colOff>
      <xdr:row>27</xdr:row>
      <xdr:rowOff>57150</xdr:rowOff>
    </xdr:to>
    <xdr:grpSp>
      <xdr:nvGrpSpPr>
        <xdr:cNvPr id="5254" name="Group 3915"/>
        <xdr:cNvGrpSpPr>
          <a:grpSpLocks/>
        </xdr:cNvGrpSpPr>
      </xdr:nvGrpSpPr>
      <xdr:grpSpPr bwMode="auto">
        <a:xfrm>
          <a:off x="12457834" y="5316682"/>
          <a:ext cx="346364" cy="247650"/>
          <a:chOff x="460" y="220"/>
          <a:chExt cx="40" cy="26"/>
        </a:xfrm>
      </xdr:grpSpPr>
      <xdr:grpSp>
        <xdr:nvGrpSpPr>
          <xdr:cNvPr id="5498" name="Group 3916"/>
          <xdr:cNvGrpSpPr>
            <a:grpSpLocks/>
          </xdr:cNvGrpSpPr>
        </xdr:nvGrpSpPr>
        <xdr:grpSpPr bwMode="auto">
          <a:xfrm>
            <a:off x="473" y="223"/>
            <a:ext cx="14" cy="23"/>
            <a:chOff x="184" y="256"/>
            <a:chExt cx="24" cy="40"/>
          </a:xfrm>
        </xdr:grpSpPr>
        <xdr:grpSp>
          <xdr:nvGrpSpPr>
            <xdr:cNvPr id="5502" name="Group 3917"/>
            <xdr:cNvGrpSpPr>
              <a:grpSpLocks/>
            </xdr:cNvGrpSpPr>
          </xdr:nvGrpSpPr>
          <xdr:grpSpPr bwMode="auto">
            <a:xfrm>
              <a:off x="184" y="256"/>
              <a:ext cx="24" cy="10"/>
              <a:chOff x="196" y="276"/>
              <a:chExt cx="24" cy="10"/>
            </a:xfrm>
          </xdr:grpSpPr>
          <xdr:sp macro="" textlink="">
            <xdr:nvSpPr>
              <xdr:cNvPr id="5509" name="Arc 3918"/>
              <xdr:cNvSpPr>
                <a:spLocks/>
              </xdr:cNvSpPr>
            </xdr:nvSpPr>
            <xdr:spPr bwMode="auto">
              <a:xfrm>
                <a:off x="208" y="276"/>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10" name="Arc 3919"/>
              <xdr:cNvSpPr>
                <a:spLocks/>
              </xdr:cNvSpPr>
            </xdr:nvSpPr>
            <xdr:spPr bwMode="auto">
              <a:xfrm flipH="1">
                <a:off x="196" y="276"/>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511" name="Line 3920"/>
              <xdr:cNvSpPr>
                <a:spLocks noChangeShapeType="1"/>
              </xdr:cNvSpPr>
            </xdr:nvSpPr>
            <xdr:spPr bwMode="auto">
              <a:xfrm>
                <a:off x="196" y="286"/>
                <a:ext cx="24" cy="0"/>
              </a:xfrm>
              <a:prstGeom prst="line">
                <a:avLst/>
              </a:prstGeom>
              <a:noFill/>
              <a:ln w="9525">
                <a:solidFill>
                  <a:srgbClr val="000000"/>
                </a:solidFill>
                <a:round/>
                <a:headEnd/>
                <a:tailEnd/>
              </a:ln>
            </xdr:spPr>
          </xdr:sp>
        </xdr:grpSp>
        <xdr:grpSp>
          <xdr:nvGrpSpPr>
            <xdr:cNvPr id="5503" name="Group 3921"/>
            <xdr:cNvGrpSpPr>
              <a:grpSpLocks/>
            </xdr:cNvGrpSpPr>
          </xdr:nvGrpSpPr>
          <xdr:grpSpPr bwMode="auto">
            <a:xfrm>
              <a:off x="184" y="276"/>
              <a:ext cx="24" cy="20"/>
              <a:chOff x="280" y="226"/>
              <a:chExt cx="24" cy="20"/>
            </a:xfrm>
          </xdr:grpSpPr>
          <xdr:sp macro="" textlink="">
            <xdr:nvSpPr>
              <xdr:cNvPr id="5505"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506"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507"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508"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504"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499" name="Line 3927"/>
          <xdr:cNvSpPr>
            <a:spLocks noChangeShapeType="1"/>
          </xdr:cNvSpPr>
        </xdr:nvSpPr>
        <xdr:spPr bwMode="auto">
          <a:xfrm flipH="1">
            <a:off x="487" y="240"/>
            <a:ext cx="13" cy="0"/>
          </a:xfrm>
          <a:prstGeom prst="line">
            <a:avLst/>
          </a:prstGeom>
          <a:noFill/>
          <a:ln w="9525">
            <a:solidFill>
              <a:srgbClr val="000000"/>
            </a:solidFill>
            <a:round/>
            <a:headEnd/>
            <a:tailEnd/>
          </a:ln>
        </xdr:spPr>
      </xdr:sp>
      <xdr:sp macro="" textlink="">
        <xdr:nvSpPr>
          <xdr:cNvPr id="5500" name="Line 3928"/>
          <xdr:cNvSpPr>
            <a:spLocks noChangeShapeType="1"/>
          </xdr:cNvSpPr>
        </xdr:nvSpPr>
        <xdr:spPr bwMode="auto">
          <a:xfrm flipH="1">
            <a:off x="460" y="240"/>
            <a:ext cx="13" cy="0"/>
          </a:xfrm>
          <a:prstGeom prst="line">
            <a:avLst/>
          </a:prstGeom>
          <a:noFill/>
          <a:ln w="9525">
            <a:solidFill>
              <a:srgbClr val="000000"/>
            </a:solidFill>
            <a:round/>
            <a:headEnd/>
            <a:tailEnd/>
          </a:ln>
        </xdr:spPr>
      </xdr:sp>
      <xdr:sp macro="" textlink="">
        <xdr:nvSpPr>
          <xdr:cNvPr id="5501" name="Line 3929"/>
          <xdr:cNvSpPr>
            <a:spLocks noChangeShapeType="1"/>
          </xdr:cNvSpPr>
        </xdr:nvSpPr>
        <xdr:spPr bwMode="auto">
          <a:xfrm flipV="1">
            <a:off x="480" y="220"/>
            <a:ext cx="0" cy="3"/>
          </a:xfrm>
          <a:prstGeom prst="line">
            <a:avLst/>
          </a:prstGeom>
          <a:noFill/>
          <a:ln w="9525">
            <a:solidFill>
              <a:srgbClr val="000000"/>
            </a:solidFill>
            <a:prstDash val="dash"/>
            <a:round/>
            <a:headEnd/>
            <a:tailEnd/>
          </a:ln>
        </xdr:spPr>
      </xdr:sp>
    </xdr:grpSp>
    <xdr:clientData/>
  </xdr:twoCellAnchor>
  <xdr:twoCellAnchor editAs="oneCell">
    <xdr:from>
      <xdr:col>66</xdr:col>
      <xdr:colOff>168275</xdr:colOff>
      <xdr:row>27</xdr:row>
      <xdr:rowOff>0</xdr:rowOff>
    </xdr:from>
    <xdr:to>
      <xdr:col>72</xdr:col>
      <xdr:colOff>95408</xdr:colOff>
      <xdr:row>27</xdr:row>
      <xdr:rowOff>0</xdr:rowOff>
    </xdr:to>
    <xdr:cxnSp macro="">
      <xdr:nvCxnSpPr>
        <xdr:cNvPr id="2274" name="Straight Connector 2273"/>
        <xdr:cNvCxnSpPr>
          <a:endCxn id="5500" idx="0"/>
        </xdr:cNvCxnSpPr>
      </xdr:nvCxnSpPr>
      <xdr:spPr>
        <a:xfrm>
          <a:off x="11598275" y="5143500"/>
          <a:ext cx="966224"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71</xdr:col>
      <xdr:colOff>34925</xdr:colOff>
      <xdr:row>27</xdr:row>
      <xdr:rowOff>28552</xdr:rowOff>
    </xdr:from>
    <xdr:to>
      <xdr:col>74</xdr:col>
      <xdr:colOff>130203</xdr:colOff>
      <xdr:row>27</xdr:row>
      <xdr:rowOff>190477</xdr:rowOff>
    </xdr:to>
    <xdr:sp macro="" textlink="">
      <xdr:nvSpPr>
        <xdr:cNvPr id="622" name="TextBox 621"/>
        <xdr:cNvSpPr txBox="1"/>
      </xdr:nvSpPr>
      <xdr:spPr>
        <a:xfrm>
          <a:off x="12330834" y="5172052"/>
          <a:ext cx="614824"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FZV-2050</a:t>
          </a:r>
        </a:p>
      </xdr:txBody>
    </xdr:sp>
    <xdr:clientData/>
  </xdr:twoCellAnchor>
  <xdr:twoCellAnchor editAs="oneCell">
    <xdr:from>
      <xdr:col>73</xdr:col>
      <xdr:colOff>61926</xdr:colOff>
      <xdr:row>26</xdr:row>
      <xdr:rowOff>23797</xdr:rowOff>
    </xdr:from>
    <xdr:to>
      <xdr:col>78</xdr:col>
      <xdr:colOff>0</xdr:colOff>
      <xdr:row>26</xdr:row>
      <xdr:rowOff>185722</xdr:rowOff>
    </xdr:to>
    <xdr:sp macro="" textlink="">
      <xdr:nvSpPr>
        <xdr:cNvPr id="623" name="TextBox 622"/>
        <xdr:cNvSpPr txBox="1"/>
      </xdr:nvSpPr>
      <xdr:spPr>
        <a:xfrm>
          <a:off x="12704199" y="4976797"/>
          <a:ext cx="803983"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35% (MASS)</a:t>
          </a:r>
        </a:p>
      </xdr:txBody>
    </xdr:sp>
    <xdr:clientData/>
  </xdr:twoCellAnchor>
  <xdr:twoCellAnchor editAs="oneCell">
    <xdr:from>
      <xdr:col>79</xdr:col>
      <xdr:colOff>28575</xdr:colOff>
      <xdr:row>28</xdr:row>
      <xdr:rowOff>28575</xdr:rowOff>
    </xdr:from>
    <xdr:to>
      <xdr:col>80</xdr:col>
      <xdr:colOff>76200</xdr:colOff>
      <xdr:row>30</xdr:row>
      <xdr:rowOff>9525</xdr:rowOff>
    </xdr:to>
    <xdr:grpSp>
      <xdr:nvGrpSpPr>
        <xdr:cNvPr id="5258" name="Group 3915"/>
        <xdr:cNvGrpSpPr>
          <a:grpSpLocks/>
        </xdr:cNvGrpSpPr>
      </xdr:nvGrpSpPr>
      <xdr:grpSpPr bwMode="auto">
        <a:xfrm rot="5400000">
          <a:off x="13639367" y="5796829"/>
          <a:ext cx="361950" cy="220806"/>
          <a:chOff x="460" y="220"/>
          <a:chExt cx="40" cy="24"/>
        </a:xfrm>
      </xdr:grpSpPr>
      <xdr:grpSp>
        <xdr:nvGrpSpPr>
          <xdr:cNvPr id="5487" name="Group 3916"/>
          <xdr:cNvGrpSpPr>
            <a:grpSpLocks/>
          </xdr:cNvGrpSpPr>
        </xdr:nvGrpSpPr>
        <xdr:grpSpPr bwMode="auto">
          <a:xfrm>
            <a:off x="473" y="227"/>
            <a:ext cx="14" cy="17"/>
            <a:chOff x="184" y="266"/>
            <a:chExt cx="24" cy="30"/>
          </a:xfrm>
        </xdr:grpSpPr>
        <xdr:sp macro="" textlink="">
          <xdr:nvSpPr>
            <xdr:cNvPr id="5491"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492" name="Group 3921"/>
            <xdr:cNvGrpSpPr>
              <a:grpSpLocks/>
            </xdr:cNvGrpSpPr>
          </xdr:nvGrpSpPr>
          <xdr:grpSpPr bwMode="auto">
            <a:xfrm>
              <a:off x="184" y="276"/>
              <a:ext cx="24" cy="20"/>
              <a:chOff x="280" y="226"/>
              <a:chExt cx="24" cy="20"/>
            </a:xfrm>
          </xdr:grpSpPr>
          <xdr:sp macro="" textlink="">
            <xdr:nvSpPr>
              <xdr:cNvPr id="5494"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495"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496"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497"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493"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488" name="Line 3927"/>
          <xdr:cNvSpPr>
            <a:spLocks noChangeShapeType="1"/>
          </xdr:cNvSpPr>
        </xdr:nvSpPr>
        <xdr:spPr bwMode="auto">
          <a:xfrm flipH="1">
            <a:off x="487" y="240"/>
            <a:ext cx="13" cy="0"/>
          </a:xfrm>
          <a:prstGeom prst="line">
            <a:avLst/>
          </a:prstGeom>
          <a:noFill/>
          <a:ln w="9525">
            <a:solidFill>
              <a:srgbClr val="000000"/>
            </a:solidFill>
            <a:round/>
            <a:headEnd/>
            <a:tailEnd/>
          </a:ln>
        </xdr:spPr>
      </xdr:sp>
      <xdr:sp macro="" textlink="">
        <xdr:nvSpPr>
          <xdr:cNvPr id="5489" name="Line 3928"/>
          <xdr:cNvSpPr>
            <a:spLocks noChangeShapeType="1"/>
          </xdr:cNvSpPr>
        </xdr:nvSpPr>
        <xdr:spPr bwMode="auto">
          <a:xfrm flipH="1">
            <a:off x="460" y="240"/>
            <a:ext cx="13" cy="0"/>
          </a:xfrm>
          <a:prstGeom prst="line">
            <a:avLst/>
          </a:prstGeom>
          <a:noFill/>
          <a:ln w="9525">
            <a:solidFill>
              <a:srgbClr val="000000"/>
            </a:solidFill>
            <a:round/>
            <a:headEnd/>
            <a:tailEnd/>
          </a:ln>
        </xdr:spPr>
      </xdr:sp>
      <xdr:sp macro="" textlink="">
        <xdr:nvSpPr>
          <xdr:cNvPr id="5490" name="Line 3929"/>
          <xdr:cNvSpPr>
            <a:spLocks noChangeShapeType="1"/>
          </xdr:cNvSpPr>
        </xdr:nvSpPr>
        <xdr:spPr bwMode="auto">
          <a:xfrm flipH="1" flipV="1">
            <a:off x="480" y="220"/>
            <a:ext cx="0" cy="7"/>
          </a:xfrm>
          <a:prstGeom prst="line">
            <a:avLst/>
          </a:prstGeom>
          <a:noFill/>
          <a:ln w="9525">
            <a:solidFill>
              <a:srgbClr val="000000"/>
            </a:solidFill>
            <a:round/>
            <a:headEnd/>
            <a:tailEnd/>
          </a:ln>
        </xdr:spPr>
      </xdr:sp>
    </xdr:grpSp>
    <xdr:clientData/>
  </xdr:twoCellAnchor>
  <xdr:twoCellAnchor editAs="oneCell">
    <xdr:from>
      <xdr:col>79</xdr:col>
      <xdr:colOff>73024</xdr:colOff>
      <xdr:row>29</xdr:row>
      <xdr:rowOff>82391</xdr:rowOff>
    </xdr:from>
    <xdr:to>
      <xdr:col>79</xdr:col>
      <xdr:colOff>73025</xdr:colOff>
      <xdr:row>30</xdr:row>
      <xdr:rowOff>85725</xdr:rowOff>
    </xdr:to>
    <xdr:cxnSp macro="">
      <xdr:nvCxnSpPr>
        <xdr:cNvPr id="2282" name="Straight Connector 2281"/>
        <xdr:cNvCxnSpPr>
          <a:stCxn id="5488" idx="1"/>
        </xdr:cNvCxnSpPr>
      </xdr:nvCxnSpPr>
      <xdr:spPr>
        <a:xfrm>
          <a:off x="13754388" y="5606891"/>
          <a:ext cx="1" cy="19383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79</xdr:col>
      <xdr:colOff>92076</xdr:colOff>
      <xdr:row>27</xdr:row>
      <xdr:rowOff>176182</xdr:rowOff>
    </xdr:from>
    <xdr:to>
      <xdr:col>84</xdr:col>
      <xdr:colOff>38132</xdr:colOff>
      <xdr:row>28</xdr:row>
      <xdr:rowOff>147607</xdr:rowOff>
    </xdr:to>
    <xdr:sp macro="" textlink="">
      <xdr:nvSpPr>
        <xdr:cNvPr id="644" name="TextBox 643"/>
        <xdr:cNvSpPr txBox="1"/>
      </xdr:nvSpPr>
      <xdr:spPr>
        <a:xfrm>
          <a:off x="13773440" y="5319682"/>
          <a:ext cx="811965"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65% (MASS)</a:t>
          </a:r>
        </a:p>
      </xdr:txBody>
    </xdr:sp>
    <xdr:clientData/>
  </xdr:twoCellAnchor>
  <xdr:twoCellAnchor editAs="oneCell">
    <xdr:from>
      <xdr:col>76</xdr:col>
      <xdr:colOff>73056</xdr:colOff>
      <xdr:row>28</xdr:row>
      <xdr:rowOff>114260</xdr:rowOff>
    </xdr:from>
    <xdr:to>
      <xdr:col>79</xdr:col>
      <xdr:colOff>168334</xdr:colOff>
      <xdr:row>29</xdr:row>
      <xdr:rowOff>85685</xdr:rowOff>
    </xdr:to>
    <xdr:sp macro="" textlink="">
      <xdr:nvSpPr>
        <xdr:cNvPr id="645" name="TextBox 644"/>
        <xdr:cNvSpPr txBox="1"/>
      </xdr:nvSpPr>
      <xdr:spPr>
        <a:xfrm>
          <a:off x="13234874" y="5448260"/>
          <a:ext cx="614824"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Narrow" pitchFamily="34" charset="0"/>
            </a:rPr>
            <a:t>XZV-2051</a:t>
          </a:r>
        </a:p>
      </xdr:txBody>
    </xdr:sp>
    <xdr:clientData/>
  </xdr:twoCellAnchor>
  <xdr:twoCellAnchor editAs="oneCell">
    <xdr:from>
      <xdr:col>83</xdr:col>
      <xdr:colOff>0</xdr:colOff>
      <xdr:row>29</xdr:row>
      <xdr:rowOff>85725</xdr:rowOff>
    </xdr:from>
    <xdr:to>
      <xdr:col>85</xdr:col>
      <xdr:colOff>0</xdr:colOff>
      <xdr:row>31</xdr:row>
      <xdr:rowOff>85725</xdr:rowOff>
    </xdr:to>
    <xdr:grpSp>
      <xdr:nvGrpSpPr>
        <xdr:cNvPr id="5262" name="Group 429"/>
        <xdr:cNvGrpSpPr>
          <a:grpSpLocks/>
        </xdr:cNvGrpSpPr>
      </xdr:nvGrpSpPr>
      <xdr:grpSpPr bwMode="auto">
        <a:xfrm rot="10800000">
          <a:off x="14374091" y="5973907"/>
          <a:ext cx="346364" cy="381000"/>
          <a:chOff x="380" y="600"/>
          <a:chExt cx="38" cy="40"/>
        </a:xfrm>
      </xdr:grpSpPr>
      <xdr:sp macro="" textlink="">
        <xdr:nvSpPr>
          <xdr:cNvPr id="5480" name="Oval 430"/>
          <xdr:cNvSpPr>
            <a:spLocks noChangeArrowheads="1"/>
          </xdr:cNvSpPr>
        </xdr:nvSpPr>
        <xdr:spPr bwMode="auto">
          <a:xfrm>
            <a:off x="380" y="600"/>
            <a:ext cx="38" cy="40"/>
          </a:xfrm>
          <a:prstGeom prst="ellipse">
            <a:avLst/>
          </a:prstGeom>
          <a:noFill/>
          <a:ln w="9525">
            <a:solidFill>
              <a:srgbClr val="000000"/>
            </a:solidFill>
            <a:round/>
            <a:headEnd/>
            <a:tailEnd/>
          </a:ln>
        </xdr:spPr>
      </xdr:sp>
      <xdr:grpSp>
        <xdr:nvGrpSpPr>
          <xdr:cNvPr id="5481" name="Group 431"/>
          <xdr:cNvGrpSpPr>
            <a:grpSpLocks/>
          </xdr:cNvGrpSpPr>
        </xdr:nvGrpSpPr>
        <xdr:grpSpPr bwMode="auto">
          <a:xfrm>
            <a:off x="391" y="600"/>
            <a:ext cx="16" cy="40"/>
            <a:chOff x="797" y="600"/>
            <a:chExt cx="16" cy="40"/>
          </a:xfrm>
        </xdr:grpSpPr>
        <xdr:sp macro="" textlink="">
          <xdr:nvSpPr>
            <xdr:cNvPr id="5482" name="Line 432"/>
            <xdr:cNvSpPr>
              <a:spLocks noChangeShapeType="1"/>
            </xdr:cNvSpPr>
          </xdr:nvSpPr>
          <xdr:spPr bwMode="auto">
            <a:xfrm>
              <a:off x="805" y="607"/>
              <a:ext cx="8" cy="0"/>
            </a:xfrm>
            <a:prstGeom prst="line">
              <a:avLst/>
            </a:prstGeom>
            <a:noFill/>
            <a:ln w="9525">
              <a:solidFill>
                <a:srgbClr val="000000"/>
              </a:solidFill>
              <a:prstDash val="dash"/>
              <a:round/>
              <a:headEnd/>
              <a:tailEnd/>
            </a:ln>
          </xdr:spPr>
        </xdr:sp>
        <xdr:sp macro="" textlink="">
          <xdr:nvSpPr>
            <xdr:cNvPr id="5483" name="Line 433"/>
            <xdr:cNvSpPr>
              <a:spLocks noChangeShapeType="1"/>
            </xdr:cNvSpPr>
          </xdr:nvSpPr>
          <xdr:spPr bwMode="auto">
            <a:xfrm flipH="1">
              <a:off x="797" y="633"/>
              <a:ext cx="8" cy="0"/>
            </a:xfrm>
            <a:prstGeom prst="line">
              <a:avLst/>
            </a:prstGeom>
            <a:noFill/>
            <a:ln w="9525">
              <a:solidFill>
                <a:srgbClr val="000000"/>
              </a:solidFill>
              <a:prstDash val="dash"/>
              <a:round/>
              <a:headEnd/>
              <a:tailEnd/>
            </a:ln>
          </xdr:spPr>
        </xdr:sp>
        <xdr:sp macro="" textlink="">
          <xdr:nvSpPr>
            <xdr:cNvPr id="5484" name="Line 434"/>
            <xdr:cNvSpPr>
              <a:spLocks noChangeShapeType="1"/>
            </xdr:cNvSpPr>
          </xdr:nvSpPr>
          <xdr:spPr bwMode="auto">
            <a:xfrm>
              <a:off x="805" y="600"/>
              <a:ext cx="0" cy="7"/>
            </a:xfrm>
            <a:prstGeom prst="line">
              <a:avLst/>
            </a:prstGeom>
            <a:noFill/>
            <a:ln w="9525">
              <a:solidFill>
                <a:srgbClr val="000000"/>
              </a:solidFill>
              <a:prstDash val="dash"/>
              <a:round/>
              <a:headEnd/>
              <a:tailEnd/>
            </a:ln>
          </xdr:spPr>
        </xdr:sp>
        <xdr:sp macro="" textlink="">
          <xdr:nvSpPr>
            <xdr:cNvPr id="5485" name="Line 435"/>
            <xdr:cNvSpPr>
              <a:spLocks noChangeShapeType="1"/>
            </xdr:cNvSpPr>
          </xdr:nvSpPr>
          <xdr:spPr bwMode="auto">
            <a:xfrm>
              <a:off x="805" y="633"/>
              <a:ext cx="0" cy="7"/>
            </a:xfrm>
            <a:prstGeom prst="line">
              <a:avLst/>
            </a:prstGeom>
            <a:noFill/>
            <a:ln w="9525">
              <a:solidFill>
                <a:srgbClr val="000000"/>
              </a:solidFill>
              <a:prstDash val="dash"/>
              <a:round/>
              <a:headEnd/>
              <a:tailEnd/>
            </a:ln>
          </xdr:spPr>
        </xdr:sp>
        <xdr:sp macro="" textlink="">
          <xdr:nvSpPr>
            <xdr:cNvPr id="5486" name="Line 436"/>
            <xdr:cNvSpPr>
              <a:spLocks noChangeShapeType="1"/>
            </xdr:cNvSpPr>
          </xdr:nvSpPr>
          <xdr:spPr bwMode="auto">
            <a:xfrm flipV="1">
              <a:off x="797" y="607"/>
              <a:ext cx="16" cy="26"/>
            </a:xfrm>
            <a:prstGeom prst="line">
              <a:avLst/>
            </a:prstGeom>
            <a:noFill/>
            <a:ln w="9525">
              <a:solidFill>
                <a:srgbClr val="000000"/>
              </a:solidFill>
              <a:prstDash val="dash"/>
              <a:round/>
              <a:headEnd/>
              <a:tailEnd/>
            </a:ln>
          </xdr:spPr>
        </xdr:sp>
      </xdr:grpSp>
    </xdr:grpSp>
    <xdr:clientData/>
  </xdr:twoCellAnchor>
  <xdr:twoCellAnchor editAs="oneCell">
    <xdr:from>
      <xdr:col>85</xdr:col>
      <xdr:colOff>6350</xdr:colOff>
      <xdr:row>30</xdr:row>
      <xdr:rowOff>85725</xdr:rowOff>
    </xdr:from>
    <xdr:to>
      <xdr:col>87</xdr:col>
      <xdr:colOff>73163</xdr:colOff>
      <xdr:row>30</xdr:row>
      <xdr:rowOff>85725</xdr:rowOff>
    </xdr:to>
    <xdr:cxnSp macro="">
      <xdr:nvCxnSpPr>
        <xdr:cNvPr id="2288" name="Straight Connector 2287"/>
        <xdr:cNvCxnSpPr>
          <a:endCxn id="5480" idx="2"/>
        </xdr:cNvCxnSpPr>
      </xdr:nvCxnSpPr>
      <xdr:spPr>
        <a:xfrm flipH="1">
          <a:off x="14726805" y="5800725"/>
          <a:ext cx="413176"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79</xdr:col>
      <xdr:colOff>73025</xdr:colOff>
      <xdr:row>30</xdr:row>
      <xdr:rowOff>85725</xdr:rowOff>
    </xdr:from>
    <xdr:to>
      <xdr:col>83</xdr:col>
      <xdr:colOff>1490</xdr:colOff>
      <xdr:row>30</xdr:row>
      <xdr:rowOff>85725</xdr:rowOff>
    </xdr:to>
    <xdr:cxnSp macro="">
      <xdr:nvCxnSpPr>
        <xdr:cNvPr id="661" name="Straight Connector 660"/>
        <xdr:cNvCxnSpPr>
          <a:stCxn id="5480" idx="6"/>
        </xdr:cNvCxnSpPr>
      </xdr:nvCxnSpPr>
      <xdr:spPr>
        <a:xfrm flipH="1">
          <a:off x="13754389" y="5800725"/>
          <a:ext cx="621192"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84</xdr:col>
      <xdr:colOff>1443</xdr:colOff>
      <xdr:row>31</xdr:row>
      <xdr:rowOff>85725</xdr:rowOff>
    </xdr:from>
    <xdr:to>
      <xdr:col>84</xdr:col>
      <xdr:colOff>1588</xdr:colOff>
      <xdr:row>35</xdr:row>
      <xdr:rowOff>19050</xdr:rowOff>
    </xdr:to>
    <xdr:cxnSp macro="">
      <xdr:nvCxnSpPr>
        <xdr:cNvPr id="17" name="Straight Connector 16"/>
        <xdr:cNvCxnSpPr>
          <a:stCxn id="5484" idx="0"/>
          <a:endCxn id="5512" idx="2"/>
        </xdr:cNvCxnSpPr>
      </xdr:nvCxnSpPr>
      <xdr:spPr>
        <a:xfrm>
          <a:off x="14548716" y="5991225"/>
          <a:ext cx="145" cy="695325"/>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84</xdr:col>
      <xdr:colOff>4617</xdr:colOff>
      <xdr:row>24</xdr:row>
      <xdr:rowOff>119063</xdr:rowOff>
    </xdr:from>
    <xdr:to>
      <xdr:col>84</xdr:col>
      <xdr:colOff>4617</xdr:colOff>
      <xdr:row>29</xdr:row>
      <xdr:rowOff>85725</xdr:rowOff>
    </xdr:to>
    <xdr:cxnSp macro="">
      <xdr:nvCxnSpPr>
        <xdr:cNvPr id="21" name="Straight Connector 20"/>
        <xdr:cNvCxnSpPr>
          <a:stCxn id="5485" idx="1"/>
        </xdr:cNvCxnSpPr>
      </xdr:nvCxnSpPr>
      <xdr:spPr>
        <a:xfrm flipV="1">
          <a:off x="14551890" y="4691063"/>
          <a:ext cx="0" cy="91916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84</xdr:col>
      <xdr:colOff>1588</xdr:colOff>
      <xdr:row>24</xdr:row>
      <xdr:rowOff>128588</xdr:rowOff>
    </xdr:from>
    <xdr:to>
      <xdr:col>87</xdr:col>
      <xdr:colOff>73025</xdr:colOff>
      <xdr:row>24</xdr:row>
      <xdr:rowOff>128588</xdr:rowOff>
    </xdr:to>
    <xdr:cxnSp macro="">
      <xdr:nvCxnSpPr>
        <xdr:cNvPr id="27" name="Straight Connector 26"/>
        <xdr:cNvCxnSpPr/>
      </xdr:nvCxnSpPr>
      <xdr:spPr>
        <a:xfrm>
          <a:off x="14548861" y="4700588"/>
          <a:ext cx="590982" cy="0"/>
        </a:xfrm>
        <a:prstGeom prst="line">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79</xdr:col>
      <xdr:colOff>82550</xdr:colOff>
      <xdr:row>36</xdr:row>
      <xdr:rowOff>9525</xdr:rowOff>
    </xdr:from>
    <xdr:to>
      <xdr:col>79</xdr:col>
      <xdr:colOff>82550</xdr:colOff>
      <xdr:row>45</xdr:row>
      <xdr:rowOff>9525</xdr:rowOff>
    </xdr:to>
    <xdr:cxnSp macro="">
      <xdr:nvCxnSpPr>
        <xdr:cNvPr id="88628" name="Straight Connector 88627"/>
        <xdr:cNvCxnSpPr/>
      </xdr:nvCxnSpPr>
      <xdr:spPr>
        <a:xfrm>
          <a:off x="13763914" y="6867525"/>
          <a:ext cx="0" cy="171450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79</xdr:col>
      <xdr:colOff>82550</xdr:colOff>
      <xdr:row>45</xdr:row>
      <xdr:rowOff>2</xdr:rowOff>
    </xdr:from>
    <xdr:to>
      <xdr:col>87</xdr:col>
      <xdr:colOff>90700</xdr:colOff>
      <xdr:row>45</xdr:row>
      <xdr:rowOff>4761</xdr:rowOff>
    </xdr:to>
    <xdr:cxnSp macro="">
      <xdr:nvCxnSpPr>
        <xdr:cNvPr id="88630" name="Straight Connector 88629"/>
        <xdr:cNvCxnSpPr>
          <a:endCxn id="5421" idx="0"/>
        </xdr:cNvCxnSpPr>
      </xdr:nvCxnSpPr>
      <xdr:spPr>
        <a:xfrm>
          <a:off x="13763914" y="8572502"/>
          <a:ext cx="1393604" cy="4759"/>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92</xdr:col>
      <xdr:colOff>101600</xdr:colOff>
      <xdr:row>45</xdr:row>
      <xdr:rowOff>0</xdr:rowOff>
    </xdr:from>
    <xdr:to>
      <xdr:col>95</xdr:col>
      <xdr:colOff>101600</xdr:colOff>
      <xdr:row>45</xdr:row>
      <xdr:rowOff>0</xdr:rowOff>
    </xdr:to>
    <xdr:cxnSp macro="">
      <xdr:nvCxnSpPr>
        <xdr:cNvPr id="88637" name="Straight Connector 88636"/>
        <xdr:cNvCxnSpPr/>
      </xdr:nvCxnSpPr>
      <xdr:spPr>
        <a:xfrm>
          <a:off x="16034327" y="8572500"/>
          <a:ext cx="519546"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95</xdr:col>
      <xdr:colOff>95250</xdr:colOff>
      <xdr:row>42</xdr:row>
      <xdr:rowOff>0</xdr:rowOff>
    </xdr:from>
    <xdr:to>
      <xdr:col>101</xdr:col>
      <xdr:colOff>95250</xdr:colOff>
      <xdr:row>45</xdr:row>
      <xdr:rowOff>95250</xdr:rowOff>
    </xdr:to>
    <xdr:grpSp>
      <xdr:nvGrpSpPr>
        <xdr:cNvPr id="5271" name="Group 3538"/>
        <xdr:cNvGrpSpPr>
          <a:grpSpLocks/>
        </xdr:cNvGrpSpPr>
      </xdr:nvGrpSpPr>
      <xdr:grpSpPr bwMode="auto">
        <a:xfrm>
          <a:off x="16547523" y="8364682"/>
          <a:ext cx="1039091" cy="666750"/>
          <a:chOff x="40" y="460"/>
          <a:chExt cx="120" cy="70"/>
        </a:xfrm>
      </xdr:grpSpPr>
      <xdr:sp macro="" textlink="">
        <xdr:nvSpPr>
          <xdr:cNvPr id="664" name="Text Box 3525"/>
          <xdr:cNvSpPr txBox="1">
            <a:spLocks noChangeArrowheads="1"/>
          </xdr:cNvSpPr>
        </xdr:nvSpPr>
        <xdr:spPr bwMode="auto">
          <a:xfrm>
            <a:off x="40" y="460"/>
            <a:ext cx="120" cy="50"/>
          </a:xfrm>
          <a:prstGeom prst="rect">
            <a:avLst/>
          </a:prstGeom>
          <a:noFill/>
          <a:ln>
            <a:noFill/>
          </a:ln>
          <a:extLst/>
        </xdr:spPr>
        <xdr:txBody>
          <a:bodyPr vertOverflow="clip" wrap="square" lIns="27432" tIns="0" rIns="0" bIns="27432" anchor="b" upright="1"/>
          <a:lstStyle/>
          <a:p>
            <a:pPr algn="l" rtl="0">
              <a:defRPr sz="1000"/>
            </a:pPr>
            <a:r>
              <a:rPr lang="en-US" sz="800" b="0" i="0" baseline="0">
                <a:effectLst/>
                <a:latin typeface="Arial Narrow" panose="020B0606020202030204" pitchFamily="34" charset="0"/>
                <a:ea typeface="+mn-ea"/>
                <a:cs typeface="+mn-cs"/>
              </a:rPr>
              <a:t>TO C-EO4215</a:t>
            </a:r>
            <a:endParaRPr lang="en-US" sz="800">
              <a:latin typeface="Arial Narrow" panose="020B0606020202030204" pitchFamily="34" charset="0"/>
            </a:endParaRPr>
          </a:p>
        </xdr:txBody>
      </xdr:sp>
      <xdr:grpSp>
        <xdr:nvGrpSpPr>
          <xdr:cNvPr id="5468" name="Group 3526"/>
          <xdr:cNvGrpSpPr>
            <a:grpSpLocks/>
          </xdr:cNvGrpSpPr>
        </xdr:nvGrpSpPr>
        <xdr:grpSpPr bwMode="auto">
          <a:xfrm>
            <a:off x="40" y="510"/>
            <a:ext cx="100" cy="20"/>
            <a:chOff x="1840" y="1050"/>
            <a:chExt cx="100" cy="20"/>
          </a:xfrm>
        </xdr:grpSpPr>
        <xdr:grpSp>
          <xdr:nvGrpSpPr>
            <xdr:cNvPr id="5469" name="Group 3527"/>
            <xdr:cNvGrpSpPr>
              <a:grpSpLocks/>
            </xdr:cNvGrpSpPr>
          </xdr:nvGrpSpPr>
          <xdr:grpSpPr bwMode="auto">
            <a:xfrm>
              <a:off x="1840" y="1050"/>
              <a:ext cx="100" cy="20"/>
              <a:chOff x="1840" y="1050"/>
              <a:chExt cx="100" cy="20"/>
            </a:xfrm>
          </xdr:grpSpPr>
          <xdr:sp macro="" textlink="">
            <xdr:nvSpPr>
              <xdr:cNvPr id="675" name="Rectangle 3528"/>
              <xdr:cNvSpPr>
                <a:spLocks noChangeArrowheads="1"/>
              </xdr:cNvSpPr>
            </xdr:nvSpPr>
            <xdr:spPr bwMode="auto">
              <a:xfrm flipH="1">
                <a:off x="1840" y="1050"/>
                <a:ext cx="93" cy="20"/>
              </a:xfrm>
              <a:prstGeom prst="rect">
                <a:avLst/>
              </a:prstGeom>
              <a:noFill/>
              <a:ln>
                <a:noFill/>
              </a:ln>
              <a:effectLs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           -</a:t>
                </a:r>
                <a:endParaRPr lang="en-US"/>
              </a:p>
            </xdr:txBody>
          </xdr:sp>
          <xdr:sp macro="" textlink="">
            <xdr:nvSpPr>
              <xdr:cNvPr id="5479" name="AutoShape 3529"/>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470" name="Group 3530"/>
            <xdr:cNvGrpSpPr>
              <a:grpSpLocks/>
            </xdr:cNvGrpSpPr>
          </xdr:nvGrpSpPr>
          <xdr:grpSpPr bwMode="auto">
            <a:xfrm>
              <a:off x="1840" y="1050"/>
              <a:ext cx="100" cy="20"/>
              <a:chOff x="1840" y="1050"/>
              <a:chExt cx="100" cy="20"/>
            </a:xfrm>
          </xdr:grpSpPr>
          <xdr:grpSp>
            <xdr:nvGrpSpPr>
              <xdr:cNvPr id="5471" name="Group 3531"/>
              <xdr:cNvGrpSpPr>
                <a:grpSpLocks/>
              </xdr:cNvGrpSpPr>
            </xdr:nvGrpSpPr>
            <xdr:grpSpPr bwMode="auto">
              <a:xfrm>
                <a:off x="1933" y="1050"/>
                <a:ext cx="7" cy="20"/>
                <a:chOff x="1893" y="1050"/>
                <a:chExt cx="7" cy="20"/>
              </a:xfrm>
            </xdr:grpSpPr>
            <xdr:sp macro="" textlink="">
              <xdr:nvSpPr>
                <xdr:cNvPr id="5476" name="Line 3532"/>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477" name="Line 3533"/>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472" name="Group 3534"/>
              <xdr:cNvGrpSpPr>
                <a:grpSpLocks/>
              </xdr:cNvGrpSpPr>
            </xdr:nvGrpSpPr>
            <xdr:grpSpPr bwMode="auto">
              <a:xfrm>
                <a:off x="1840" y="1050"/>
                <a:ext cx="93" cy="20"/>
                <a:chOff x="1840" y="1050"/>
                <a:chExt cx="93" cy="20"/>
              </a:xfrm>
            </xdr:grpSpPr>
            <xdr:sp macro="" textlink="">
              <xdr:nvSpPr>
                <xdr:cNvPr id="5473" name="Line 3535"/>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474" name="Line 3536"/>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475" name="Line 3537"/>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grpSp>
    <xdr:clientData/>
  </xdr:twoCellAnchor>
  <xdr:twoCellAnchor editAs="oneCell">
    <xdr:from>
      <xdr:col>80</xdr:col>
      <xdr:colOff>0</xdr:colOff>
      <xdr:row>20</xdr:row>
      <xdr:rowOff>9525</xdr:rowOff>
    </xdr:from>
    <xdr:to>
      <xdr:col>81</xdr:col>
      <xdr:colOff>92287</xdr:colOff>
      <xdr:row>20</xdr:row>
      <xdr:rowOff>9525</xdr:rowOff>
    </xdr:to>
    <xdr:cxnSp macro="">
      <xdr:nvCxnSpPr>
        <xdr:cNvPr id="2272" name="Straight Connector 2271"/>
        <xdr:cNvCxnSpPr/>
      </xdr:nvCxnSpPr>
      <xdr:spPr>
        <a:xfrm flipH="1">
          <a:off x="13854545" y="3819525"/>
          <a:ext cx="265469"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63</xdr:col>
      <xdr:colOff>50641</xdr:colOff>
      <xdr:row>20</xdr:row>
      <xdr:rowOff>9525</xdr:rowOff>
    </xdr:from>
    <xdr:to>
      <xdr:col>78</xdr:col>
      <xdr:colOff>82550</xdr:colOff>
      <xdr:row>20</xdr:row>
      <xdr:rowOff>9526</xdr:rowOff>
    </xdr:to>
    <xdr:cxnSp macro="">
      <xdr:nvCxnSpPr>
        <xdr:cNvPr id="2278" name="Straight Connector 2277"/>
        <xdr:cNvCxnSpPr/>
      </xdr:nvCxnSpPr>
      <xdr:spPr>
        <a:xfrm flipV="1">
          <a:off x="10961096" y="3819525"/>
          <a:ext cx="2629636" cy="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68</xdr:col>
      <xdr:colOff>6350</xdr:colOff>
      <xdr:row>50</xdr:row>
      <xdr:rowOff>4773</xdr:rowOff>
    </xdr:from>
    <xdr:to>
      <xdr:col>95</xdr:col>
      <xdr:colOff>73026</xdr:colOff>
      <xdr:row>50</xdr:row>
      <xdr:rowOff>9525</xdr:rowOff>
    </xdr:to>
    <xdr:cxnSp macro="">
      <xdr:nvCxnSpPr>
        <xdr:cNvPr id="2285" name="Straight Connector 2284"/>
        <xdr:cNvCxnSpPr/>
      </xdr:nvCxnSpPr>
      <xdr:spPr>
        <a:xfrm flipH="1">
          <a:off x="11782714" y="9529773"/>
          <a:ext cx="4742585" cy="4752"/>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52</xdr:col>
      <xdr:colOff>69692</xdr:colOff>
      <xdr:row>49</xdr:row>
      <xdr:rowOff>185743</xdr:rowOff>
    </xdr:from>
    <xdr:to>
      <xdr:col>65</xdr:col>
      <xdr:colOff>168274</xdr:colOff>
      <xdr:row>50</xdr:row>
      <xdr:rowOff>0</xdr:rowOff>
    </xdr:to>
    <xdr:cxnSp macro="">
      <xdr:nvCxnSpPr>
        <xdr:cNvPr id="2292" name="Straight Connector 2291"/>
        <xdr:cNvCxnSpPr/>
      </xdr:nvCxnSpPr>
      <xdr:spPr>
        <a:xfrm>
          <a:off x="9075147" y="9520243"/>
          <a:ext cx="2349945" cy="4757"/>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80</xdr:col>
      <xdr:colOff>1444</xdr:colOff>
      <xdr:row>23</xdr:row>
      <xdr:rowOff>114300</xdr:rowOff>
    </xdr:from>
    <xdr:to>
      <xdr:col>86</xdr:col>
      <xdr:colOff>168275</xdr:colOff>
      <xdr:row>23</xdr:row>
      <xdr:rowOff>114300</xdr:rowOff>
    </xdr:to>
    <xdr:cxnSp macro="">
      <xdr:nvCxnSpPr>
        <xdr:cNvPr id="2296" name="Straight Connector 2295"/>
        <xdr:cNvCxnSpPr/>
      </xdr:nvCxnSpPr>
      <xdr:spPr>
        <a:xfrm>
          <a:off x="13855989" y="4495800"/>
          <a:ext cx="1205922"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92</xdr:col>
      <xdr:colOff>111125</xdr:colOff>
      <xdr:row>23</xdr:row>
      <xdr:rowOff>123825</xdr:rowOff>
    </xdr:from>
    <xdr:to>
      <xdr:col>95</xdr:col>
      <xdr:colOff>63500</xdr:colOff>
      <xdr:row>23</xdr:row>
      <xdr:rowOff>123825</xdr:rowOff>
    </xdr:to>
    <xdr:cxnSp macro="">
      <xdr:nvCxnSpPr>
        <xdr:cNvPr id="2298" name="Straight Connector 2297"/>
        <xdr:cNvCxnSpPr/>
      </xdr:nvCxnSpPr>
      <xdr:spPr>
        <a:xfrm>
          <a:off x="16043852" y="4505325"/>
          <a:ext cx="471921"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73</xdr:col>
      <xdr:colOff>6350</xdr:colOff>
      <xdr:row>53</xdr:row>
      <xdr:rowOff>9525</xdr:rowOff>
    </xdr:from>
    <xdr:to>
      <xdr:col>73</xdr:col>
      <xdr:colOff>15875</xdr:colOff>
      <xdr:row>54</xdr:row>
      <xdr:rowOff>57150</xdr:rowOff>
    </xdr:to>
    <xdr:cxnSp macro="">
      <xdr:nvCxnSpPr>
        <xdr:cNvPr id="37" name="Straight Connector 36"/>
        <xdr:cNvCxnSpPr/>
      </xdr:nvCxnSpPr>
      <xdr:spPr>
        <a:xfrm>
          <a:off x="12648623" y="10106025"/>
          <a:ext cx="9525" cy="238125"/>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74</xdr:col>
      <xdr:colOff>0</xdr:colOff>
      <xdr:row>57</xdr:row>
      <xdr:rowOff>0</xdr:rowOff>
    </xdr:from>
    <xdr:to>
      <xdr:col>79</xdr:col>
      <xdr:colOff>6350</xdr:colOff>
      <xdr:row>57</xdr:row>
      <xdr:rowOff>1</xdr:rowOff>
    </xdr:to>
    <xdr:cxnSp macro="">
      <xdr:nvCxnSpPr>
        <xdr:cNvPr id="753" name="Straight Connector 752"/>
        <xdr:cNvCxnSpPr/>
      </xdr:nvCxnSpPr>
      <xdr:spPr>
        <a:xfrm>
          <a:off x="12815455" y="10858500"/>
          <a:ext cx="872259" cy="1"/>
        </a:xfrm>
        <a:prstGeom prst="line">
          <a:avLst/>
        </a:prstGeom>
        <a:ln w="25400">
          <a:solidFill>
            <a:schemeClr val="tx1"/>
          </a:solidFill>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77</xdr:col>
      <xdr:colOff>142875</xdr:colOff>
      <xdr:row>55</xdr:row>
      <xdr:rowOff>0</xdr:rowOff>
    </xdr:from>
    <xdr:to>
      <xdr:col>83</xdr:col>
      <xdr:colOff>9525</xdr:colOff>
      <xdr:row>59</xdr:row>
      <xdr:rowOff>123825</xdr:rowOff>
    </xdr:to>
    <xdr:grpSp>
      <xdr:nvGrpSpPr>
        <xdr:cNvPr id="5280" name="Group 2014"/>
        <xdr:cNvGrpSpPr>
          <a:grpSpLocks/>
        </xdr:cNvGrpSpPr>
      </xdr:nvGrpSpPr>
      <xdr:grpSpPr bwMode="auto">
        <a:xfrm rot="-3282685">
          <a:off x="13487833" y="10831224"/>
          <a:ext cx="885825" cy="905741"/>
          <a:chOff x="1671" y="1180"/>
          <a:chExt cx="97" cy="100"/>
        </a:xfrm>
      </xdr:grpSpPr>
      <xdr:sp macro="" textlink="">
        <xdr:nvSpPr>
          <xdr:cNvPr id="5454" name="Line 1580"/>
          <xdr:cNvSpPr>
            <a:spLocks noChangeShapeType="1"/>
          </xdr:cNvSpPr>
        </xdr:nvSpPr>
        <xdr:spPr bwMode="auto">
          <a:xfrm>
            <a:off x="1720" y="1180"/>
            <a:ext cx="0" cy="20"/>
          </a:xfrm>
          <a:prstGeom prst="line">
            <a:avLst/>
          </a:prstGeom>
          <a:noFill/>
          <a:ln w="9525">
            <a:solidFill>
              <a:srgbClr val="FFFFFF"/>
            </a:solidFill>
            <a:round/>
            <a:headEnd/>
            <a:tailEnd/>
          </a:ln>
        </xdr:spPr>
      </xdr:sp>
      <xdr:sp macro="" textlink="">
        <xdr:nvSpPr>
          <xdr:cNvPr id="5455" name="Line 1581"/>
          <xdr:cNvSpPr>
            <a:spLocks noChangeShapeType="1"/>
          </xdr:cNvSpPr>
        </xdr:nvSpPr>
        <xdr:spPr bwMode="auto">
          <a:xfrm>
            <a:off x="1680" y="1274"/>
            <a:ext cx="0" cy="6"/>
          </a:xfrm>
          <a:prstGeom prst="line">
            <a:avLst/>
          </a:prstGeom>
          <a:noFill/>
          <a:ln w="9525">
            <a:solidFill>
              <a:srgbClr val="FFFFFF"/>
            </a:solidFill>
            <a:round/>
            <a:headEnd/>
            <a:tailEnd/>
          </a:ln>
        </xdr:spPr>
      </xdr:sp>
      <xdr:grpSp>
        <xdr:nvGrpSpPr>
          <xdr:cNvPr id="5456" name="Group 2013"/>
          <xdr:cNvGrpSpPr>
            <a:grpSpLocks/>
          </xdr:cNvGrpSpPr>
        </xdr:nvGrpSpPr>
        <xdr:grpSpPr bwMode="auto">
          <a:xfrm>
            <a:off x="1671" y="1200"/>
            <a:ext cx="97" cy="40"/>
            <a:chOff x="1671" y="1200"/>
            <a:chExt cx="97" cy="40"/>
          </a:xfrm>
        </xdr:grpSpPr>
        <xdr:sp macro="" textlink="">
          <xdr:nvSpPr>
            <xdr:cNvPr id="5457" name="Line 1591"/>
            <xdr:cNvSpPr>
              <a:spLocks noChangeShapeType="1"/>
            </xdr:cNvSpPr>
          </xdr:nvSpPr>
          <xdr:spPr bwMode="auto">
            <a:xfrm>
              <a:off x="1671" y="1219"/>
              <a:ext cx="30" cy="1"/>
            </a:xfrm>
            <a:prstGeom prst="line">
              <a:avLst/>
            </a:prstGeom>
            <a:noFill/>
            <a:ln w="9525">
              <a:solidFill>
                <a:srgbClr val="000000"/>
              </a:solidFill>
              <a:round/>
              <a:headEnd/>
              <a:tailEnd type="triangle" w="med" len="med"/>
            </a:ln>
          </xdr:spPr>
        </xdr:sp>
        <xdr:sp macro="" textlink="">
          <xdr:nvSpPr>
            <xdr:cNvPr id="5458" name="Line 1595"/>
            <xdr:cNvSpPr>
              <a:spLocks noChangeShapeType="1"/>
            </xdr:cNvSpPr>
          </xdr:nvSpPr>
          <xdr:spPr bwMode="auto">
            <a:xfrm flipV="1">
              <a:off x="1741" y="1220"/>
              <a:ext cx="27" cy="0"/>
            </a:xfrm>
            <a:prstGeom prst="line">
              <a:avLst/>
            </a:prstGeom>
            <a:noFill/>
            <a:ln w="9525">
              <a:solidFill>
                <a:srgbClr val="000000"/>
              </a:solidFill>
              <a:round/>
              <a:headEnd/>
              <a:tailEnd type="triangle" w="med" len="med"/>
            </a:ln>
          </xdr:spPr>
        </xdr:sp>
        <xdr:grpSp>
          <xdr:nvGrpSpPr>
            <xdr:cNvPr id="5459" name="Group 2005"/>
            <xdr:cNvGrpSpPr>
              <a:grpSpLocks/>
            </xdr:cNvGrpSpPr>
          </xdr:nvGrpSpPr>
          <xdr:grpSpPr bwMode="auto">
            <a:xfrm>
              <a:off x="1700" y="1200"/>
              <a:ext cx="40" cy="40"/>
              <a:chOff x="494" y="360"/>
              <a:chExt cx="38" cy="40"/>
            </a:xfrm>
          </xdr:grpSpPr>
          <xdr:sp macro="" textlink="">
            <xdr:nvSpPr>
              <xdr:cNvPr id="5460" name="Oval 2006"/>
              <xdr:cNvSpPr>
                <a:spLocks noChangeArrowheads="1"/>
              </xdr:cNvSpPr>
            </xdr:nvSpPr>
            <xdr:spPr bwMode="auto">
              <a:xfrm>
                <a:off x="494" y="360"/>
                <a:ext cx="38" cy="40"/>
              </a:xfrm>
              <a:prstGeom prst="ellipse">
                <a:avLst/>
              </a:prstGeom>
              <a:noFill/>
              <a:ln w="9525">
                <a:solidFill>
                  <a:srgbClr val="000000"/>
                </a:solidFill>
                <a:round/>
                <a:headEnd/>
                <a:tailEnd/>
              </a:ln>
            </xdr:spPr>
          </xdr:sp>
          <xdr:grpSp>
            <xdr:nvGrpSpPr>
              <xdr:cNvPr id="5461" name="Group 2007"/>
              <xdr:cNvGrpSpPr>
                <a:grpSpLocks/>
              </xdr:cNvGrpSpPr>
            </xdr:nvGrpSpPr>
            <xdr:grpSpPr bwMode="auto">
              <a:xfrm>
                <a:off x="494" y="372"/>
                <a:ext cx="38" cy="16"/>
                <a:chOff x="311" y="972"/>
                <a:chExt cx="38" cy="16"/>
              </a:xfrm>
            </xdr:grpSpPr>
            <xdr:sp macro="" textlink="">
              <xdr:nvSpPr>
                <xdr:cNvPr id="5462" name="Line 2008"/>
                <xdr:cNvSpPr>
                  <a:spLocks noChangeShapeType="1"/>
                </xdr:cNvSpPr>
              </xdr:nvSpPr>
              <xdr:spPr bwMode="auto">
                <a:xfrm>
                  <a:off x="311" y="980"/>
                  <a:ext cx="6" cy="0"/>
                </a:xfrm>
                <a:prstGeom prst="line">
                  <a:avLst/>
                </a:prstGeom>
                <a:noFill/>
                <a:ln w="9525">
                  <a:solidFill>
                    <a:srgbClr val="000000"/>
                  </a:solidFill>
                  <a:prstDash val="dash"/>
                  <a:round/>
                  <a:headEnd/>
                  <a:tailEnd/>
                </a:ln>
              </xdr:spPr>
            </xdr:sp>
            <xdr:sp macro="" textlink="">
              <xdr:nvSpPr>
                <xdr:cNvPr id="5463" name="Line 2009"/>
                <xdr:cNvSpPr>
                  <a:spLocks noChangeShapeType="1"/>
                </xdr:cNvSpPr>
              </xdr:nvSpPr>
              <xdr:spPr bwMode="auto">
                <a:xfrm>
                  <a:off x="343" y="980"/>
                  <a:ext cx="6" cy="0"/>
                </a:xfrm>
                <a:prstGeom prst="line">
                  <a:avLst/>
                </a:prstGeom>
                <a:noFill/>
                <a:ln w="9525">
                  <a:solidFill>
                    <a:srgbClr val="000000"/>
                  </a:solidFill>
                  <a:prstDash val="dash"/>
                  <a:round/>
                  <a:headEnd/>
                  <a:tailEnd/>
                </a:ln>
              </xdr:spPr>
            </xdr:sp>
            <xdr:sp macro="" textlink="">
              <xdr:nvSpPr>
                <xdr:cNvPr id="5464" name="Line 2010"/>
                <xdr:cNvSpPr>
                  <a:spLocks noChangeShapeType="1"/>
                </xdr:cNvSpPr>
              </xdr:nvSpPr>
              <xdr:spPr bwMode="auto">
                <a:xfrm>
                  <a:off x="343" y="980"/>
                  <a:ext cx="0" cy="8"/>
                </a:xfrm>
                <a:prstGeom prst="line">
                  <a:avLst/>
                </a:prstGeom>
                <a:noFill/>
                <a:ln w="9525">
                  <a:solidFill>
                    <a:srgbClr val="000000"/>
                  </a:solidFill>
                  <a:prstDash val="dash"/>
                  <a:round/>
                  <a:headEnd/>
                  <a:tailEnd/>
                </a:ln>
              </xdr:spPr>
            </xdr:sp>
            <xdr:sp macro="" textlink="">
              <xdr:nvSpPr>
                <xdr:cNvPr id="5465" name="Line 2011"/>
                <xdr:cNvSpPr>
                  <a:spLocks noChangeShapeType="1"/>
                </xdr:cNvSpPr>
              </xdr:nvSpPr>
              <xdr:spPr bwMode="auto">
                <a:xfrm>
                  <a:off x="317" y="972"/>
                  <a:ext cx="0" cy="8"/>
                </a:xfrm>
                <a:prstGeom prst="line">
                  <a:avLst/>
                </a:prstGeom>
                <a:noFill/>
                <a:ln w="9525">
                  <a:solidFill>
                    <a:srgbClr val="000000"/>
                  </a:solidFill>
                  <a:prstDash val="dash"/>
                  <a:round/>
                  <a:headEnd/>
                  <a:tailEnd/>
                </a:ln>
              </xdr:spPr>
            </xdr:sp>
            <xdr:sp macro="" textlink="">
              <xdr:nvSpPr>
                <xdr:cNvPr id="5466" name="Line 2012"/>
                <xdr:cNvSpPr>
                  <a:spLocks noChangeShapeType="1"/>
                </xdr:cNvSpPr>
              </xdr:nvSpPr>
              <xdr:spPr bwMode="auto">
                <a:xfrm>
                  <a:off x="317" y="972"/>
                  <a:ext cx="26" cy="16"/>
                </a:xfrm>
                <a:prstGeom prst="line">
                  <a:avLst/>
                </a:prstGeom>
                <a:noFill/>
                <a:ln w="9525">
                  <a:solidFill>
                    <a:srgbClr val="000000"/>
                  </a:solidFill>
                  <a:prstDash val="dash"/>
                  <a:round/>
                  <a:headEnd/>
                  <a:tailEnd/>
                </a:ln>
              </xdr:spPr>
            </xdr:sp>
          </xdr:grpSp>
        </xdr:grpSp>
      </xdr:grpSp>
    </xdr:grpSp>
    <xdr:clientData/>
  </xdr:twoCellAnchor>
  <xdr:twoCellAnchor editAs="oneCell">
    <xdr:from>
      <xdr:col>81</xdr:col>
      <xdr:colOff>6347</xdr:colOff>
      <xdr:row>57</xdr:row>
      <xdr:rowOff>4764</xdr:rowOff>
    </xdr:from>
    <xdr:to>
      <xdr:col>91</xdr:col>
      <xdr:colOff>130207</xdr:colOff>
      <xdr:row>57</xdr:row>
      <xdr:rowOff>9525</xdr:rowOff>
    </xdr:to>
    <xdr:cxnSp macro="">
      <xdr:nvCxnSpPr>
        <xdr:cNvPr id="768" name="Straight Connector 767"/>
        <xdr:cNvCxnSpPr/>
      </xdr:nvCxnSpPr>
      <xdr:spPr>
        <a:xfrm>
          <a:off x="14034074" y="10863264"/>
          <a:ext cx="1855678" cy="476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91</xdr:col>
      <xdr:colOff>130175</xdr:colOff>
      <xdr:row>51</xdr:row>
      <xdr:rowOff>9525</xdr:rowOff>
    </xdr:from>
    <xdr:to>
      <xdr:col>91</xdr:col>
      <xdr:colOff>130175</xdr:colOff>
      <xdr:row>57</xdr:row>
      <xdr:rowOff>19050</xdr:rowOff>
    </xdr:to>
    <xdr:cxnSp macro="">
      <xdr:nvCxnSpPr>
        <xdr:cNvPr id="56" name="Straight Connector 55"/>
        <xdr:cNvCxnSpPr/>
      </xdr:nvCxnSpPr>
      <xdr:spPr>
        <a:xfrm>
          <a:off x="15889720" y="9725025"/>
          <a:ext cx="0" cy="1152525"/>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84</xdr:col>
      <xdr:colOff>1443</xdr:colOff>
      <xdr:row>37</xdr:row>
      <xdr:rowOff>0</xdr:rowOff>
    </xdr:from>
    <xdr:to>
      <xdr:col>84</xdr:col>
      <xdr:colOff>1588</xdr:colOff>
      <xdr:row>40</xdr:row>
      <xdr:rowOff>0</xdr:rowOff>
    </xdr:to>
    <xdr:cxnSp macro="">
      <xdr:nvCxnSpPr>
        <xdr:cNvPr id="62" name="Straight Connector 61"/>
        <xdr:cNvCxnSpPr>
          <a:stCxn id="5512" idx="6"/>
        </xdr:cNvCxnSpPr>
      </xdr:nvCxnSpPr>
      <xdr:spPr>
        <a:xfrm flipH="1">
          <a:off x="14548716" y="7048500"/>
          <a:ext cx="145" cy="57150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83</xdr:col>
      <xdr:colOff>170658</xdr:colOff>
      <xdr:row>40</xdr:row>
      <xdr:rowOff>4762</xdr:rowOff>
    </xdr:from>
    <xdr:to>
      <xdr:col>87</xdr:col>
      <xdr:colOff>107317</xdr:colOff>
      <xdr:row>40</xdr:row>
      <xdr:rowOff>4762</xdr:rowOff>
    </xdr:to>
    <xdr:cxnSp macro="">
      <xdr:nvCxnSpPr>
        <xdr:cNvPr id="2304" name="Straight Connector 2303"/>
        <xdr:cNvCxnSpPr/>
      </xdr:nvCxnSpPr>
      <xdr:spPr>
        <a:xfrm>
          <a:off x="14544749" y="7624762"/>
          <a:ext cx="629386"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92</xdr:col>
      <xdr:colOff>37306</xdr:colOff>
      <xdr:row>40</xdr:row>
      <xdr:rowOff>0</xdr:rowOff>
    </xdr:from>
    <xdr:to>
      <xdr:col>95</xdr:col>
      <xdr:colOff>82550</xdr:colOff>
      <xdr:row>40</xdr:row>
      <xdr:rowOff>1</xdr:rowOff>
    </xdr:to>
    <xdr:cxnSp macro="">
      <xdr:nvCxnSpPr>
        <xdr:cNvPr id="2306" name="Straight Connector 2305"/>
        <xdr:cNvCxnSpPr/>
      </xdr:nvCxnSpPr>
      <xdr:spPr>
        <a:xfrm>
          <a:off x="15970033" y="7620000"/>
          <a:ext cx="564790" cy="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95</xdr:col>
      <xdr:colOff>76200</xdr:colOff>
      <xdr:row>36</xdr:row>
      <xdr:rowOff>123825</xdr:rowOff>
    </xdr:from>
    <xdr:to>
      <xdr:col>101</xdr:col>
      <xdr:colOff>0</xdr:colOff>
      <xdr:row>40</xdr:row>
      <xdr:rowOff>104775</xdr:rowOff>
    </xdr:to>
    <xdr:grpSp>
      <xdr:nvGrpSpPr>
        <xdr:cNvPr id="5286" name="Group 3538"/>
        <xdr:cNvGrpSpPr>
          <a:grpSpLocks/>
        </xdr:cNvGrpSpPr>
      </xdr:nvGrpSpPr>
      <xdr:grpSpPr bwMode="auto">
        <a:xfrm rot="10800000">
          <a:off x="16528473" y="7345507"/>
          <a:ext cx="962891" cy="742950"/>
          <a:chOff x="35" y="510"/>
          <a:chExt cx="105" cy="65"/>
        </a:xfrm>
      </xdr:grpSpPr>
      <xdr:sp macro="" textlink="">
        <xdr:nvSpPr>
          <xdr:cNvPr id="783" name="Text Box 3525"/>
          <xdr:cNvSpPr txBox="1">
            <a:spLocks noChangeArrowheads="1"/>
          </xdr:cNvSpPr>
        </xdr:nvSpPr>
        <xdr:spPr bwMode="auto">
          <a:xfrm>
            <a:off x="39" y="532"/>
            <a:ext cx="98" cy="46"/>
          </a:xfrm>
          <a:prstGeom prst="rect">
            <a:avLst/>
          </a:prstGeom>
          <a:noFill/>
          <a:ln>
            <a:noFill/>
          </a:ln>
          <a:extLst/>
        </xdr:spPr>
        <xdr:txBody>
          <a:bodyPr vertOverflow="clip" wrap="square" lIns="27432" tIns="0" rIns="0" bIns="27432" anchor="b" upright="1"/>
          <a:lstStyle/>
          <a:p>
            <a:pPr algn="l" rtl="0">
              <a:defRPr sz="1000"/>
            </a:pPr>
            <a:r>
              <a:rPr lang="en-US" sz="800" b="0" i="0" baseline="0">
                <a:effectLst/>
                <a:latin typeface="Arial Narrow" panose="020B0606020202030204" pitchFamily="34" charset="0"/>
                <a:ea typeface="+mn-ea"/>
                <a:cs typeface="+mn-cs"/>
              </a:rPr>
              <a:t>P-EO4215/16/17/18</a:t>
            </a:r>
          </a:p>
          <a:p>
            <a:pPr algn="l" rtl="0">
              <a:defRPr sz="1000"/>
            </a:pPr>
            <a:r>
              <a:rPr lang="en-US" sz="800" b="0" i="0" baseline="0">
                <a:effectLst/>
                <a:latin typeface="Arial Narrow" panose="020B0606020202030204" pitchFamily="34" charset="0"/>
                <a:ea typeface="+mn-ea"/>
                <a:cs typeface="+mn-cs"/>
              </a:rPr>
              <a:t>R.../LEAN ABSORBANT</a:t>
            </a:r>
          </a:p>
          <a:p>
            <a:pPr algn="l" rtl="0">
              <a:defRPr sz="1000"/>
            </a:pPr>
            <a:r>
              <a:rPr lang="en-US" sz="800" b="0" i="0" baseline="0">
                <a:effectLst/>
                <a:latin typeface="Arial Narrow" panose="020B0606020202030204" pitchFamily="34" charset="0"/>
                <a:ea typeface="+mn-ea"/>
                <a:cs typeface="+mn-cs"/>
              </a:rPr>
              <a:t>EXCHANGER</a:t>
            </a:r>
            <a:endParaRPr lang="en-US" sz="800">
              <a:latin typeface="Arial Narrow" panose="020B0606020202030204" pitchFamily="34" charset="0"/>
            </a:endParaRPr>
          </a:p>
        </xdr:txBody>
      </xdr:sp>
      <xdr:grpSp>
        <xdr:nvGrpSpPr>
          <xdr:cNvPr id="5442" name="Group 3526"/>
          <xdr:cNvGrpSpPr>
            <a:grpSpLocks/>
          </xdr:cNvGrpSpPr>
        </xdr:nvGrpSpPr>
        <xdr:grpSpPr bwMode="auto">
          <a:xfrm>
            <a:off x="40" y="510"/>
            <a:ext cx="100" cy="20"/>
            <a:chOff x="1840" y="1050"/>
            <a:chExt cx="100" cy="20"/>
          </a:xfrm>
        </xdr:grpSpPr>
        <xdr:grpSp>
          <xdr:nvGrpSpPr>
            <xdr:cNvPr id="5443" name="Group 3527"/>
            <xdr:cNvGrpSpPr>
              <a:grpSpLocks/>
            </xdr:cNvGrpSpPr>
          </xdr:nvGrpSpPr>
          <xdr:grpSpPr bwMode="auto">
            <a:xfrm>
              <a:off x="1840" y="1050"/>
              <a:ext cx="100" cy="20"/>
              <a:chOff x="1840" y="1050"/>
              <a:chExt cx="100" cy="20"/>
            </a:xfrm>
          </xdr:grpSpPr>
          <xdr:sp macro="" textlink="">
            <xdr:nvSpPr>
              <xdr:cNvPr id="794" name="Rectangle 3528"/>
              <xdr:cNvSpPr>
                <a:spLocks noChangeArrowheads="1"/>
              </xdr:cNvSpPr>
            </xdr:nvSpPr>
            <xdr:spPr bwMode="auto">
              <a:xfrm flipH="1">
                <a:off x="1840" y="1050"/>
                <a:ext cx="93" cy="20"/>
              </a:xfrm>
              <a:prstGeom prst="rect">
                <a:avLst/>
              </a:prstGeom>
              <a:noFill/>
              <a:ln>
                <a:noFill/>
              </a:ln>
              <a:effectLs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           -</a:t>
                </a:r>
                <a:endParaRPr lang="en-US"/>
              </a:p>
            </xdr:txBody>
          </xdr:sp>
          <xdr:sp macro="" textlink="">
            <xdr:nvSpPr>
              <xdr:cNvPr id="5453" name="AutoShape 3529"/>
              <xdr:cNvSpPr>
                <a:spLocks noChangeArrowheads="1"/>
              </xdr:cNvSpPr>
            </xdr:nvSpPr>
            <xdr:spPr bwMode="auto">
              <a:xfrm rot="16200000" flipH="1">
                <a:off x="1927" y="1056"/>
                <a:ext cx="20" cy="7"/>
              </a:xfrm>
              <a:prstGeom prst="flowChartMerge">
                <a:avLst/>
              </a:prstGeom>
              <a:noFill/>
              <a:ln w="9525" algn="ctr">
                <a:noFill/>
                <a:miter lim="800000"/>
                <a:headEnd/>
                <a:tailEnd/>
              </a:ln>
            </xdr:spPr>
          </xdr:sp>
        </xdr:grpSp>
        <xdr:grpSp>
          <xdr:nvGrpSpPr>
            <xdr:cNvPr id="5444" name="Group 3530"/>
            <xdr:cNvGrpSpPr>
              <a:grpSpLocks/>
            </xdr:cNvGrpSpPr>
          </xdr:nvGrpSpPr>
          <xdr:grpSpPr bwMode="auto">
            <a:xfrm>
              <a:off x="1840" y="1050"/>
              <a:ext cx="100" cy="20"/>
              <a:chOff x="1840" y="1050"/>
              <a:chExt cx="100" cy="20"/>
            </a:xfrm>
          </xdr:grpSpPr>
          <xdr:grpSp>
            <xdr:nvGrpSpPr>
              <xdr:cNvPr id="5445" name="Group 3531"/>
              <xdr:cNvGrpSpPr>
                <a:grpSpLocks/>
              </xdr:cNvGrpSpPr>
            </xdr:nvGrpSpPr>
            <xdr:grpSpPr bwMode="auto">
              <a:xfrm>
                <a:off x="1933" y="1050"/>
                <a:ext cx="7" cy="20"/>
                <a:chOff x="1893" y="1050"/>
                <a:chExt cx="7" cy="20"/>
              </a:xfrm>
            </xdr:grpSpPr>
            <xdr:sp macro="" textlink="">
              <xdr:nvSpPr>
                <xdr:cNvPr id="5450" name="Line 3532"/>
                <xdr:cNvSpPr>
                  <a:spLocks noChangeShapeType="1"/>
                </xdr:cNvSpPr>
              </xdr:nvSpPr>
              <xdr:spPr bwMode="auto">
                <a:xfrm>
                  <a:off x="1893" y="1050"/>
                  <a:ext cx="7" cy="10"/>
                </a:xfrm>
                <a:prstGeom prst="line">
                  <a:avLst/>
                </a:prstGeom>
                <a:noFill/>
                <a:ln w="9525">
                  <a:solidFill>
                    <a:srgbClr val="000000"/>
                  </a:solidFill>
                  <a:round/>
                  <a:headEnd/>
                  <a:tailEnd/>
                </a:ln>
              </xdr:spPr>
            </xdr:sp>
            <xdr:sp macro="" textlink="">
              <xdr:nvSpPr>
                <xdr:cNvPr id="5451" name="Line 3533"/>
                <xdr:cNvSpPr>
                  <a:spLocks noChangeShapeType="1"/>
                </xdr:cNvSpPr>
              </xdr:nvSpPr>
              <xdr:spPr bwMode="auto">
                <a:xfrm flipH="1">
                  <a:off x="1893" y="1060"/>
                  <a:ext cx="7" cy="10"/>
                </a:xfrm>
                <a:prstGeom prst="line">
                  <a:avLst/>
                </a:prstGeom>
                <a:noFill/>
                <a:ln w="9525">
                  <a:solidFill>
                    <a:srgbClr val="000000"/>
                  </a:solidFill>
                  <a:round/>
                  <a:headEnd/>
                  <a:tailEnd/>
                </a:ln>
              </xdr:spPr>
            </xdr:sp>
          </xdr:grpSp>
          <xdr:grpSp>
            <xdr:nvGrpSpPr>
              <xdr:cNvPr id="5446" name="Group 3534"/>
              <xdr:cNvGrpSpPr>
                <a:grpSpLocks/>
              </xdr:cNvGrpSpPr>
            </xdr:nvGrpSpPr>
            <xdr:grpSpPr bwMode="auto">
              <a:xfrm>
                <a:off x="1840" y="1050"/>
                <a:ext cx="93" cy="20"/>
                <a:chOff x="1840" y="1050"/>
                <a:chExt cx="93" cy="20"/>
              </a:xfrm>
            </xdr:grpSpPr>
            <xdr:sp macro="" textlink="">
              <xdr:nvSpPr>
                <xdr:cNvPr id="5447" name="Line 3535"/>
                <xdr:cNvSpPr>
                  <a:spLocks noChangeShapeType="1"/>
                </xdr:cNvSpPr>
              </xdr:nvSpPr>
              <xdr:spPr bwMode="auto">
                <a:xfrm flipH="1">
                  <a:off x="1840" y="1070"/>
                  <a:ext cx="93" cy="0"/>
                </a:xfrm>
                <a:prstGeom prst="line">
                  <a:avLst/>
                </a:prstGeom>
                <a:noFill/>
                <a:ln w="9525">
                  <a:solidFill>
                    <a:srgbClr val="000000"/>
                  </a:solidFill>
                  <a:round/>
                  <a:headEnd/>
                  <a:tailEnd/>
                </a:ln>
              </xdr:spPr>
            </xdr:sp>
            <xdr:sp macro="" textlink="">
              <xdr:nvSpPr>
                <xdr:cNvPr id="5448" name="Line 3536"/>
                <xdr:cNvSpPr>
                  <a:spLocks noChangeShapeType="1"/>
                </xdr:cNvSpPr>
              </xdr:nvSpPr>
              <xdr:spPr bwMode="auto">
                <a:xfrm flipH="1">
                  <a:off x="1840" y="1050"/>
                  <a:ext cx="93" cy="0"/>
                </a:xfrm>
                <a:prstGeom prst="line">
                  <a:avLst/>
                </a:prstGeom>
                <a:noFill/>
                <a:ln w="9525">
                  <a:solidFill>
                    <a:srgbClr val="000000"/>
                  </a:solidFill>
                  <a:round/>
                  <a:headEnd/>
                  <a:tailEnd/>
                </a:ln>
              </xdr:spPr>
            </xdr:sp>
            <xdr:sp macro="" textlink="">
              <xdr:nvSpPr>
                <xdr:cNvPr id="5449" name="Line 3537"/>
                <xdr:cNvSpPr>
                  <a:spLocks noChangeShapeType="1"/>
                </xdr:cNvSpPr>
              </xdr:nvSpPr>
              <xdr:spPr bwMode="auto">
                <a:xfrm flipH="1">
                  <a:off x="1840" y="1050"/>
                  <a:ext cx="0" cy="20"/>
                </a:xfrm>
                <a:prstGeom prst="line">
                  <a:avLst/>
                </a:prstGeom>
                <a:noFill/>
                <a:ln w="9525">
                  <a:solidFill>
                    <a:srgbClr val="000000"/>
                  </a:solidFill>
                  <a:round/>
                  <a:headEnd/>
                  <a:tailEnd/>
                </a:ln>
              </xdr:spPr>
            </xdr:sp>
          </xdr:grpSp>
        </xdr:grpSp>
      </xdr:grpSp>
    </xdr:grpSp>
    <xdr:clientData/>
  </xdr:twoCellAnchor>
  <xdr:twoCellAnchor editAs="oneCell">
    <xdr:from>
      <xdr:col>87</xdr:col>
      <xdr:colOff>0</xdr:colOff>
      <xdr:row>39</xdr:row>
      <xdr:rowOff>19050</xdr:rowOff>
    </xdr:from>
    <xdr:to>
      <xdr:col>89</xdr:col>
      <xdr:colOff>0</xdr:colOff>
      <xdr:row>40</xdr:row>
      <xdr:rowOff>47625</xdr:rowOff>
    </xdr:to>
    <xdr:grpSp>
      <xdr:nvGrpSpPr>
        <xdr:cNvPr id="5287" name="Group 3915"/>
        <xdr:cNvGrpSpPr>
          <a:grpSpLocks/>
        </xdr:cNvGrpSpPr>
      </xdr:nvGrpSpPr>
      <xdr:grpSpPr bwMode="auto">
        <a:xfrm>
          <a:off x="15066818" y="7812232"/>
          <a:ext cx="346364" cy="219075"/>
          <a:chOff x="460" y="221"/>
          <a:chExt cx="40" cy="23"/>
        </a:xfrm>
      </xdr:grpSpPr>
      <xdr:grpSp>
        <xdr:nvGrpSpPr>
          <xdr:cNvPr id="5430" name="Group 3916"/>
          <xdr:cNvGrpSpPr>
            <a:grpSpLocks/>
          </xdr:cNvGrpSpPr>
        </xdr:nvGrpSpPr>
        <xdr:grpSpPr bwMode="auto">
          <a:xfrm>
            <a:off x="473" y="227"/>
            <a:ext cx="14" cy="17"/>
            <a:chOff x="184" y="266"/>
            <a:chExt cx="24" cy="30"/>
          </a:xfrm>
        </xdr:grpSpPr>
        <xdr:sp macro="" textlink="">
          <xdr:nvSpPr>
            <xdr:cNvPr id="5434"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435" name="Group 3921"/>
            <xdr:cNvGrpSpPr>
              <a:grpSpLocks/>
            </xdr:cNvGrpSpPr>
          </xdr:nvGrpSpPr>
          <xdr:grpSpPr bwMode="auto">
            <a:xfrm>
              <a:off x="184" y="276"/>
              <a:ext cx="24" cy="20"/>
              <a:chOff x="280" y="226"/>
              <a:chExt cx="24" cy="20"/>
            </a:xfrm>
          </xdr:grpSpPr>
          <xdr:sp macro="" textlink="">
            <xdr:nvSpPr>
              <xdr:cNvPr id="5437"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438"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439"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440"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436"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431" name="Line 3927"/>
          <xdr:cNvSpPr>
            <a:spLocks noChangeShapeType="1"/>
          </xdr:cNvSpPr>
        </xdr:nvSpPr>
        <xdr:spPr bwMode="auto">
          <a:xfrm flipH="1">
            <a:off x="487" y="240"/>
            <a:ext cx="13" cy="0"/>
          </a:xfrm>
          <a:prstGeom prst="line">
            <a:avLst/>
          </a:prstGeom>
          <a:noFill/>
          <a:ln w="9525">
            <a:solidFill>
              <a:srgbClr val="000000"/>
            </a:solidFill>
            <a:round/>
            <a:headEnd/>
            <a:tailEnd/>
          </a:ln>
        </xdr:spPr>
      </xdr:sp>
      <xdr:sp macro="" textlink="">
        <xdr:nvSpPr>
          <xdr:cNvPr id="5432" name="Line 3928"/>
          <xdr:cNvSpPr>
            <a:spLocks noChangeShapeType="1"/>
          </xdr:cNvSpPr>
        </xdr:nvSpPr>
        <xdr:spPr bwMode="auto">
          <a:xfrm flipH="1">
            <a:off x="460" y="240"/>
            <a:ext cx="13" cy="0"/>
          </a:xfrm>
          <a:prstGeom prst="line">
            <a:avLst/>
          </a:prstGeom>
          <a:noFill/>
          <a:ln w="9525">
            <a:solidFill>
              <a:srgbClr val="000000"/>
            </a:solidFill>
            <a:round/>
            <a:headEnd/>
            <a:tailEnd/>
          </a:ln>
        </xdr:spPr>
      </xdr:sp>
      <xdr:sp macro="" textlink="">
        <xdr:nvSpPr>
          <xdr:cNvPr id="5433" name="Line 3929"/>
          <xdr:cNvSpPr>
            <a:spLocks noChangeShapeType="1"/>
          </xdr:cNvSpPr>
        </xdr:nvSpPr>
        <xdr:spPr bwMode="auto">
          <a:xfrm flipH="1" flipV="1">
            <a:off x="480" y="221"/>
            <a:ext cx="0" cy="6"/>
          </a:xfrm>
          <a:prstGeom prst="line">
            <a:avLst/>
          </a:prstGeom>
          <a:noFill/>
          <a:ln w="9525">
            <a:solidFill>
              <a:srgbClr val="000000"/>
            </a:solidFill>
            <a:round/>
            <a:headEnd/>
            <a:tailEnd/>
          </a:ln>
        </xdr:spPr>
      </xdr:sp>
    </xdr:grpSp>
    <xdr:clientData/>
  </xdr:twoCellAnchor>
  <xdr:twoCellAnchor editAs="oneCell">
    <xdr:from>
      <xdr:col>88</xdr:col>
      <xdr:colOff>69692</xdr:colOff>
      <xdr:row>40</xdr:row>
      <xdr:rowOff>4758</xdr:rowOff>
    </xdr:from>
    <xdr:to>
      <xdr:col>91</xdr:col>
      <xdr:colOff>6350</xdr:colOff>
      <xdr:row>40</xdr:row>
      <xdr:rowOff>4762</xdr:rowOff>
    </xdr:to>
    <xdr:cxnSp macro="">
      <xdr:nvCxnSpPr>
        <xdr:cNvPr id="6" name="Straight Connector 5"/>
        <xdr:cNvCxnSpPr/>
      </xdr:nvCxnSpPr>
      <xdr:spPr>
        <a:xfrm>
          <a:off x="15309692" y="7624758"/>
          <a:ext cx="456203" cy="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88</xdr:col>
      <xdr:colOff>57150</xdr:colOff>
      <xdr:row>38</xdr:row>
      <xdr:rowOff>152400</xdr:rowOff>
    </xdr:from>
    <xdr:to>
      <xdr:col>88</xdr:col>
      <xdr:colOff>57150</xdr:colOff>
      <xdr:row>39</xdr:row>
      <xdr:rowOff>76200</xdr:rowOff>
    </xdr:to>
    <xdr:sp macro="" textlink="">
      <xdr:nvSpPr>
        <xdr:cNvPr id="5289" name="Line 3929"/>
        <xdr:cNvSpPr>
          <a:spLocks noChangeShapeType="1"/>
        </xdr:cNvSpPr>
      </xdr:nvSpPr>
      <xdr:spPr bwMode="auto">
        <a:xfrm flipV="1">
          <a:off x="15297150" y="7391400"/>
          <a:ext cx="0" cy="114300"/>
        </a:xfrm>
        <a:prstGeom prst="line">
          <a:avLst/>
        </a:prstGeom>
        <a:noFill/>
        <a:ln w="9525">
          <a:solidFill>
            <a:srgbClr val="000000"/>
          </a:solidFill>
          <a:round/>
          <a:headEnd/>
          <a:tailEnd/>
        </a:ln>
      </xdr:spPr>
    </xdr:sp>
    <xdr:clientData/>
  </xdr:twoCellAnchor>
  <xdr:twoCellAnchor editAs="oneCell">
    <xdr:from>
      <xdr:col>87</xdr:col>
      <xdr:colOff>123825</xdr:colOff>
      <xdr:row>38</xdr:row>
      <xdr:rowOff>152400</xdr:rowOff>
    </xdr:from>
    <xdr:to>
      <xdr:col>87</xdr:col>
      <xdr:colOff>123825</xdr:colOff>
      <xdr:row>39</xdr:row>
      <xdr:rowOff>85725</xdr:rowOff>
    </xdr:to>
    <xdr:sp macro="" textlink="">
      <xdr:nvSpPr>
        <xdr:cNvPr id="5290" name="Line 3929"/>
        <xdr:cNvSpPr>
          <a:spLocks noChangeShapeType="1"/>
        </xdr:cNvSpPr>
      </xdr:nvSpPr>
      <xdr:spPr bwMode="auto">
        <a:xfrm flipH="1" flipV="1">
          <a:off x="15190643" y="7391400"/>
          <a:ext cx="0" cy="123825"/>
        </a:xfrm>
        <a:prstGeom prst="line">
          <a:avLst/>
        </a:prstGeom>
        <a:noFill/>
        <a:ln w="9525">
          <a:solidFill>
            <a:srgbClr val="000000"/>
          </a:solidFill>
          <a:round/>
          <a:headEnd/>
          <a:tailEnd/>
        </a:ln>
      </xdr:spPr>
    </xdr:sp>
    <xdr:clientData/>
  </xdr:twoCellAnchor>
  <xdr:twoCellAnchor editAs="oneCell">
    <xdr:from>
      <xdr:col>87</xdr:col>
      <xdr:colOff>114300</xdr:colOff>
      <xdr:row>39</xdr:row>
      <xdr:rowOff>19050</xdr:rowOff>
    </xdr:from>
    <xdr:to>
      <xdr:col>88</xdr:col>
      <xdr:colOff>66675</xdr:colOff>
      <xdr:row>39</xdr:row>
      <xdr:rowOff>19050</xdr:rowOff>
    </xdr:to>
    <xdr:sp macro="" textlink="">
      <xdr:nvSpPr>
        <xdr:cNvPr id="5291" name="Line 3920"/>
        <xdr:cNvSpPr>
          <a:spLocks noChangeShapeType="1"/>
        </xdr:cNvSpPr>
      </xdr:nvSpPr>
      <xdr:spPr bwMode="auto">
        <a:xfrm>
          <a:off x="15181118" y="7448550"/>
          <a:ext cx="125557" cy="0"/>
        </a:xfrm>
        <a:prstGeom prst="line">
          <a:avLst/>
        </a:prstGeom>
        <a:noFill/>
        <a:ln w="9525">
          <a:solidFill>
            <a:srgbClr val="000000"/>
          </a:solidFill>
          <a:round/>
          <a:headEnd/>
          <a:tailEnd/>
        </a:ln>
      </xdr:spPr>
    </xdr:sp>
    <xdr:clientData/>
  </xdr:twoCellAnchor>
  <xdr:twoCellAnchor editAs="oneCell">
    <xdr:from>
      <xdr:col>87</xdr:col>
      <xdr:colOff>123825</xdr:colOff>
      <xdr:row>38</xdr:row>
      <xdr:rowOff>161925</xdr:rowOff>
    </xdr:from>
    <xdr:to>
      <xdr:col>88</xdr:col>
      <xdr:colOff>66675</xdr:colOff>
      <xdr:row>38</xdr:row>
      <xdr:rowOff>161925</xdr:rowOff>
    </xdr:to>
    <xdr:sp macro="" textlink="">
      <xdr:nvSpPr>
        <xdr:cNvPr id="5292" name="Line 3920"/>
        <xdr:cNvSpPr>
          <a:spLocks noChangeShapeType="1"/>
        </xdr:cNvSpPr>
      </xdr:nvSpPr>
      <xdr:spPr bwMode="auto">
        <a:xfrm>
          <a:off x="15190643" y="7400925"/>
          <a:ext cx="116032" cy="0"/>
        </a:xfrm>
        <a:prstGeom prst="line">
          <a:avLst/>
        </a:prstGeom>
        <a:noFill/>
        <a:ln w="9525">
          <a:solidFill>
            <a:srgbClr val="000000"/>
          </a:solidFill>
          <a:round/>
          <a:headEnd/>
          <a:tailEnd/>
        </a:ln>
      </xdr:spPr>
    </xdr:sp>
    <xdr:clientData/>
  </xdr:twoCellAnchor>
  <xdr:twoCellAnchor editAs="oneCell">
    <xdr:from>
      <xdr:col>86</xdr:col>
      <xdr:colOff>161925</xdr:colOff>
      <xdr:row>44</xdr:row>
      <xdr:rowOff>19050</xdr:rowOff>
    </xdr:from>
    <xdr:to>
      <xdr:col>88</xdr:col>
      <xdr:colOff>161925</xdr:colOff>
      <xdr:row>45</xdr:row>
      <xdr:rowOff>47625</xdr:rowOff>
    </xdr:to>
    <xdr:grpSp>
      <xdr:nvGrpSpPr>
        <xdr:cNvPr id="5293" name="Group 3915"/>
        <xdr:cNvGrpSpPr>
          <a:grpSpLocks/>
        </xdr:cNvGrpSpPr>
      </xdr:nvGrpSpPr>
      <xdr:grpSpPr bwMode="auto">
        <a:xfrm>
          <a:off x="15055561" y="8764732"/>
          <a:ext cx="346364" cy="219075"/>
          <a:chOff x="460" y="221"/>
          <a:chExt cx="40" cy="23"/>
        </a:xfrm>
      </xdr:grpSpPr>
      <xdr:grpSp>
        <xdr:nvGrpSpPr>
          <xdr:cNvPr id="5419" name="Group 3916"/>
          <xdr:cNvGrpSpPr>
            <a:grpSpLocks/>
          </xdr:cNvGrpSpPr>
        </xdr:nvGrpSpPr>
        <xdr:grpSpPr bwMode="auto">
          <a:xfrm>
            <a:off x="473" y="227"/>
            <a:ext cx="14" cy="17"/>
            <a:chOff x="184" y="266"/>
            <a:chExt cx="24" cy="30"/>
          </a:xfrm>
        </xdr:grpSpPr>
        <xdr:sp macro="" textlink="">
          <xdr:nvSpPr>
            <xdr:cNvPr id="5423"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424" name="Group 3921"/>
            <xdr:cNvGrpSpPr>
              <a:grpSpLocks/>
            </xdr:cNvGrpSpPr>
          </xdr:nvGrpSpPr>
          <xdr:grpSpPr bwMode="auto">
            <a:xfrm>
              <a:off x="184" y="276"/>
              <a:ext cx="24" cy="20"/>
              <a:chOff x="280" y="226"/>
              <a:chExt cx="24" cy="20"/>
            </a:xfrm>
          </xdr:grpSpPr>
          <xdr:sp macro="" textlink="">
            <xdr:nvSpPr>
              <xdr:cNvPr id="5426"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427"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428"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429"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425"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420" name="Line 3927"/>
          <xdr:cNvSpPr>
            <a:spLocks noChangeShapeType="1"/>
          </xdr:cNvSpPr>
        </xdr:nvSpPr>
        <xdr:spPr bwMode="auto">
          <a:xfrm flipH="1">
            <a:off x="487" y="239"/>
            <a:ext cx="13" cy="0"/>
          </a:xfrm>
          <a:prstGeom prst="line">
            <a:avLst/>
          </a:prstGeom>
          <a:noFill/>
          <a:ln w="9525">
            <a:solidFill>
              <a:srgbClr val="000000"/>
            </a:solidFill>
            <a:round/>
            <a:headEnd/>
            <a:tailEnd/>
          </a:ln>
        </xdr:spPr>
      </xdr:sp>
      <xdr:sp macro="" textlink="">
        <xdr:nvSpPr>
          <xdr:cNvPr id="5421" name="Line 3928"/>
          <xdr:cNvSpPr>
            <a:spLocks noChangeShapeType="1"/>
          </xdr:cNvSpPr>
        </xdr:nvSpPr>
        <xdr:spPr bwMode="auto">
          <a:xfrm flipH="1">
            <a:off x="460" y="239"/>
            <a:ext cx="13" cy="0"/>
          </a:xfrm>
          <a:prstGeom prst="line">
            <a:avLst/>
          </a:prstGeom>
          <a:noFill/>
          <a:ln w="9525">
            <a:solidFill>
              <a:srgbClr val="000000"/>
            </a:solidFill>
            <a:round/>
            <a:headEnd/>
            <a:tailEnd/>
          </a:ln>
        </xdr:spPr>
      </xdr:sp>
      <xdr:sp macro="" textlink="">
        <xdr:nvSpPr>
          <xdr:cNvPr id="5422" name="Line 3929"/>
          <xdr:cNvSpPr>
            <a:spLocks noChangeShapeType="1"/>
          </xdr:cNvSpPr>
        </xdr:nvSpPr>
        <xdr:spPr bwMode="auto">
          <a:xfrm flipH="1" flipV="1">
            <a:off x="480" y="221"/>
            <a:ext cx="0" cy="6"/>
          </a:xfrm>
          <a:prstGeom prst="line">
            <a:avLst/>
          </a:prstGeom>
          <a:noFill/>
          <a:ln w="9525">
            <a:solidFill>
              <a:srgbClr val="000000"/>
            </a:solidFill>
            <a:round/>
            <a:headEnd/>
            <a:tailEnd/>
          </a:ln>
        </xdr:spPr>
      </xdr:sp>
    </xdr:grpSp>
    <xdr:clientData/>
  </xdr:twoCellAnchor>
  <xdr:twoCellAnchor editAs="oneCell">
    <xdr:from>
      <xdr:col>88</xdr:col>
      <xdr:colOff>38100</xdr:colOff>
      <xdr:row>43</xdr:row>
      <xdr:rowOff>152400</xdr:rowOff>
    </xdr:from>
    <xdr:to>
      <xdr:col>88</xdr:col>
      <xdr:colOff>38100</xdr:colOff>
      <xdr:row>44</xdr:row>
      <xdr:rowOff>76200</xdr:rowOff>
    </xdr:to>
    <xdr:sp macro="" textlink="">
      <xdr:nvSpPr>
        <xdr:cNvPr id="5294" name="Line 3929"/>
        <xdr:cNvSpPr>
          <a:spLocks noChangeShapeType="1"/>
        </xdr:cNvSpPr>
      </xdr:nvSpPr>
      <xdr:spPr bwMode="auto">
        <a:xfrm flipV="1">
          <a:off x="15278100" y="8343900"/>
          <a:ext cx="0" cy="114300"/>
        </a:xfrm>
        <a:prstGeom prst="line">
          <a:avLst/>
        </a:prstGeom>
        <a:noFill/>
        <a:ln w="9525">
          <a:solidFill>
            <a:srgbClr val="000000"/>
          </a:solidFill>
          <a:round/>
          <a:headEnd/>
          <a:tailEnd/>
        </a:ln>
      </xdr:spPr>
    </xdr:sp>
    <xdr:clientData/>
  </xdr:twoCellAnchor>
  <xdr:twoCellAnchor editAs="oneCell">
    <xdr:from>
      <xdr:col>87</xdr:col>
      <xdr:colOff>95250</xdr:colOff>
      <xdr:row>43</xdr:row>
      <xdr:rowOff>152400</xdr:rowOff>
    </xdr:from>
    <xdr:to>
      <xdr:col>87</xdr:col>
      <xdr:colOff>95250</xdr:colOff>
      <xdr:row>44</xdr:row>
      <xdr:rowOff>85725</xdr:rowOff>
    </xdr:to>
    <xdr:sp macro="" textlink="">
      <xdr:nvSpPr>
        <xdr:cNvPr id="5295" name="Line 3929"/>
        <xdr:cNvSpPr>
          <a:spLocks noChangeShapeType="1"/>
        </xdr:cNvSpPr>
      </xdr:nvSpPr>
      <xdr:spPr bwMode="auto">
        <a:xfrm flipH="1" flipV="1">
          <a:off x="15162068" y="8343900"/>
          <a:ext cx="0" cy="123825"/>
        </a:xfrm>
        <a:prstGeom prst="line">
          <a:avLst/>
        </a:prstGeom>
        <a:noFill/>
        <a:ln w="9525">
          <a:solidFill>
            <a:srgbClr val="000000"/>
          </a:solidFill>
          <a:round/>
          <a:headEnd/>
          <a:tailEnd/>
        </a:ln>
      </xdr:spPr>
    </xdr:sp>
    <xdr:clientData/>
  </xdr:twoCellAnchor>
  <xdr:twoCellAnchor editAs="oneCell">
    <xdr:from>
      <xdr:col>87</xdr:col>
      <xdr:colOff>95250</xdr:colOff>
      <xdr:row>44</xdr:row>
      <xdr:rowOff>19050</xdr:rowOff>
    </xdr:from>
    <xdr:to>
      <xdr:col>88</xdr:col>
      <xdr:colOff>38100</xdr:colOff>
      <xdr:row>44</xdr:row>
      <xdr:rowOff>19050</xdr:rowOff>
    </xdr:to>
    <xdr:sp macro="" textlink="">
      <xdr:nvSpPr>
        <xdr:cNvPr id="5296" name="Line 3920"/>
        <xdr:cNvSpPr>
          <a:spLocks noChangeShapeType="1"/>
        </xdr:cNvSpPr>
      </xdr:nvSpPr>
      <xdr:spPr bwMode="auto">
        <a:xfrm>
          <a:off x="15162068" y="8401050"/>
          <a:ext cx="116032" cy="0"/>
        </a:xfrm>
        <a:prstGeom prst="line">
          <a:avLst/>
        </a:prstGeom>
        <a:noFill/>
        <a:ln w="9525">
          <a:solidFill>
            <a:srgbClr val="000000"/>
          </a:solidFill>
          <a:round/>
          <a:headEnd/>
          <a:tailEnd/>
        </a:ln>
      </xdr:spPr>
    </xdr:sp>
    <xdr:clientData/>
  </xdr:twoCellAnchor>
  <xdr:twoCellAnchor editAs="oneCell">
    <xdr:from>
      <xdr:col>87</xdr:col>
      <xdr:colOff>95250</xdr:colOff>
      <xdr:row>43</xdr:row>
      <xdr:rowOff>161925</xdr:rowOff>
    </xdr:from>
    <xdr:to>
      <xdr:col>88</xdr:col>
      <xdr:colOff>38100</xdr:colOff>
      <xdr:row>43</xdr:row>
      <xdr:rowOff>161925</xdr:rowOff>
    </xdr:to>
    <xdr:sp macro="" textlink="">
      <xdr:nvSpPr>
        <xdr:cNvPr id="5297" name="Line 3920"/>
        <xdr:cNvSpPr>
          <a:spLocks noChangeShapeType="1"/>
        </xdr:cNvSpPr>
      </xdr:nvSpPr>
      <xdr:spPr bwMode="auto">
        <a:xfrm>
          <a:off x="15162068" y="8353425"/>
          <a:ext cx="116032" cy="0"/>
        </a:xfrm>
        <a:prstGeom prst="line">
          <a:avLst/>
        </a:prstGeom>
        <a:noFill/>
        <a:ln w="9525">
          <a:solidFill>
            <a:srgbClr val="000000"/>
          </a:solidFill>
          <a:round/>
          <a:headEnd/>
          <a:tailEnd/>
        </a:ln>
      </xdr:spPr>
    </xdr:sp>
    <xdr:clientData/>
  </xdr:twoCellAnchor>
  <xdr:twoCellAnchor editAs="oneCell">
    <xdr:from>
      <xdr:col>51</xdr:col>
      <xdr:colOff>0</xdr:colOff>
      <xdr:row>49</xdr:row>
      <xdr:rowOff>19050</xdr:rowOff>
    </xdr:from>
    <xdr:to>
      <xdr:col>53</xdr:col>
      <xdr:colOff>9525</xdr:colOff>
      <xdr:row>50</xdr:row>
      <xdr:rowOff>47625</xdr:rowOff>
    </xdr:to>
    <xdr:grpSp>
      <xdr:nvGrpSpPr>
        <xdr:cNvPr id="5298" name="Group 3915"/>
        <xdr:cNvGrpSpPr>
          <a:grpSpLocks/>
        </xdr:cNvGrpSpPr>
      </xdr:nvGrpSpPr>
      <xdr:grpSpPr bwMode="auto">
        <a:xfrm>
          <a:off x="8832273" y="9717232"/>
          <a:ext cx="355888" cy="219075"/>
          <a:chOff x="460" y="221"/>
          <a:chExt cx="41" cy="23"/>
        </a:xfrm>
      </xdr:grpSpPr>
      <xdr:grpSp>
        <xdr:nvGrpSpPr>
          <xdr:cNvPr id="5408" name="Group 3916"/>
          <xdr:cNvGrpSpPr>
            <a:grpSpLocks/>
          </xdr:cNvGrpSpPr>
        </xdr:nvGrpSpPr>
        <xdr:grpSpPr bwMode="auto">
          <a:xfrm>
            <a:off x="473" y="227"/>
            <a:ext cx="14" cy="17"/>
            <a:chOff x="184" y="266"/>
            <a:chExt cx="24" cy="30"/>
          </a:xfrm>
        </xdr:grpSpPr>
        <xdr:sp macro="" textlink="">
          <xdr:nvSpPr>
            <xdr:cNvPr id="5412"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413" name="Group 3921"/>
            <xdr:cNvGrpSpPr>
              <a:grpSpLocks/>
            </xdr:cNvGrpSpPr>
          </xdr:nvGrpSpPr>
          <xdr:grpSpPr bwMode="auto">
            <a:xfrm>
              <a:off x="184" y="276"/>
              <a:ext cx="24" cy="20"/>
              <a:chOff x="280" y="226"/>
              <a:chExt cx="24" cy="20"/>
            </a:xfrm>
          </xdr:grpSpPr>
          <xdr:sp macro="" textlink="">
            <xdr:nvSpPr>
              <xdr:cNvPr id="5415"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416"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417"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418"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414"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409" name="Line 3927"/>
          <xdr:cNvSpPr>
            <a:spLocks noChangeShapeType="1"/>
          </xdr:cNvSpPr>
        </xdr:nvSpPr>
        <xdr:spPr bwMode="auto">
          <a:xfrm flipH="1">
            <a:off x="488" y="238"/>
            <a:ext cx="13" cy="0"/>
          </a:xfrm>
          <a:prstGeom prst="line">
            <a:avLst/>
          </a:prstGeom>
          <a:noFill/>
          <a:ln w="9525">
            <a:solidFill>
              <a:srgbClr val="000000"/>
            </a:solidFill>
            <a:round/>
            <a:headEnd/>
            <a:tailEnd/>
          </a:ln>
        </xdr:spPr>
      </xdr:sp>
      <xdr:sp macro="" textlink="">
        <xdr:nvSpPr>
          <xdr:cNvPr id="5410" name="Line 3928"/>
          <xdr:cNvSpPr>
            <a:spLocks noChangeShapeType="1"/>
          </xdr:cNvSpPr>
        </xdr:nvSpPr>
        <xdr:spPr bwMode="auto">
          <a:xfrm flipH="1">
            <a:off x="460" y="238"/>
            <a:ext cx="13" cy="0"/>
          </a:xfrm>
          <a:prstGeom prst="line">
            <a:avLst/>
          </a:prstGeom>
          <a:noFill/>
          <a:ln w="9525">
            <a:solidFill>
              <a:srgbClr val="000000"/>
            </a:solidFill>
            <a:round/>
            <a:headEnd/>
            <a:tailEnd/>
          </a:ln>
        </xdr:spPr>
      </xdr:sp>
      <xdr:sp macro="" textlink="">
        <xdr:nvSpPr>
          <xdr:cNvPr id="5411" name="Line 3929"/>
          <xdr:cNvSpPr>
            <a:spLocks noChangeShapeType="1"/>
          </xdr:cNvSpPr>
        </xdr:nvSpPr>
        <xdr:spPr bwMode="auto">
          <a:xfrm flipH="1" flipV="1">
            <a:off x="480" y="221"/>
            <a:ext cx="0" cy="6"/>
          </a:xfrm>
          <a:prstGeom prst="line">
            <a:avLst/>
          </a:prstGeom>
          <a:noFill/>
          <a:ln w="9525">
            <a:solidFill>
              <a:srgbClr val="000000"/>
            </a:solidFill>
            <a:round/>
            <a:headEnd/>
            <a:tailEnd/>
          </a:ln>
        </xdr:spPr>
      </xdr:sp>
    </xdr:grpSp>
    <xdr:clientData/>
  </xdr:twoCellAnchor>
  <xdr:twoCellAnchor editAs="oneCell">
    <xdr:from>
      <xdr:col>52</xdr:col>
      <xdr:colOff>57150</xdr:colOff>
      <xdr:row>48</xdr:row>
      <xdr:rowOff>152400</xdr:rowOff>
    </xdr:from>
    <xdr:to>
      <xdr:col>52</xdr:col>
      <xdr:colOff>57150</xdr:colOff>
      <xdr:row>49</xdr:row>
      <xdr:rowOff>76200</xdr:rowOff>
    </xdr:to>
    <xdr:sp macro="" textlink="">
      <xdr:nvSpPr>
        <xdr:cNvPr id="5299" name="Line 3929"/>
        <xdr:cNvSpPr>
          <a:spLocks noChangeShapeType="1"/>
        </xdr:cNvSpPr>
      </xdr:nvSpPr>
      <xdr:spPr bwMode="auto">
        <a:xfrm flipV="1">
          <a:off x="9062605" y="9296400"/>
          <a:ext cx="0" cy="114300"/>
        </a:xfrm>
        <a:prstGeom prst="line">
          <a:avLst/>
        </a:prstGeom>
        <a:noFill/>
        <a:ln w="9525">
          <a:solidFill>
            <a:srgbClr val="000000"/>
          </a:solidFill>
          <a:round/>
          <a:headEnd/>
          <a:tailEnd/>
        </a:ln>
      </xdr:spPr>
    </xdr:sp>
    <xdr:clientData/>
  </xdr:twoCellAnchor>
  <xdr:twoCellAnchor editAs="oneCell">
    <xdr:from>
      <xdr:col>51</xdr:col>
      <xdr:colOff>123825</xdr:colOff>
      <xdr:row>48</xdr:row>
      <xdr:rowOff>152400</xdr:rowOff>
    </xdr:from>
    <xdr:to>
      <xdr:col>51</xdr:col>
      <xdr:colOff>123825</xdr:colOff>
      <xdr:row>49</xdr:row>
      <xdr:rowOff>85725</xdr:rowOff>
    </xdr:to>
    <xdr:sp macro="" textlink="">
      <xdr:nvSpPr>
        <xdr:cNvPr id="5300" name="Line 3929"/>
        <xdr:cNvSpPr>
          <a:spLocks noChangeShapeType="1"/>
        </xdr:cNvSpPr>
      </xdr:nvSpPr>
      <xdr:spPr bwMode="auto">
        <a:xfrm flipH="1" flipV="1">
          <a:off x="8956098" y="9296400"/>
          <a:ext cx="0" cy="123825"/>
        </a:xfrm>
        <a:prstGeom prst="line">
          <a:avLst/>
        </a:prstGeom>
        <a:noFill/>
        <a:ln w="9525">
          <a:solidFill>
            <a:srgbClr val="000000"/>
          </a:solidFill>
          <a:round/>
          <a:headEnd/>
          <a:tailEnd/>
        </a:ln>
      </xdr:spPr>
    </xdr:sp>
    <xdr:clientData/>
  </xdr:twoCellAnchor>
  <xdr:twoCellAnchor editAs="oneCell">
    <xdr:from>
      <xdr:col>51</xdr:col>
      <xdr:colOff>114300</xdr:colOff>
      <xdr:row>49</xdr:row>
      <xdr:rowOff>19050</xdr:rowOff>
    </xdr:from>
    <xdr:to>
      <xdr:col>52</xdr:col>
      <xdr:colOff>66675</xdr:colOff>
      <xdr:row>49</xdr:row>
      <xdr:rowOff>19050</xdr:rowOff>
    </xdr:to>
    <xdr:sp macro="" textlink="">
      <xdr:nvSpPr>
        <xdr:cNvPr id="5301" name="Line 3920"/>
        <xdr:cNvSpPr>
          <a:spLocks noChangeShapeType="1"/>
        </xdr:cNvSpPr>
      </xdr:nvSpPr>
      <xdr:spPr bwMode="auto">
        <a:xfrm>
          <a:off x="8946573" y="9353550"/>
          <a:ext cx="125557" cy="0"/>
        </a:xfrm>
        <a:prstGeom prst="line">
          <a:avLst/>
        </a:prstGeom>
        <a:noFill/>
        <a:ln w="9525">
          <a:solidFill>
            <a:srgbClr val="000000"/>
          </a:solidFill>
          <a:round/>
          <a:headEnd/>
          <a:tailEnd/>
        </a:ln>
      </xdr:spPr>
    </xdr:sp>
    <xdr:clientData/>
  </xdr:twoCellAnchor>
  <xdr:twoCellAnchor editAs="oneCell">
    <xdr:from>
      <xdr:col>51</xdr:col>
      <xdr:colOff>123825</xdr:colOff>
      <xdr:row>48</xdr:row>
      <xdr:rowOff>161925</xdr:rowOff>
    </xdr:from>
    <xdr:to>
      <xdr:col>52</xdr:col>
      <xdr:colOff>66675</xdr:colOff>
      <xdr:row>48</xdr:row>
      <xdr:rowOff>161925</xdr:rowOff>
    </xdr:to>
    <xdr:sp macro="" textlink="">
      <xdr:nvSpPr>
        <xdr:cNvPr id="5302" name="Line 3920"/>
        <xdr:cNvSpPr>
          <a:spLocks noChangeShapeType="1"/>
        </xdr:cNvSpPr>
      </xdr:nvSpPr>
      <xdr:spPr bwMode="auto">
        <a:xfrm>
          <a:off x="8956098" y="9305925"/>
          <a:ext cx="116032" cy="0"/>
        </a:xfrm>
        <a:prstGeom prst="line">
          <a:avLst/>
        </a:prstGeom>
        <a:noFill/>
        <a:ln w="9525">
          <a:solidFill>
            <a:srgbClr val="000000"/>
          </a:solidFill>
          <a:round/>
          <a:headEnd/>
          <a:tailEnd/>
        </a:ln>
      </xdr:spPr>
    </xdr:sp>
    <xdr:clientData/>
  </xdr:twoCellAnchor>
  <xdr:twoCellAnchor editAs="oneCell">
    <xdr:from>
      <xdr:col>75</xdr:col>
      <xdr:colOff>57150</xdr:colOff>
      <xdr:row>61</xdr:row>
      <xdr:rowOff>19050</xdr:rowOff>
    </xdr:from>
    <xdr:to>
      <xdr:col>77</xdr:col>
      <xdr:colOff>57150</xdr:colOff>
      <xdr:row>62</xdr:row>
      <xdr:rowOff>47625</xdr:rowOff>
    </xdr:to>
    <xdr:grpSp>
      <xdr:nvGrpSpPr>
        <xdr:cNvPr id="5303" name="Group 3915"/>
        <xdr:cNvGrpSpPr>
          <a:grpSpLocks/>
        </xdr:cNvGrpSpPr>
      </xdr:nvGrpSpPr>
      <xdr:grpSpPr bwMode="auto">
        <a:xfrm>
          <a:off x="13045786" y="12003232"/>
          <a:ext cx="346364" cy="219075"/>
          <a:chOff x="460" y="221"/>
          <a:chExt cx="40" cy="23"/>
        </a:xfrm>
      </xdr:grpSpPr>
      <xdr:grpSp>
        <xdr:nvGrpSpPr>
          <xdr:cNvPr id="5397" name="Group 3916"/>
          <xdr:cNvGrpSpPr>
            <a:grpSpLocks/>
          </xdr:cNvGrpSpPr>
        </xdr:nvGrpSpPr>
        <xdr:grpSpPr bwMode="auto">
          <a:xfrm>
            <a:off x="473" y="227"/>
            <a:ext cx="14" cy="17"/>
            <a:chOff x="184" y="266"/>
            <a:chExt cx="24" cy="30"/>
          </a:xfrm>
        </xdr:grpSpPr>
        <xdr:sp macro="" textlink="">
          <xdr:nvSpPr>
            <xdr:cNvPr id="5401"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402" name="Group 3921"/>
            <xdr:cNvGrpSpPr>
              <a:grpSpLocks/>
            </xdr:cNvGrpSpPr>
          </xdr:nvGrpSpPr>
          <xdr:grpSpPr bwMode="auto">
            <a:xfrm>
              <a:off x="184" y="276"/>
              <a:ext cx="24" cy="20"/>
              <a:chOff x="280" y="226"/>
              <a:chExt cx="24" cy="20"/>
            </a:xfrm>
          </xdr:grpSpPr>
          <xdr:sp macro="" textlink="">
            <xdr:nvSpPr>
              <xdr:cNvPr id="5404"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405"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406"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407"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403"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398" name="Line 3927"/>
          <xdr:cNvSpPr>
            <a:spLocks noChangeShapeType="1"/>
          </xdr:cNvSpPr>
        </xdr:nvSpPr>
        <xdr:spPr bwMode="auto">
          <a:xfrm flipH="1">
            <a:off x="487" y="239"/>
            <a:ext cx="13" cy="0"/>
          </a:xfrm>
          <a:prstGeom prst="line">
            <a:avLst/>
          </a:prstGeom>
          <a:noFill/>
          <a:ln w="9525">
            <a:solidFill>
              <a:srgbClr val="000000"/>
            </a:solidFill>
            <a:round/>
            <a:headEnd/>
            <a:tailEnd/>
          </a:ln>
        </xdr:spPr>
      </xdr:sp>
      <xdr:sp macro="" textlink="">
        <xdr:nvSpPr>
          <xdr:cNvPr id="5399" name="Line 3928"/>
          <xdr:cNvSpPr>
            <a:spLocks noChangeShapeType="1"/>
          </xdr:cNvSpPr>
        </xdr:nvSpPr>
        <xdr:spPr bwMode="auto">
          <a:xfrm flipH="1">
            <a:off x="460" y="239"/>
            <a:ext cx="13" cy="0"/>
          </a:xfrm>
          <a:prstGeom prst="line">
            <a:avLst/>
          </a:prstGeom>
          <a:noFill/>
          <a:ln w="9525">
            <a:solidFill>
              <a:srgbClr val="000000"/>
            </a:solidFill>
            <a:round/>
            <a:headEnd/>
            <a:tailEnd/>
          </a:ln>
        </xdr:spPr>
      </xdr:sp>
      <xdr:sp macro="" textlink="">
        <xdr:nvSpPr>
          <xdr:cNvPr id="5400" name="Line 3929"/>
          <xdr:cNvSpPr>
            <a:spLocks noChangeShapeType="1"/>
          </xdr:cNvSpPr>
        </xdr:nvSpPr>
        <xdr:spPr bwMode="auto">
          <a:xfrm flipH="1" flipV="1">
            <a:off x="480" y="221"/>
            <a:ext cx="0" cy="6"/>
          </a:xfrm>
          <a:prstGeom prst="line">
            <a:avLst/>
          </a:prstGeom>
          <a:noFill/>
          <a:ln w="9525">
            <a:solidFill>
              <a:srgbClr val="000000"/>
            </a:solidFill>
            <a:round/>
            <a:headEnd/>
            <a:tailEnd/>
          </a:ln>
        </xdr:spPr>
      </xdr:sp>
    </xdr:grpSp>
    <xdr:clientData/>
  </xdr:twoCellAnchor>
  <xdr:twoCellAnchor editAs="oneCell">
    <xdr:from>
      <xdr:col>76</xdr:col>
      <xdr:colOff>114300</xdr:colOff>
      <xdr:row>60</xdr:row>
      <xdr:rowOff>152400</xdr:rowOff>
    </xdr:from>
    <xdr:to>
      <xdr:col>76</xdr:col>
      <xdr:colOff>114300</xdr:colOff>
      <xdr:row>61</xdr:row>
      <xdr:rowOff>76200</xdr:rowOff>
    </xdr:to>
    <xdr:sp macro="" textlink="">
      <xdr:nvSpPr>
        <xdr:cNvPr id="5304" name="Line 3929"/>
        <xdr:cNvSpPr>
          <a:spLocks noChangeShapeType="1"/>
        </xdr:cNvSpPr>
      </xdr:nvSpPr>
      <xdr:spPr bwMode="auto">
        <a:xfrm flipV="1">
          <a:off x="13276118" y="11582400"/>
          <a:ext cx="0" cy="114300"/>
        </a:xfrm>
        <a:prstGeom prst="line">
          <a:avLst/>
        </a:prstGeom>
        <a:noFill/>
        <a:ln w="9525">
          <a:solidFill>
            <a:srgbClr val="000000"/>
          </a:solidFill>
          <a:round/>
          <a:headEnd/>
          <a:tailEnd/>
        </a:ln>
      </xdr:spPr>
    </xdr:sp>
    <xdr:clientData/>
  </xdr:twoCellAnchor>
  <xdr:twoCellAnchor editAs="oneCell">
    <xdr:from>
      <xdr:col>75</xdr:col>
      <xdr:colOff>171450</xdr:colOff>
      <xdr:row>60</xdr:row>
      <xdr:rowOff>161925</xdr:rowOff>
    </xdr:from>
    <xdr:to>
      <xdr:col>76</xdr:col>
      <xdr:colOff>7793</xdr:colOff>
      <xdr:row>61</xdr:row>
      <xdr:rowOff>76200</xdr:rowOff>
    </xdr:to>
    <xdr:sp macro="" textlink="">
      <xdr:nvSpPr>
        <xdr:cNvPr id="5305" name="Line 3929"/>
        <xdr:cNvSpPr>
          <a:spLocks noChangeShapeType="1"/>
        </xdr:cNvSpPr>
      </xdr:nvSpPr>
      <xdr:spPr bwMode="auto">
        <a:xfrm flipH="1" flipV="1">
          <a:off x="13160086" y="11591925"/>
          <a:ext cx="9525" cy="104775"/>
        </a:xfrm>
        <a:prstGeom prst="line">
          <a:avLst/>
        </a:prstGeom>
        <a:noFill/>
        <a:ln w="9525">
          <a:solidFill>
            <a:srgbClr val="000000"/>
          </a:solidFill>
          <a:round/>
          <a:headEnd/>
          <a:tailEnd/>
        </a:ln>
      </xdr:spPr>
    </xdr:sp>
    <xdr:clientData/>
  </xdr:twoCellAnchor>
  <xdr:twoCellAnchor editAs="oneCell">
    <xdr:from>
      <xdr:col>75</xdr:col>
      <xdr:colOff>171450</xdr:colOff>
      <xdr:row>61</xdr:row>
      <xdr:rowOff>19050</xdr:rowOff>
    </xdr:from>
    <xdr:to>
      <xdr:col>76</xdr:col>
      <xdr:colOff>114300</xdr:colOff>
      <xdr:row>61</xdr:row>
      <xdr:rowOff>19050</xdr:rowOff>
    </xdr:to>
    <xdr:sp macro="" textlink="">
      <xdr:nvSpPr>
        <xdr:cNvPr id="5306" name="Line 3920"/>
        <xdr:cNvSpPr>
          <a:spLocks noChangeShapeType="1"/>
        </xdr:cNvSpPr>
      </xdr:nvSpPr>
      <xdr:spPr bwMode="auto">
        <a:xfrm>
          <a:off x="13160086" y="11639550"/>
          <a:ext cx="116032" cy="0"/>
        </a:xfrm>
        <a:prstGeom prst="line">
          <a:avLst/>
        </a:prstGeom>
        <a:noFill/>
        <a:ln w="9525">
          <a:solidFill>
            <a:srgbClr val="000000"/>
          </a:solidFill>
          <a:round/>
          <a:headEnd/>
          <a:tailEnd/>
        </a:ln>
      </xdr:spPr>
    </xdr:sp>
    <xdr:clientData/>
  </xdr:twoCellAnchor>
  <xdr:twoCellAnchor editAs="oneCell">
    <xdr:from>
      <xdr:col>75</xdr:col>
      <xdr:colOff>171450</xdr:colOff>
      <xdr:row>60</xdr:row>
      <xdr:rowOff>161925</xdr:rowOff>
    </xdr:from>
    <xdr:to>
      <xdr:col>76</xdr:col>
      <xdr:colOff>114300</xdr:colOff>
      <xdr:row>60</xdr:row>
      <xdr:rowOff>161925</xdr:rowOff>
    </xdr:to>
    <xdr:sp macro="" textlink="">
      <xdr:nvSpPr>
        <xdr:cNvPr id="5307" name="Line 3920"/>
        <xdr:cNvSpPr>
          <a:spLocks noChangeShapeType="1"/>
        </xdr:cNvSpPr>
      </xdr:nvSpPr>
      <xdr:spPr bwMode="auto">
        <a:xfrm>
          <a:off x="13160086" y="11591925"/>
          <a:ext cx="116032" cy="0"/>
        </a:xfrm>
        <a:prstGeom prst="line">
          <a:avLst/>
        </a:prstGeom>
        <a:noFill/>
        <a:ln w="9525">
          <a:solidFill>
            <a:srgbClr val="000000"/>
          </a:solidFill>
          <a:round/>
          <a:headEnd/>
          <a:tailEnd/>
        </a:ln>
      </xdr:spPr>
    </xdr:sp>
    <xdr:clientData/>
  </xdr:twoCellAnchor>
  <xdr:twoCellAnchor editAs="oneCell">
    <xdr:from>
      <xdr:col>76</xdr:col>
      <xdr:colOff>124454</xdr:colOff>
      <xdr:row>62</xdr:row>
      <xdr:rowOff>2380</xdr:rowOff>
    </xdr:from>
    <xdr:to>
      <xdr:col>95</xdr:col>
      <xdr:colOff>15895</xdr:colOff>
      <xdr:row>62</xdr:row>
      <xdr:rowOff>2381</xdr:rowOff>
    </xdr:to>
    <xdr:cxnSp macro="">
      <xdr:nvCxnSpPr>
        <xdr:cNvPr id="2300" name="Straight Connector 2299"/>
        <xdr:cNvCxnSpPr>
          <a:stCxn id="5398" idx="1"/>
          <a:endCxn id="2771" idx="3"/>
        </xdr:cNvCxnSpPr>
      </xdr:nvCxnSpPr>
      <xdr:spPr>
        <a:xfrm flipV="1">
          <a:off x="13286272" y="11813380"/>
          <a:ext cx="3181896" cy="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61</xdr:col>
      <xdr:colOff>171450</xdr:colOff>
      <xdr:row>19</xdr:row>
      <xdr:rowOff>28575</xdr:rowOff>
    </xdr:from>
    <xdr:to>
      <xdr:col>63</xdr:col>
      <xdr:colOff>171450</xdr:colOff>
      <xdr:row>20</xdr:row>
      <xdr:rowOff>47625</xdr:rowOff>
    </xdr:to>
    <xdr:grpSp>
      <xdr:nvGrpSpPr>
        <xdr:cNvPr id="5309" name="Group 3915"/>
        <xdr:cNvGrpSpPr>
          <a:grpSpLocks/>
        </xdr:cNvGrpSpPr>
      </xdr:nvGrpSpPr>
      <xdr:grpSpPr bwMode="auto">
        <a:xfrm>
          <a:off x="10735541" y="3977120"/>
          <a:ext cx="346364" cy="226869"/>
          <a:chOff x="460" y="221"/>
          <a:chExt cx="40" cy="23"/>
        </a:xfrm>
      </xdr:grpSpPr>
      <xdr:grpSp>
        <xdr:nvGrpSpPr>
          <xdr:cNvPr id="5386" name="Group 3916"/>
          <xdr:cNvGrpSpPr>
            <a:grpSpLocks/>
          </xdr:cNvGrpSpPr>
        </xdr:nvGrpSpPr>
        <xdr:grpSpPr bwMode="auto">
          <a:xfrm>
            <a:off x="473" y="227"/>
            <a:ext cx="14" cy="17"/>
            <a:chOff x="184" y="266"/>
            <a:chExt cx="24" cy="30"/>
          </a:xfrm>
        </xdr:grpSpPr>
        <xdr:sp macro="" textlink="">
          <xdr:nvSpPr>
            <xdr:cNvPr id="5390"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391" name="Group 3921"/>
            <xdr:cNvGrpSpPr>
              <a:grpSpLocks/>
            </xdr:cNvGrpSpPr>
          </xdr:nvGrpSpPr>
          <xdr:grpSpPr bwMode="auto">
            <a:xfrm>
              <a:off x="184" y="276"/>
              <a:ext cx="24" cy="20"/>
              <a:chOff x="280" y="226"/>
              <a:chExt cx="24" cy="20"/>
            </a:xfrm>
          </xdr:grpSpPr>
          <xdr:sp macro="" textlink="">
            <xdr:nvSpPr>
              <xdr:cNvPr id="5393"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394"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395"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396"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392"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387" name="Line 3927"/>
          <xdr:cNvSpPr>
            <a:spLocks noChangeShapeType="1"/>
          </xdr:cNvSpPr>
        </xdr:nvSpPr>
        <xdr:spPr bwMode="auto">
          <a:xfrm flipH="1">
            <a:off x="487" y="239"/>
            <a:ext cx="13" cy="0"/>
          </a:xfrm>
          <a:prstGeom prst="line">
            <a:avLst/>
          </a:prstGeom>
          <a:noFill/>
          <a:ln w="9525">
            <a:solidFill>
              <a:srgbClr val="000000"/>
            </a:solidFill>
            <a:round/>
            <a:headEnd/>
            <a:tailEnd/>
          </a:ln>
        </xdr:spPr>
      </xdr:sp>
      <xdr:sp macro="" textlink="">
        <xdr:nvSpPr>
          <xdr:cNvPr id="5388" name="Line 3928"/>
          <xdr:cNvSpPr>
            <a:spLocks noChangeShapeType="1"/>
          </xdr:cNvSpPr>
        </xdr:nvSpPr>
        <xdr:spPr bwMode="auto">
          <a:xfrm flipH="1">
            <a:off x="460" y="239"/>
            <a:ext cx="13" cy="0"/>
          </a:xfrm>
          <a:prstGeom prst="line">
            <a:avLst/>
          </a:prstGeom>
          <a:noFill/>
          <a:ln w="9525">
            <a:solidFill>
              <a:srgbClr val="000000"/>
            </a:solidFill>
            <a:round/>
            <a:headEnd/>
            <a:tailEnd/>
          </a:ln>
        </xdr:spPr>
      </xdr:sp>
      <xdr:sp macro="" textlink="">
        <xdr:nvSpPr>
          <xdr:cNvPr id="5389" name="Line 3929"/>
          <xdr:cNvSpPr>
            <a:spLocks noChangeShapeType="1"/>
          </xdr:cNvSpPr>
        </xdr:nvSpPr>
        <xdr:spPr bwMode="auto">
          <a:xfrm flipH="1" flipV="1">
            <a:off x="480" y="221"/>
            <a:ext cx="0" cy="6"/>
          </a:xfrm>
          <a:prstGeom prst="line">
            <a:avLst/>
          </a:prstGeom>
          <a:noFill/>
          <a:ln w="9525">
            <a:solidFill>
              <a:srgbClr val="000000"/>
            </a:solidFill>
            <a:round/>
            <a:headEnd/>
            <a:tailEnd/>
          </a:ln>
        </xdr:spPr>
      </xdr:sp>
    </xdr:grpSp>
    <xdr:clientData/>
  </xdr:twoCellAnchor>
  <xdr:twoCellAnchor editAs="oneCell">
    <xdr:from>
      <xdr:col>63</xdr:col>
      <xdr:colOff>47625</xdr:colOff>
      <xdr:row>18</xdr:row>
      <xdr:rowOff>161925</xdr:rowOff>
    </xdr:from>
    <xdr:to>
      <xdr:col>63</xdr:col>
      <xdr:colOff>47625</xdr:colOff>
      <xdr:row>19</xdr:row>
      <xdr:rowOff>76200</xdr:rowOff>
    </xdr:to>
    <xdr:sp macro="" textlink="">
      <xdr:nvSpPr>
        <xdr:cNvPr id="5310" name="Line 3929"/>
        <xdr:cNvSpPr>
          <a:spLocks noChangeShapeType="1"/>
        </xdr:cNvSpPr>
      </xdr:nvSpPr>
      <xdr:spPr bwMode="auto">
        <a:xfrm flipV="1">
          <a:off x="10958080" y="3590925"/>
          <a:ext cx="0" cy="114300"/>
        </a:xfrm>
        <a:prstGeom prst="line">
          <a:avLst/>
        </a:prstGeom>
        <a:noFill/>
        <a:ln w="9525">
          <a:solidFill>
            <a:srgbClr val="000000"/>
          </a:solidFill>
          <a:round/>
          <a:headEnd/>
          <a:tailEnd/>
        </a:ln>
      </xdr:spPr>
    </xdr:sp>
    <xdr:clientData/>
  </xdr:twoCellAnchor>
  <xdr:twoCellAnchor editAs="oneCell">
    <xdr:from>
      <xdr:col>62</xdr:col>
      <xdr:colOff>104775</xdr:colOff>
      <xdr:row>18</xdr:row>
      <xdr:rowOff>161925</xdr:rowOff>
    </xdr:from>
    <xdr:to>
      <xdr:col>62</xdr:col>
      <xdr:colOff>104775</xdr:colOff>
      <xdr:row>19</xdr:row>
      <xdr:rowOff>76200</xdr:rowOff>
    </xdr:to>
    <xdr:sp macro="" textlink="">
      <xdr:nvSpPr>
        <xdr:cNvPr id="5311" name="Line 3929"/>
        <xdr:cNvSpPr>
          <a:spLocks noChangeShapeType="1"/>
        </xdr:cNvSpPr>
      </xdr:nvSpPr>
      <xdr:spPr bwMode="auto">
        <a:xfrm flipH="1" flipV="1">
          <a:off x="10842048" y="3590925"/>
          <a:ext cx="0" cy="114300"/>
        </a:xfrm>
        <a:prstGeom prst="line">
          <a:avLst/>
        </a:prstGeom>
        <a:noFill/>
        <a:ln w="9525">
          <a:solidFill>
            <a:srgbClr val="000000"/>
          </a:solidFill>
          <a:round/>
          <a:headEnd/>
          <a:tailEnd/>
        </a:ln>
      </xdr:spPr>
    </xdr:sp>
    <xdr:clientData/>
  </xdr:twoCellAnchor>
  <xdr:twoCellAnchor editAs="oneCell">
    <xdr:from>
      <xdr:col>62</xdr:col>
      <xdr:colOff>104775</xdr:colOff>
      <xdr:row>19</xdr:row>
      <xdr:rowOff>28575</xdr:rowOff>
    </xdr:from>
    <xdr:to>
      <xdr:col>63</xdr:col>
      <xdr:colOff>47625</xdr:colOff>
      <xdr:row>19</xdr:row>
      <xdr:rowOff>28575</xdr:rowOff>
    </xdr:to>
    <xdr:sp macro="" textlink="">
      <xdr:nvSpPr>
        <xdr:cNvPr id="5312" name="Line 3920"/>
        <xdr:cNvSpPr>
          <a:spLocks noChangeShapeType="1"/>
        </xdr:cNvSpPr>
      </xdr:nvSpPr>
      <xdr:spPr bwMode="auto">
        <a:xfrm>
          <a:off x="10842048" y="3648075"/>
          <a:ext cx="116032" cy="0"/>
        </a:xfrm>
        <a:prstGeom prst="line">
          <a:avLst/>
        </a:prstGeom>
        <a:noFill/>
        <a:ln w="9525">
          <a:solidFill>
            <a:srgbClr val="000000"/>
          </a:solidFill>
          <a:round/>
          <a:headEnd/>
          <a:tailEnd/>
        </a:ln>
      </xdr:spPr>
    </xdr:sp>
    <xdr:clientData/>
  </xdr:twoCellAnchor>
  <xdr:twoCellAnchor editAs="oneCell">
    <xdr:from>
      <xdr:col>62</xdr:col>
      <xdr:colOff>104775</xdr:colOff>
      <xdr:row>18</xdr:row>
      <xdr:rowOff>161925</xdr:rowOff>
    </xdr:from>
    <xdr:to>
      <xdr:col>63</xdr:col>
      <xdr:colOff>47625</xdr:colOff>
      <xdr:row>18</xdr:row>
      <xdr:rowOff>161925</xdr:rowOff>
    </xdr:to>
    <xdr:sp macro="" textlink="">
      <xdr:nvSpPr>
        <xdr:cNvPr id="5313" name="Line 3920"/>
        <xdr:cNvSpPr>
          <a:spLocks noChangeShapeType="1"/>
        </xdr:cNvSpPr>
      </xdr:nvSpPr>
      <xdr:spPr bwMode="auto">
        <a:xfrm>
          <a:off x="10842048" y="3590925"/>
          <a:ext cx="116032" cy="0"/>
        </a:xfrm>
        <a:prstGeom prst="line">
          <a:avLst/>
        </a:prstGeom>
        <a:noFill/>
        <a:ln w="9525">
          <a:solidFill>
            <a:srgbClr val="000000"/>
          </a:solidFill>
          <a:round/>
          <a:headEnd/>
          <a:tailEnd/>
        </a:ln>
      </xdr:spPr>
    </xdr:sp>
    <xdr:clientData/>
  </xdr:twoCellAnchor>
  <xdr:twoCellAnchor editAs="oneCell">
    <xdr:from>
      <xdr:col>63</xdr:col>
      <xdr:colOff>45880</xdr:colOff>
      <xdr:row>20</xdr:row>
      <xdr:rowOff>9524</xdr:rowOff>
    </xdr:from>
    <xdr:to>
      <xdr:col>64</xdr:col>
      <xdr:colOff>154333</xdr:colOff>
      <xdr:row>20</xdr:row>
      <xdr:rowOff>9525</xdr:rowOff>
    </xdr:to>
    <xdr:cxnSp macro="">
      <xdr:nvCxnSpPr>
        <xdr:cNvPr id="705" name="Straight Connector 704"/>
        <xdr:cNvCxnSpPr>
          <a:stCxn id="5387" idx="1"/>
        </xdr:cNvCxnSpPr>
      </xdr:nvCxnSpPr>
      <xdr:spPr>
        <a:xfrm>
          <a:off x="10956335" y="3819524"/>
          <a:ext cx="281634" cy="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88</xdr:col>
      <xdr:colOff>45881</xdr:colOff>
      <xdr:row>45</xdr:row>
      <xdr:rowOff>4762</xdr:rowOff>
    </xdr:from>
    <xdr:to>
      <xdr:col>91</xdr:col>
      <xdr:colOff>11113</xdr:colOff>
      <xdr:row>45</xdr:row>
      <xdr:rowOff>4763</xdr:rowOff>
    </xdr:to>
    <xdr:cxnSp macro="">
      <xdr:nvCxnSpPr>
        <xdr:cNvPr id="88617" name="Straight Connector 88616"/>
        <xdr:cNvCxnSpPr>
          <a:endCxn id="5420" idx="1"/>
        </xdr:cNvCxnSpPr>
      </xdr:nvCxnSpPr>
      <xdr:spPr>
        <a:xfrm flipH="1" flipV="1">
          <a:off x="15285881" y="8577262"/>
          <a:ext cx="484777" cy="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85</xdr:col>
      <xdr:colOff>25400</xdr:colOff>
      <xdr:row>36</xdr:row>
      <xdr:rowOff>9525</xdr:rowOff>
    </xdr:from>
    <xdr:to>
      <xdr:col>88</xdr:col>
      <xdr:colOff>137319</xdr:colOff>
      <xdr:row>36</xdr:row>
      <xdr:rowOff>9525</xdr:rowOff>
    </xdr:to>
    <xdr:cxnSp macro="">
      <xdr:nvCxnSpPr>
        <xdr:cNvPr id="88620" name="Straight Connector 88619"/>
        <xdr:cNvCxnSpPr>
          <a:endCxn id="5512" idx="0"/>
        </xdr:cNvCxnSpPr>
      </xdr:nvCxnSpPr>
      <xdr:spPr>
        <a:xfrm flipH="1">
          <a:off x="14745855" y="6867525"/>
          <a:ext cx="631464"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80</xdr:col>
      <xdr:colOff>66675</xdr:colOff>
      <xdr:row>28</xdr:row>
      <xdr:rowOff>142875</xdr:rowOff>
    </xdr:from>
    <xdr:to>
      <xdr:col>80</xdr:col>
      <xdr:colOff>66675</xdr:colOff>
      <xdr:row>29</xdr:row>
      <xdr:rowOff>85725</xdr:rowOff>
    </xdr:to>
    <xdr:sp macro="" textlink="">
      <xdr:nvSpPr>
        <xdr:cNvPr id="5317" name="Line 3920"/>
        <xdr:cNvSpPr>
          <a:spLocks noChangeShapeType="1"/>
        </xdr:cNvSpPr>
      </xdr:nvSpPr>
      <xdr:spPr bwMode="auto">
        <a:xfrm rot="5400000">
          <a:off x="13854545" y="5543550"/>
          <a:ext cx="133350" cy="0"/>
        </a:xfrm>
        <a:prstGeom prst="line">
          <a:avLst/>
        </a:prstGeom>
        <a:noFill/>
        <a:ln w="9525">
          <a:solidFill>
            <a:srgbClr val="000000"/>
          </a:solidFill>
          <a:round/>
          <a:headEnd/>
          <a:tailEnd/>
        </a:ln>
      </xdr:spPr>
    </xdr:sp>
    <xdr:clientData/>
  </xdr:twoCellAnchor>
  <xdr:twoCellAnchor editAs="oneCell">
    <xdr:from>
      <xdr:col>80</xdr:col>
      <xdr:colOff>9525</xdr:colOff>
      <xdr:row>28</xdr:row>
      <xdr:rowOff>152400</xdr:rowOff>
    </xdr:from>
    <xdr:to>
      <xdr:col>80</xdr:col>
      <xdr:colOff>123825</xdr:colOff>
      <xdr:row>28</xdr:row>
      <xdr:rowOff>152400</xdr:rowOff>
    </xdr:to>
    <xdr:sp macro="" textlink="">
      <xdr:nvSpPr>
        <xdr:cNvPr id="5318" name="Line 3929"/>
        <xdr:cNvSpPr>
          <a:spLocks noChangeShapeType="1"/>
        </xdr:cNvSpPr>
      </xdr:nvSpPr>
      <xdr:spPr bwMode="auto">
        <a:xfrm rot="5400000" flipV="1">
          <a:off x="13921220" y="5429250"/>
          <a:ext cx="0" cy="114300"/>
        </a:xfrm>
        <a:prstGeom prst="line">
          <a:avLst/>
        </a:prstGeom>
        <a:noFill/>
        <a:ln w="9525">
          <a:solidFill>
            <a:srgbClr val="000000"/>
          </a:solidFill>
          <a:round/>
          <a:headEnd/>
          <a:tailEnd/>
        </a:ln>
      </xdr:spPr>
    </xdr:sp>
    <xdr:clientData/>
  </xdr:twoCellAnchor>
  <xdr:twoCellAnchor editAs="oneCell">
    <xdr:from>
      <xdr:col>80</xdr:col>
      <xdr:colOff>9525</xdr:colOff>
      <xdr:row>29</xdr:row>
      <xdr:rowOff>76200</xdr:rowOff>
    </xdr:from>
    <xdr:to>
      <xdr:col>80</xdr:col>
      <xdr:colOff>123825</xdr:colOff>
      <xdr:row>29</xdr:row>
      <xdr:rowOff>76200</xdr:rowOff>
    </xdr:to>
    <xdr:sp macro="" textlink="">
      <xdr:nvSpPr>
        <xdr:cNvPr id="5319" name="Line 3929"/>
        <xdr:cNvSpPr>
          <a:spLocks noChangeShapeType="1"/>
        </xdr:cNvSpPr>
      </xdr:nvSpPr>
      <xdr:spPr bwMode="auto">
        <a:xfrm rot="5400000" flipV="1">
          <a:off x="13921220" y="5543550"/>
          <a:ext cx="0" cy="114300"/>
        </a:xfrm>
        <a:prstGeom prst="line">
          <a:avLst/>
        </a:prstGeom>
        <a:noFill/>
        <a:ln w="9525">
          <a:solidFill>
            <a:srgbClr val="000000"/>
          </a:solidFill>
          <a:round/>
          <a:headEnd/>
          <a:tailEnd/>
        </a:ln>
      </xdr:spPr>
    </xdr:sp>
    <xdr:clientData/>
  </xdr:twoCellAnchor>
  <xdr:twoCellAnchor editAs="oneCell">
    <xdr:from>
      <xdr:col>80</xdr:col>
      <xdr:colOff>123825</xdr:colOff>
      <xdr:row>28</xdr:row>
      <xdr:rowOff>152400</xdr:rowOff>
    </xdr:from>
    <xdr:to>
      <xdr:col>80</xdr:col>
      <xdr:colOff>123825</xdr:colOff>
      <xdr:row>29</xdr:row>
      <xdr:rowOff>85725</xdr:rowOff>
    </xdr:to>
    <xdr:sp macro="" textlink="">
      <xdr:nvSpPr>
        <xdr:cNvPr id="5320" name="Line 3920"/>
        <xdr:cNvSpPr>
          <a:spLocks noChangeShapeType="1"/>
        </xdr:cNvSpPr>
      </xdr:nvSpPr>
      <xdr:spPr bwMode="auto">
        <a:xfrm rot="5400000">
          <a:off x="13916457" y="5548313"/>
          <a:ext cx="123825" cy="0"/>
        </a:xfrm>
        <a:prstGeom prst="line">
          <a:avLst/>
        </a:prstGeom>
        <a:noFill/>
        <a:ln w="9525">
          <a:solidFill>
            <a:srgbClr val="000000"/>
          </a:solidFill>
          <a:round/>
          <a:headEnd/>
          <a:tailEnd/>
        </a:ln>
      </xdr:spPr>
    </xdr:sp>
    <xdr:clientData/>
  </xdr:twoCellAnchor>
  <xdr:twoCellAnchor editAs="oneCell">
    <xdr:from>
      <xdr:col>10</xdr:col>
      <xdr:colOff>0</xdr:colOff>
      <xdr:row>22</xdr:row>
      <xdr:rowOff>19050</xdr:rowOff>
    </xdr:from>
    <xdr:to>
      <xdr:col>12</xdr:col>
      <xdr:colOff>0</xdr:colOff>
      <xdr:row>23</xdr:row>
      <xdr:rowOff>47625</xdr:rowOff>
    </xdr:to>
    <xdr:grpSp>
      <xdr:nvGrpSpPr>
        <xdr:cNvPr id="5321" name="Group 3915"/>
        <xdr:cNvGrpSpPr>
          <a:grpSpLocks/>
        </xdr:cNvGrpSpPr>
      </xdr:nvGrpSpPr>
      <xdr:grpSpPr bwMode="auto">
        <a:xfrm>
          <a:off x="1731818" y="4573732"/>
          <a:ext cx="346364" cy="219075"/>
          <a:chOff x="460" y="221"/>
          <a:chExt cx="40" cy="23"/>
        </a:xfrm>
      </xdr:grpSpPr>
      <xdr:grpSp>
        <xdr:nvGrpSpPr>
          <xdr:cNvPr id="5375" name="Group 3916"/>
          <xdr:cNvGrpSpPr>
            <a:grpSpLocks/>
          </xdr:cNvGrpSpPr>
        </xdr:nvGrpSpPr>
        <xdr:grpSpPr bwMode="auto">
          <a:xfrm>
            <a:off x="473" y="227"/>
            <a:ext cx="14" cy="17"/>
            <a:chOff x="184" y="266"/>
            <a:chExt cx="24" cy="30"/>
          </a:xfrm>
        </xdr:grpSpPr>
        <xdr:sp macro="" textlink="">
          <xdr:nvSpPr>
            <xdr:cNvPr id="5379"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380" name="Group 3921"/>
            <xdr:cNvGrpSpPr>
              <a:grpSpLocks/>
            </xdr:cNvGrpSpPr>
          </xdr:nvGrpSpPr>
          <xdr:grpSpPr bwMode="auto">
            <a:xfrm>
              <a:off x="184" y="276"/>
              <a:ext cx="24" cy="20"/>
              <a:chOff x="280" y="226"/>
              <a:chExt cx="24" cy="20"/>
            </a:xfrm>
          </xdr:grpSpPr>
          <xdr:sp macro="" textlink="">
            <xdr:nvSpPr>
              <xdr:cNvPr id="5382"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383"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384"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385"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381"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376" name="Line 3927"/>
          <xdr:cNvSpPr>
            <a:spLocks noChangeShapeType="1"/>
          </xdr:cNvSpPr>
        </xdr:nvSpPr>
        <xdr:spPr bwMode="auto">
          <a:xfrm flipH="1">
            <a:off x="487" y="239"/>
            <a:ext cx="13" cy="0"/>
          </a:xfrm>
          <a:prstGeom prst="line">
            <a:avLst/>
          </a:prstGeom>
          <a:noFill/>
          <a:ln w="9525">
            <a:solidFill>
              <a:srgbClr val="000000"/>
            </a:solidFill>
            <a:round/>
            <a:headEnd/>
            <a:tailEnd/>
          </a:ln>
        </xdr:spPr>
      </xdr:sp>
      <xdr:sp macro="" textlink="">
        <xdr:nvSpPr>
          <xdr:cNvPr id="5377" name="Line 3928"/>
          <xdr:cNvSpPr>
            <a:spLocks noChangeShapeType="1"/>
          </xdr:cNvSpPr>
        </xdr:nvSpPr>
        <xdr:spPr bwMode="auto">
          <a:xfrm flipH="1">
            <a:off x="460" y="239"/>
            <a:ext cx="13" cy="0"/>
          </a:xfrm>
          <a:prstGeom prst="line">
            <a:avLst/>
          </a:prstGeom>
          <a:noFill/>
          <a:ln w="9525">
            <a:solidFill>
              <a:srgbClr val="000000"/>
            </a:solidFill>
            <a:round/>
            <a:headEnd/>
            <a:tailEnd/>
          </a:ln>
        </xdr:spPr>
      </xdr:sp>
      <xdr:sp macro="" textlink="">
        <xdr:nvSpPr>
          <xdr:cNvPr id="5378" name="Line 3929"/>
          <xdr:cNvSpPr>
            <a:spLocks noChangeShapeType="1"/>
          </xdr:cNvSpPr>
        </xdr:nvSpPr>
        <xdr:spPr bwMode="auto">
          <a:xfrm flipH="1" flipV="1">
            <a:off x="480" y="221"/>
            <a:ext cx="0" cy="6"/>
          </a:xfrm>
          <a:prstGeom prst="line">
            <a:avLst/>
          </a:prstGeom>
          <a:noFill/>
          <a:ln w="9525">
            <a:solidFill>
              <a:srgbClr val="000000"/>
            </a:solidFill>
            <a:round/>
            <a:headEnd/>
            <a:tailEnd/>
          </a:ln>
        </xdr:spPr>
      </xdr:sp>
    </xdr:grpSp>
    <xdr:clientData/>
  </xdr:twoCellAnchor>
  <xdr:twoCellAnchor editAs="oneCell">
    <xdr:from>
      <xdr:col>11</xdr:col>
      <xdr:colOff>57150</xdr:colOff>
      <xdr:row>21</xdr:row>
      <xdr:rowOff>152400</xdr:rowOff>
    </xdr:from>
    <xdr:to>
      <xdr:col>11</xdr:col>
      <xdr:colOff>57150</xdr:colOff>
      <xdr:row>22</xdr:row>
      <xdr:rowOff>76200</xdr:rowOff>
    </xdr:to>
    <xdr:sp macro="" textlink="">
      <xdr:nvSpPr>
        <xdr:cNvPr id="5322" name="Line 3929"/>
        <xdr:cNvSpPr>
          <a:spLocks noChangeShapeType="1"/>
        </xdr:cNvSpPr>
      </xdr:nvSpPr>
      <xdr:spPr bwMode="auto">
        <a:xfrm flipV="1">
          <a:off x="1962150" y="4152900"/>
          <a:ext cx="0" cy="114300"/>
        </a:xfrm>
        <a:prstGeom prst="line">
          <a:avLst/>
        </a:prstGeom>
        <a:noFill/>
        <a:ln w="9525">
          <a:solidFill>
            <a:srgbClr val="000000"/>
          </a:solidFill>
          <a:round/>
          <a:headEnd/>
          <a:tailEnd/>
        </a:ln>
      </xdr:spPr>
    </xdr:sp>
    <xdr:clientData/>
  </xdr:twoCellAnchor>
  <xdr:twoCellAnchor editAs="oneCell">
    <xdr:from>
      <xdr:col>10</xdr:col>
      <xdr:colOff>123825</xdr:colOff>
      <xdr:row>21</xdr:row>
      <xdr:rowOff>152400</xdr:rowOff>
    </xdr:from>
    <xdr:to>
      <xdr:col>10</xdr:col>
      <xdr:colOff>123825</xdr:colOff>
      <xdr:row>22</xdr:row>
      <xdr:rowOff>76200</xdr:rowOff>
    </xdr:to>
    <xdr:sp macro="" textlink="">
      <xdr:nvSpPr>
        <xdr:cNvPr id="5323" name="Line 3929"/>
        <xdr:cNvSpPr>
          <a:spLocks noChangeShapeType="1"/>
        </xdr:cNvSpPr>
      </xdr:nvSpPr>
      <xdr:spPr bwMode="auto">
        <a:xfrm flipH="1" flipV="1">
          <a:off x="1855643" y="4152900"/>
          <a:ext cx="0" cy="114300"/>
        </a:xfrm>
        <a:prstGeom prst="line">
          <a:avLst/>
        </a:prstGeom>
        <a:noFill/>
        <a:ln w="9525">
          <a:solidFill>
            <a:srgbClr val="000000"/>
          </a:solidFill>
          <a:round/>
          <a:headEnd/>
          <a:tailEnd/>
        </a:ln>
      </xdr:spPr>
    </xdr:sp>
    <xdr:clientData/>
  </xdr:twoCellAnchor>
  <xdr:twoCellAnchor editAs="oneCell">
    <xdr:from>
      <xdr:col>10</xdr:col>
      <xdr:colOff>114300</xdr:colOff>
      <xdr:row>22</xdr:row>
      <xdr:rowOff>19050</xdr:rowOff>
    </xdr:from>
    <xdr:to>
      <xdr:col>11</xdr:col>
      <xdr:colOff>66675</xdr:colOff>
      <xdr:row>22</xdr:row>
      <xdr:rowOff>19050</xdr:rowOff>
    </xdr:to>
    <xdr:sp macro="" textlink="">
      <xdr:nvSpPr>
        <xdr:cNvPr id="5324" name="Line 3920"/>
        <xdr:cNvSpPr>
          <a:spLocks noChangeShapeType="1"/>
        </xdr:cNvSpPr>
      </xdr:nvSpPr>
      <xdr:spPr bwMode="auto">
        <a:xfrm>
          <a:off x="1846118" y="4210050"/>
          <a:ext cx="125557" cy="0"/>
        </a:xfrm>
        <a:prstGeom prst="line">
          <a:avLst/>
        </a:prstGeom>
        <a:noFill/>
        <a:ln w="9525">
          <a:solidFill>
            <a:srgbClr val="000000"/>
          </a:solidFill>
          <a:round/>
          <a:headEnd/>
          <a:tailEnd/>
        </a:ln>
      </xdr:spPr>
    </xdr:sp>
    <xdr:clientData/>
  </xdr:twoCellAnchor>
  <xdr:twoCellAnchor editAs="oneCell">
    <xdr:from>
      <xdr:col>10</xdr:col>
      <xdr:colOff>123825</xdr:colOff>
      <xdr:row>21</xdr:row>
      <xdr:rowOff>152400</xdr:rowOff>
    </xdr:from>
    <xdr:to>
      <xdr:col>11</xdr:col>
      <xdr:colOff>66675</xdr:colOff>
      <xdr:row>21</xdr:row>
      <xdr:rowOff>152400</xdr:rowOff>
    </xdr:to>
    <xdr:sp macro="" textlink="">
      <xdr:nvSpPr>
        <xdr:cNvPr id="5325" name="Line 3920"/>
        <xdr:cNvSpPr>
          <a:spLocks noChangeShapeType="1"/>
        </xdr:cNvSpPr>
      </xdr:nvSpPr>
      <xdr:spPr bwMode="auto">
        <a:xfrm>
          <a:off x="1855643" y="4152900"/>
          <a:ext cx="116032" cy="0"/>
        </a:xfrm>
        <a:prstGeom prst="line">
          <a:avLst/>
        </a:prstGeom>
        <a:noFill/>
        <a:ln w="9525">
          <a:solidFill>
            <a:srgbClr val="000000"/>
          </a:solidFill>
          <a:round/>
          <a:headEnd/>
          <a:tailEnd/>
        </a:ln>
      </xdr:spPr>
    </xdr:sp>
    <xdr:clientData/>
  </xdr:twoCellAnchor>
  <xdr:twoCellAnchor editAs="oneCell">
    <xdr:from>
      <xdr:col>6</xdr:col>
      <xdr:colOff>0</xdr:colOff>
      <xdr:row>23</xdr:row>
      <xdr:rowOff>0</xdr:rowOff>
    </xdr:from>
    <xdr:to>
      <xdr:col>10</xdr:col>
      <xdr:colOff>123984</xdr:colOff>
      <xdr:row>23</xdr:row>
      <xdr:rowOff>2380</xdr:rowOff>
    </xdr:to>
    <xdr:cxnSp macro="">
      <xdr:nvCxnSpPr>
        <xdr:cNvPr id="88627" name="Straight Connector 88626"/>
        <xdr:cNvCxnSpPr>
          <a:stCxn id="5744" idx="0"/>
          <a:endCxn id="5377" idx="0"/>
        </xdr:cNvCxnSpPr>
      </xdr:nvCxnSpPr>
      <xdr:spPr>
        <a:xfrm>
          <a:off x="1039091" y="4381500"/>
          <a:ext cx="816711" cy="238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60166</xdr:colOff>
      <xdr:row>23</xdr:row>
      <xdr:rowOff>0</xdr:rowOff>
    </xdr:from>
    <xdr:to>
      <xdr:col>15</xdr:col>
      <xdr:colOff>82550</xdr:colOff>
      <xdr:row>23</xdr:row>
      <xdr:rowOff>2381</xdr:rowOff>
    </xdr:to>
    <xdr:cxnSp macro="">
      <xdr:nvCxnSpPr>
        <xdr:cNvPr id="32" name="Straight Connector 31"/>
        <xdr:cNvCxnSpPr>
          <a:stCxn id="5376" idx="1"/>
          <a:endCxn id="5122" idx="0"/>
        </xdr:cNvCxnSpPr>
      </xdr:nvCxnSpPr>
      <xdr:spPr>
        <a:xfrm flipV="1">
          <a:off x="1965166" y="4381500"/>
          <a:ext cx="715111" cy="238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31</xdr:row>
      <xdr:rowOff>19050</xdr:rowOff>
    </xdr:from>
    <xdr:to>
      <xdr:col>9</xdr:col>
      <xdr:colOff>0</xdr:colOff>
      <xdr:row>32</xdr:row>
      <xdr:rowOff>47625</xdr:rowOff>
    </xdr:to>
    <xdr:grpSp>
      <xdr:nvGrpSpPr>
        <xdr:cNvPr id="5328" name="Group 3915"/>
        <xdr:cNvGrpSpPr>
          <a:grpSpLocks/>
        </xdr:cNvGrpSpPr>
      </xdr:nvGrpSpPr>
      <xdr:grpSpPr bwMode="auto">
        <a:xfrm>
          <a:off x="1212273" y="6288232"/>
          <a:ext cx="346363" cy="219075"/>
          <a:chOff x="460" y="221"/>
          <a:chExt cx="40" cy="23"/>
        </a:xfrm>
      </xdr:grpSpPr>
      <xdr:grpSp>
        <xdr:nvGrpSpPr>
          <xdr:cNvPr id="5364" name="Group 3916"/>
          <xdr:cNvGrpSpPr>
            <a:grpSpLocks/>
          </xdr:cNvGrpSpPr>
        </xdr:nvGrpSpPr>
        <xdr:grpSpPr bwMode="auto">
          <a:xfrm>
            <a:off x="473" y="227"/>
            <a:ext cx="14" cy="17"/>
            <a:chOff x="184" y="266"/>
            <a:chExt cx="24" cy="30"/>
          </a:xfrm>
        </xdr:grpSpPr>
        <xdr:sp macro="" textlink="">
          <xdr:nvSpPr>
            <xdr:cNvPr id="5368" name="Line 3920"/>
            <xdr:cNvSpPr>
              <a:spLocks noChangeShapeType="1"/>
            </xdr:cNvSpPr>
          </xdr:nvSpPr>
          <xdr:spPr bwMode="auto">
            <a:xfrm>
              <a:off x="184" y="266"/>
              <a:ext cx="24" cy="0"/>
            </a:xfrm>
            <a:prstGeom prst="line">
              <a:avLst/>
            </a:prstGeom>
            <a:noFill/>
            <a:ln w="9525">
              <a:solidFill>
                <a:srgbClr val="000000"/>
              </a:solidFill>
              <a:round/>
              <a:headEnd/>
              <a:tailEnd/>
            </a:ln>
          </xdr:spPr>
        </xdr:sp>
        <xdr:grpSp>
          <xdr:nvGrpSpPr>
            <xdr:cNvPr id="5369" name="Group 3921"/>
            <xdr:cNvGrpSpPr>
              <a:grpSpLocks/>
            </xdr:cNvGrpSpPr>
          </xdr:nvGrpSpPr>
          <xdr:grpSpPr bwMode="auto">
            <a:xfrm>
              <a:off x="184" y="276"/>
              <a:ext cx="24" cy="20"/>
              <a:chOff x="280" y="226"/>
              <a:chExt cx="24" cy="20"/>
            </a:xfrm>
          </xdr:grpSpPr>
          <xdr:sp macro="" textlink="">
            <xdr:nvSpPr>
              <xdr:cNvPr id="5371"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372"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373"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374"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370"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365" name="Line 3927"/>
          <xdr:cNvSpPr>
            <a:spLocks noChangeShapeType="1"/>
          </xdr:cNvSpPr>
        </xdr:nvSpPr>
        <xdr:spPr bwMode="auto">
          <a:xfrm flipH="1">
            <a:off x="487" y="239"/>
            <a:ext cx="13" cy="0"/>
          </a:xfrm>
          <a:prstGeom prst="line">
            <a:avLst/>
          </a:prstGeom>
          <a:noFill/>
          <a:ln w="9525">
            <a:solidFill>
              <a:srgbClr val="000000"/>
            </a:solidFill>
            <a:round/>
            <a:headEnd/>
            <a:tailEnd/>
          </a:ln>
        </xdr:spPr>
      </xdr:sp>
      <xdr:sp macro="" textlink="">
        <xdr:nvSpPr>
          <xdr:cNvPr id="5366" name="Line 3928"/>
          <xdr:cNvSpPr>
            <a:spLocks noChangeShapeType="1"/>
          </xdr:cNvSpPr>
        </xdr:nvSpPr>
        <xdr:spPr bwMode="auto">
          <a:xfrm flipH="1">
            <a:off x="460" y="239"/>
            <a:ext cx="13" cy="0"/>
          </a:xfrm>
          <a:prstGeom prst="line">
            <a:avLst/>
          </a:prstGeom>
          <a:noFill/>
          <a:ln w="9525">
            <a:solidFill>
              <a:srgbClr val="000000"/>
            </a:solidFill>
            <a:round/>
            <a:headEnd/>
            <a:tailEnd/>
          </a:ln>
        </xdr:spPr>
      </xdr:sp>
      <xdr:sp macro="" textlink="">
        <xdr:nvSpPr>
          <xdr:cNvPr id="5367" name="Line 3929"/>
          <xdr:cNvSpPr>
            <a:spLocks noChangeShapeType="1"/>
          </xdr:cNvSpPr>
        </xdr:nvSpPr>
        <xdr:spPr bwMode="auto">
          <a:xfrm flipH="1" flipV="1">
            <a:off x="480" y="221"/>
            <a:ext cx="0" cy="6"/>
          </a:xfrm>
          <a:prstGeom prst="line">
            <a:avLst/>
          </a:prstGeom>
          <a:noFill/>
          <a:ln w="9525">
            <a:solidFill>
              <a:srgbClr val="000000"/>
            </a:solidFill>
            <a:round/>
            <a:headEnd/>
            <a:tailEnd/>
          </a:ln>
        </xdr:spPr>
      </xdr:sp>
    </xdr:grpSp>
    <xdr:clientData/>
  </xdr:twoCellAnchor>
  <xdr:twoCellAnchor editAs="oneCell">
    <xdr:from>
      <xdr:col>8</xdr:col>
      <xdr:colOff>57150</xdr:colOff>
      <xdr:row>30</xdr:row>
      <xdr:rowOff>152400</xdr:rowOff>
    </xdr:from>
    <xdr:to>
      <xdr:col>8</xdr:col>
      <xdr:colOff>57150</xdr:colOff>
      <xdr:row>31</xdr:row>
      <xdr:rowOff>76200</xdr:rowOff>
    </xdr:to>
    <xdr:sp macro="" textlink="">
      <xdr:nvSpPr>
        <xdr:cNvPr id="5329" name="Line 3929"/>
        <xdr:cNvSpPr>
          <a:spLocks noChangeShapeType="1"/>
        </xdr:cNvSpPr>
      </xdr:nvSpPr>
      <xdr:spPr bwMode="auto">
        <a:xfrm flipV="1">
          <a:off x="1442605" y="5867400"/>
          <a:ext cx="0" cy="114300"/>
        </a:xfrm>
        <a:prstGeom prst="line">
          <a:avLst/>
        </a:prstGeom>
        <a:noFill/>
        <a:ln w="9525">
          <a:solidFill>
            <a:srgbClr val="000000"/>
          </a:solidFill>
          <a:round/>
          <a:headEnd/>
          <a:tailEnd/>
        </a:ln>
      </xdr:spPr>
    </xdr:sp>
    <xdr:clientData/>
  </xdr:twoCellAnchor>
  <xdr:twoCellAnchor editAs="oneCell">
    <xdr:from>
      <xdr:col>7</xdr:col>
      <xdr:colOff>123825</xdr:colOff>
      <xdr:row>30</xdr:row>
      <xdr:rowOff>152400</xdr:rowOff>
    </xdr:from>
    <xdr:to>
      <xdr:col>7</xdr:col>
      <xdr:colOff>123825</xdr:colOff>
      <xdr:row>31</xdr:row>
      <xdr:rowOff>76200</xdr:rowOff>
    </xdr:to>
    <xdr:sp macro="" textlink="">
      <xdr:nvSpPr>
        <xdr:cNvPr id="5330" name="Line 3929"/>
        <xdr:cNvSpPr>
          <a:spLocks noChangeShapeType="1"/>
        </xdr:cNvSpPr>
      </xdr:nvSpPr>
      <xdr:spPr bwMode="auto">
        <a:xfrm flipH="1" flipV="1">
          <a:off x="1336098" y="5867400"/>
          <a:ext cx="0" cy="114300"/>
        </a:xfrm>
        <a:prstGeom prst="line">
          <a:avLst/>
        </a:prstGeom>
        <a:noFill/>
        <a:ln w="9525">
          <a:solidFill>
            <a:srgbClr val="000000"/>
          </a:solidFill>
          <a:round/>
          <a:headEnd/>
          <a:tailEnd/>
        </a:ln>
      </xdr:spPr>
    </xdr:sp>
    <xdr:clientData/>
  </xdr:twoCellAnchor>
  <xdr:twoCellAnchor editAs="oneCell">
    <xdr:from>
      <xdr:col>7</xdr:col>
      <xdr:colOff>114300</xdr:colOff>
      <xdr:row>31</xdr:row>
      <xdr:rowOff>19050</xdr:rowOff>
    </xdr:from>
    <xdr:to>
      <xdr:col>8</xdr:col>
      <xdr:colOff>66675</xdr:colOff>
      <xdr:row>31</xdr:row>
      <xdr:rowOff>19050</xdr:rowOff>
    </xdr:to>
    <xdr:sp macro="" textlink="">
      <xdr:nvSpPr>
        <xdr:cNvPr id="5331" name="Line 3920"/>
        <xdr:cNvSpPr>
          <a:spLocks noChangeShapeType="1"/>
        </xdr:cNvSpPr>
      </xdr:nvSpPr>
      <xdr:spPr bwMode="auto">
        <a:xfrm>
          <a:off x="1326573" y="5924550"/>
          <a:ext cx="125557" cy="0"/>
        </a:xfrm>
        <a:prstGeom prst="line">
          <a:avLst/>
        </a:prstGeom>
        <a:noFill/>
        <a:ln w="9525">
          <a:solidFill>
            <a:srgbClr val="000000"/>
          </a:solidFill>
          <a:round/>
          <a:headEnd/>
          <a:tailEnd/>
        </a:ln>
      </xdr:spPr>
    </xdr:sp>
    <xdr:clientData/>
  </xdr:twoCellAnchor>
  <xdr:twoCellAnchor editAs="oneCell">
    <xdr:from>
      <xdr:col>7</xdr:col>
      <xdr:colOff>123825</xdr:colOff>
      <xdr:row>30</xdr:row>
      <xdr:rowOff>152400</xdr:rowOff>
    </xdr:from>
    <xdr:to>
      <xdr:col>8</xdr:col>
      <xdr:colOff>66675</xdr:colOff>
      <xdr:row>30</xdr:row>
      <xdr:rowOff>152400</xdr:rowOff>
    </xdr:to>
    <xdr:sp macro="" textlink="">
      <xdr:nvSpPr>
        <xdr:cNvPr id="5332" name="Line 3920"/>
        <xdr:cNvSpPr>
          <a:spLocks noChangeShapeType="1"/>
        </xdr:cNvSpPr>
      </xdr:nvSpPr>
      <xdr:spPr bwMode="auto">
        <a:xfrm>
          <a:off x="1336098" y="5867400"/>
          <a:ext cx="116032" cy="0"/>
        </a:xfrm>
        <a:prstGeom prst="line">
          <a:avLst/>
        </a:prstGeom>
        <a:noFill/>
        <a:ln w="9525">
          <a:solidFill>
            <a:srgbClr val="000000"/>
          </a:solidFill>
          <a:round/>
          <a:headEnd/>
          <a:tailEnd/>
        </a:ln>
      </xdr:spPr>
    </xdr:sp>
    <xdr:clientData/>
  </xdr:twoCellAnchor>
  <xdr:twoCellAnchor editAs="oneCell">
    <xdr:from>
      <xdr:col>5</xdr:col>
      <xdr:colOff>169811</xdr:colOff>
      <xdr:row>32</xdr:row>
      <xdr:rowOff>4761</xdr:rowOff>
    </xdr:from>
    <xdr:to>
      <xdr:col>7</xdr:col>
      <xdr:colOff>124144</xdr:colOff>
      <xdr:row>32</xdr:row>
      <xdr:rowOff>5299</xdr:rowOff>
    </xdr:to>
    <xdr:cxnSp macro="">
      <xdr:nvCxnSpPr>
        <xdr:cNvPr id="34" name="Straight Connector 33"/>
        <xdr:cNvCxnSpPr>
          <a:stCxn id="5731" idx="0"/>
          <a:endCxn id="5366" idx="0"/>
        </xdr:cNvCxnSpPr>
      </xdr:nvCxnSpPr>
      <xdr:spPr>
        <a:xfrm flipV="1">
          <a:off x="1035720" y="6100761"/>
          <a:ext cx="300697" cy="538"/>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60166</xdr:colOff>
      <xdr:row>32</xdr:row>
      <xdr:rowOff>4762</xdr:rowOff>
    </xdr:from>
    <xdr:to>
      <xdr:col>9</xdr:col>
      <xdr:colOff>87313</xdr:colOff>
      <xdr:row>32</xdr:row>
      <xdr:rowOff>4762</xdr:rowOff>
    </xdr:to>
    <xdr:cxnSp macro="">
      <xdr:nvCxnSpPr>
        <xdr:cNvPr id="36" name="Straight Connector 35"/>
        <xdr:cNvCxnSpPr>
          <a:endCxn id="5365" idx="1"/>
        </xdr:cNvCxnSpPr>
      </xdr:nvCxnSpPr>
      <xdr:spPr>
        <a:xfrm flipH="1">
          <a:off x="1445621" y="6100762"/>
          <a:ext cx="200328"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66</xdr:col>
      <xdr:colOff>168276</xdr:colOff>
      <xdr:row>7</xdr:row>
      <xdr:rowOff>142875</xdr:rowOff>
    </xdr:from>
    <xdr:to>
      <xdr:col>67</xdr:col>
      <xdr:colOff>1443</xdr:colOff>
      <xdr:row>10</xdr:row>
      <xdr:rowOff>114300</xdr:rowOff>
    </xdr:to>
    <xdr:cxnSp macro="">
      <xdr:nvCxnSpPr>
        <xdr:cNvPr id="58" name="Straight Connector 57"/>
        <xdr:cNvCxnSpPr/>
      </xdr:nvCxnSpPr>
      <xdr:spPr>
        <a:xfrm flipH="1">
          <a:off x="11598276" y="1476375"/>
          <a:ext cx="6349" cy="57150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70</xdr:col>
      <xdr:colOff>6351</xdr:colOff>
      <xdr:row>8</xdr:row>
      <xdr:rowOff>104775</xdr:rowOff>
    </xdr:from>
    <xdr:to>
      <xdr:col>70</xdr:col>
      <xdr:colOff>8731</xdr:colOff>
      <xdr:row>9</xdr:row>
      <xdr:rowOff>188119</xdr:rowOff>
    </xdr:to>
    <xdr:cxnSp macro="">
      <xdr:nvCxnSpPr>
        <xdr:cNvPr id="789" name="Straight Connector 788"/>
        <xdr:cNvCxnSpPr/>
      </xdr:nvCxnSpPr>
      <xdr:spPr>
        <a:xfrm flipH="1">
          <a:off x="12129078" y="1628775"/>
          <a:ext cx="2380" cy="283369"/>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66</xdr:col>
      <xdr:colOff>168275</xdr:colOff>
      <xdr:row>7</xdr:row>
      <xdr:rowOff>152400</xdr:rowOff>
    </xdr:from>
    <xdr:to>
      <xdr:col>70</xdr:col>
      <xdr:colOff>13564</xdr:colOff>
      <xdr:row>8</xdr:row>
      <xdr:rowOff>109538</xdr:rowOff>
    </xdr:to>
    <xdr:cxnSp macro="">
      <xdr:nvCxnSpPr>
        <xdr:cNvPr id="63" name="Straight Connector 62"/>
        <xdr:cNvCxnSpPr/>
      </xdr:nvCxnSpPr>
      <xdr:spPr>
        <a:xfrm>
          <a:off x="11598275" y="1485900"/>
          <a:ext cx="538016" cy="157163"/>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66</xdr:col>
      <xdr:colOff>168275</xdr:colOff>
      <xdr:row>10</xdr:row>
      <xdr:rowOff>0</xdr:rowOff>
    </xdr:from>
    <xdr:to>
      <xdr:col>70</xdr:col>
      <xdr:colOff>15986</xdr:colOff>
      <xdr:row>10</xdr:row>
      <xdr:rowOff>133350</xdr:rowOff>
    </xdr:to>
    <xdr:cxnSp macro="">
      <xdr:nvCxnSpPr>
        <xdr:cNvPr id="2311" name="Straight Connector 2310"/>
        <xdr:cNvCxnSpPr/>
      </xdr:nvCxnSpPr>
      <xdr:spPr>
        <a:xfrm flipV="1">
          <a:off x="11598275" y="1905000"/>
          <a:ext cx="540438" cy="13335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70</xdr:col>
      <xdr:colOff>6350</xdr:colOff>
      <xdr:row>9</xdr:row>
      <xdr:rowOff>66675</xdr:rowOff>
    </xdr:from>
    <xdr:to>
      <xdr:col>79</xdr:col>
      <xdr:colOff>56356</xdr:colOff>
      <xdr:row>9</xdr:row>
      <xdr:rowOff>69056</xdr:rowOff>
    </xdr:to>
    <xdr:cxnSp macro="">
      <xdr:nvCxnSpPr>
        <xdr:cNvPr id="2322" name="Straight Connector 2321"/>
        <xdr:cNvCxnSpPr/>
      </xdr:nvCxnSpPr>
      <xdr:spPr>
        <a:xfrm>
          <a:off x="12129077" y="1781175"/>
          <a:ext cx="1608643" cy="2381"/>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86</xdr:col>
      <xdr:colOff>104806</xdr:colOff>
      <xdr:row>40</xdr:row>
      <xdr:rowOff>95210</xdr:rowOff>
    </xdr:from>
    <xdr:to>
      <xdr:col>90</xdr:col>
      <xdr:colOff>22284</xdr:colOff>
      <xdr:row>41</xdr:row>
      <xdr:rowOff>66635</xdr:rowOff>
    </xdr:to>
    <xdr:sp macro="" textlink="">
      <xdr:nvSpPr>
        <xdr:cNvPr id="2" name="TextBox 644"/>
        <xdr:cNvSpPr txBox="1"/>
      </xdr:nvSpPr>
      <xdr:spPr>
        <a:xfrm>
          <a:off x="14998442" y="7715210"/>
          <a:ext cx="610206"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defRPr sz="1000"/>
          </a:pPr>
          <a:r>
            <a:rPr lang="en-US" sz="800" b="0" i="0" u="none" strike="noStrike" baseline="0">
              <a:solidFill>
                <a:srgbClr val="000000"/>
              </a:solidFill>
              <a:latin typeface="Arial Narrow"/>
            </a:rPr>
            <a:t>XZV-2075</a:t>
          </a:r>
        </a:p>
      </xdr:txBody>
    </xdr:sp>
    <xdr:clientData/>
  </xdr:twoCellAnchor>
  <xdr:twoCellAnchor editAs="oneCell">
    <xdr:from>
      <xdr:col>86</xdr:col>
      <xdr:colOff>104806</xdr:colOff>
      <xdr:row>45</xdr:row>
      <xdr:rowOff>76160</xdr:rowOff>
    </xdr:from>
    <xdr:to>
      <xdr:col>90</xdr:col>
      <xdr:colOff>22284</xdr:colOff>
      <xdr:row>46</xdr:row>
      <xdr:rowOff>47585</xdr:rowOff>
    </xdr:to>
    <xdr:sp macro="" textlink="">
      <xdr:nvSpPr>
        <xdr:cNvPr id="5" name="TextBox 644"/>
        <xdr:cNvSpPr txBox="1"/>
      </xdr:nvSpPr>
      <xdr:spPr>
        <a:xfrm>
          <a:off x="14998442" y="8648660"/>
          <a:ext cx="610206" cy="1619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defRPr sz="1000"/>
          </a:pPr>
          <a:r>
            <a:rPr lang="en-US" sz="800" b="0" i="0" u="none" strike="noStrike" baseline="0">
              <a:solidFill>
                <a:srgbClr val="000000"/>
              </a:solidFill>
              <a:latin typeface="Arial Narrow"/>
            </a:rPr>
            <a:t>XZV-2062</a:t>
          </a:r>
        </a:p>
      </xdr:txBody>
    </xdr:sp>
    <xdr:clientData/>
  </xdr:twoCellAnchor>
  <xdr:twoCellAnchor editAs="oneCell">
    <xdr:from>
      <xdr:col>21</xdr:col>
      <xdr:colOff>85725</xdr:colOff>
      <xdr:row>25</xdr:row>
      <xdr:rowOff>76200</xdr:rowOff>
    </xdr:from>
    <xdr:to>
      <xdr:col>21</xdr:col>
      <xdr:colOff>85725</xdr:colOff>
      <xdr:row>28</xdr:row>
      <xdr:rowOff>171450</xdr:rowOff>
    </xdr:to>
    <xdr:sp macro="" textlink="">
      <xdr:nvSpPr>
        <xdr:cNvPr id="5342" name="Line 625"/>
        <xdr:cNvSpPr>
          <a:spLocks noChangeShapeType="1"/>
        </xdr:cNvSpPr>
      </xdr:nvSpPr>
      <xdr:spPr bwMode="auto">
        <a:xfrm>
          <a:off x="3722543" y="4838700"/>
          <a:ext cx="0" cy="666750"/>
        </a:xfrm>
        <a:prstGeom prst="line">
          <a:avLst/>
        </a:prstGeom>
        <a:noFill/>
        <a:ln w="25400">
          <a:solidFill>
            <a:srgbClr val="000000"/>
          </a:solidFill>
          <a:round/>
          <a:headEnd/>
          <a:tailEnd/>
        </a:ln>
      </xdr:spPr>
    </xdr:sp>
    <xdr:clientData/>
  </xdr:twoCellAnchor>
  <xdr:twoCellAnchor editAs="oneCell">
    <xdr:from>
      <xdr:col>21</xdr:col>
      <xdr:colOff>85725</xdr:colOff>
      <xdr:row>25</xdr:row>
      <xdr:rowOff>66675</xdr:rowOff>
    </xdr:from>
    <xdr:to>
      <xdr:col>22</xdr:col>
      <xdr:colOff>152400</xdr:colOff>
      <xdr:row>25</xdr:row>
      <xdr:rowOff>66675</xdr:rowOff>
    </xdr:to>
    <xdr:sp macro="" textlink="">
      <xdr:nvSpPr>
        <xdr:cNvPr id="5343" name="Line 626"/>
        <xdr:cNvSpPr>
          <a:spLocks noChangeShapeType="1"/>
        </xdr:cNvSpPr>
      </xdr:nvSpPr>
      <xdr:spPr bwMode="auto">
        <a:xfrm>
          <a:off x="3722543" y="4829175"/>
          <a:ext cx="239857" cy="0"/>
        </a:xfrm>
        <a:prstGeom prst="line">
          <a:avLst/>
        </a:prstGeom>
        <a:noFill/>
        <a:ln w="25400">
          <a:solidFill>
            <a:srgbClr val="000000"/>
          </a:solidFill>
          <a:round/>
          <a:headEnd/>
          <a:tailEnd/>
        </a:ln>
      </xdr:spPr>
    </xdr:sp>
    <xdr:clientData/>
  </xdr:twoCellAnchor>
  <xdr:twoCellAnchor editAs="oneCell">
    <xdr:from>
      <xdr:col>23</xdr:col>
      <xdr:colOff>85725</xdr:colOff>
      <xdr:row>25</xdr:row>
      <xdr:rowOff>66675</xdr:rowOff>
    </xdr:from>
    <xdr:to>
      <xdr:col>24</xdr:col>
      <xdr:colOff>152400</xdr:colOff>
      <xdr:row>25</xdr:row>
      <xdr:rowOff>66675</xdr:rowOff>
    </xdr:to>
    <xdr:sp macro="" textlink="">
      <xdr:nvSpPr>
        <xdr:cNvPr id="5344" name="Line 627"/>
        <xdr:cNvSpPr>
          <a:spLocks noChangeShapeType="1"/>
        </xdr:cNvSpPr>
      </xdr:nvSpPr>
      <xdr:spPr bwMode="auto">
        <a:xfrm>
          <a:off x="4068907" y="4829175"/>
          <a:ext cx="239857" cy="0"/>
        </a:xfrm>
        <a:prstGeom prst="line">
          <a:avLst/>
        </a:prstGeom>
        <a:noFill/>
        <a:ln w="25400">
          <a:solidFill>
            <a:srgbClr val="000000"/>
          </a:solidFill>
          <a:round/>
          <a:headEnd/>
          <a:tailEnd/>
        </a:ln>
      </xdr:spPr>
    </xdr:sp>
    <xdr:clientData/>
  </xdr:twoCellAnchor>
  <xdr:twoCellAnchor editAs="oneCell">
    <xdr:from>
      <xdr:col>25</xdr:col>
      <xdr:colOff>47625</xdr:colOff>
      <xdr:row>25</xdr:row>
      <xdr:rowOff>66675</xdr:rowOff>
    </xdr:from>
    <xdr:to>
      <xdr:col>27</xdr:col>
      <xdr:colOff>85725</xdr:colOff>
      <xdr:row>25</xdr:row>
      <xdr:rowOff>66675</xdr:rowOff>
    </xdr:to>
    <xdr:sp macro="" textlink="">
      <xdr:nvSpPr>
        <xdr:cNvPr id="5345" name="Line 628"/>
        <xdr:cNvSpPr>
          <a:spLocks noChangeShapeType="1"/>
        </xdr:cNvSpPr>
      </xdr:nvSpPr>
      <xdr:spPr bwMode="auto">
        <a:xfrm>
          <a:off x="4377170" y="4829175"/>
          <a:ext cx="384464" cy="0"/>
        </a:xfrm>
        <a:prstGeom prst="line">
          <a:avLst/>
        </a:prstGeom>
        <a:noFill/>
        <a:ln w="25400">
          <a:solidFill>
            <a:srgbClr val="000000"/>
          </a:solidFill>
          <a:round/>
          <a:headEnd/>
          <a:tailEnd/>
        </a:ln>
      </xdr:spPr>
    </xdr:sp>
    <xdr:clientData/>
  </xdr:twoCellAnchor>
  <xdr:twoCellAnchor editAs="oneCell">
    <xdr:from>
      <xdr:col>26</xdr:col>
      <xdr:colOff>152400</xdr:colOff>
      <xdr:row>24</xdr:row>
      <xdr:rowOff>66675</xdr:rowOff>
    </xdr:from>
    <xdr:to>
      <xdr:col>28</xdr:col>
      <xdr:colOff>152400</xdr:colOff>
      <xdr:row>25</xdr:row>
      <xdr:rowOff>123825</xdr:rowOff>
    </xdr:to>
    <xdr:grpSp>
      <xdr:nvGrpSpPr>
        <xdr:cNvPr id="5346" name="Group 3915"/>
        <xdr:cNvGrpSpPr>
          <a:grpSpLocks/>
        </xdr:cNvGrpSpPr>
      </xdr:nvGrpSpPr>
      <xdr:grpSpPr bwMode="auto">
        <a:xfrm>
          <a:off x="4655127" y="5002357"/>
          <a:ext cx="346364" cy="247650"/>
          <a:chOff x="460" y="220"/>
          <a:chExt cx="40" cy="26"/>
        </a:xfrm>
      </xdr:grpSpPr>
      <xdr:grpSp>
        <xdr:nvGrpSpPr>
          <xdr:cNvPr id="5350" name="Group 3916"/>
          <xdr:cNvGrpSpPr>
            <a:grpSpLocks/>
          </xdr:cNvGrpSpPr>
        </xdr:nvGrpSpPr>
        <xdr:grpSpPr bwMode="auto">
          <a:xfrm>
            <a:off x="473" y="223"/>
            <a:ext cx="14" cy="23"/>
            <a:chOff x="184" y="256"/>
            <a:chExt cx="24" cy="40"/>
          </a:xfrm>
        </xdr:grpSpPr>
        <xdr:grpSp>
          <xdr:nvGrpSpPr>
            <xdr:cNvPr id="5354" name="Group 3917"/>
            <xdr:cNvGrpSpPr>
              <a:grpSpLocks/>
            </xdr:cNvGrpSpPr>
          </xdr:nvGrpSpPr>
          <xdr:grpSpPr bwMode="auto">
            <a:xfrm>
              <a:off x="184" y="256"/>
              <a:ext cx="24" cy="10"/>
              <a:chOff x="196" y="276"/>
              <a:chExt cx="24" cy="10"/>
            </a:xfrm>
          </xdr:grpSpPr>
          <xdr:sp macro="" textlink="">
            <xdr:nvSpPr>
              <xdr:cNvPr id="5361" name="Arc 3918"/>
              <xdr:cNvSpPr>
                <a:spLocks/>
              </xdr:cNvSpPr>
            </xdr:nvSpPr>
            <xdr:spPr bwMode="auto">
              <a:xfrm>
                <a:off x="208" y="276"/>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362" name="Arc 3919"/>
              <xdr:cNvSpPr>
                <a:spLocks/>
              </xdr:cNvSpPr>
            </xdr:nvSpPr>
            <xdr:spPr bwMode="auto">
              <a:xfrm flipH="1">
                <a:off x="196" y="276"/>
                <a:ext cx="12" cy="1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5363" name="Line 3920"/>
              <xdr:cNvSpPr>
                <a:spLocks noChangeShapeType="1"/>
              </xdr:cNvSpPr>
            </xdr:nvSpPr>
            <xdr:spPr bwMode="auto">
              <a:xfrm>
                <a:off x="196" y="286"/>
                <a:ext cx="24" cy="0"/>
              </a:xfrm>
              <a:prstGeom prst="line">
                <a:avLst/>
              </a:prstGeom>
              <a:noFill/>
              <a:ln w="9525">
                <a:solidFill>
                  <a:srgbClr val="000000"/>
                </a:solidFill>
                <a:round/>
                <a:headEnd/>
                <a:tailEnd/>
              </a:ln>
            </xdr:spPr>
          </xdr:sp>
        </xdr:grpSp>
        <xdr:grpSp>
          <xdr:nvGrpSpPr>
            <xdr:cNvPr id="5355" name="Group 3921"/>
            <xdr:cNvGrpSpPr>
              <a:grpSpLocks/>
            </xdr:cNvGrpSpPr>
          </xdr:nvGrpSpPr>
          <xdr:grpSpPr bwMode="auto">
            <a:xfrm>
              <a:off x="184" y="276"/>
              <a:ext cx="24" cy="20"/>
              <a:chOff x="280" y="226"/>
              <a:chExt cx="24" cy="20"/>
            </a:xfrm>
          </xdr:grpSpPr>
          <xdr:sp macro="" textlink="">
            <xdr:nvSpPr>
              <xdr:cNvPr id="5357" name="Line 3922"/>
              <xdr:cNvSpPr>
                <a:spLocks noChangeShapeType="1"/>
              </xdr:cNvSpPr>
            </xdr:nvSpPr>
            <xdr:spPr bwMode="auto">
              <a:xfrm>
                <a:off x="280" y="226"/>
                <a:ext cx="0" cy="20"/>
              </a:xfrm>
              <a:prstGeom prst="line">
                <a:avLst/>
              </a:prstGeom>
              <a:noFill/>
              <a:ln w="9525">
                <a:solidFill>
                  <a:srgbClr val="000000"/>
                </a:solidFill>
                <a:round/>
                <a:headEnd/>
                <a:tailEnd/>
              </a:ln>
            </xdr:spPr>
          </xdr:sp>
          <xdr:sp macro="" textlink="">
            <xdr:nvSpPr>
              <xdr:cNvPr id="5358" name="Line 3923"/>
              <xdr:cNvSpPr>
                <a:spLocks noChangeShapeType="1"/>
              </xdr:cNvSpPr>
            </xdr:nvSpPr>
            <xdr:spPr bwMode="auto">
              <a:xfrm>
                <a:off x="304" y="226"/>
                <a:ext cx="0" cy="20"/>
              </a:xfrm>
              <a:prstGeom prst="line">
                <a:avLst/>
              </a:prstGeom>
              <a:noFill/>
              <a:ln w="9525">
                <a:solidFill>
                  <a:srgbClr val="000000"/>
                </a:solidFill>
                <a:round/>
                <a:headEnd/>
                <a:tailEnd/>
              </a:ln>
            </xdr:spPr>
          </xdr:sp>
          <xdr:sp macro="" textlink="">
            <xdr:nvSpPr>
              <xdr:cNvPr id="5359" name="Line 3924"/>
              <xdr:cNvSpPr>
                <a:spLocks noChangeShapeType="1"/>
              </xdr:cNvSpPr>
            </xdr:nvSpPr>
            <xdr:spPr bwMode="auto">
              <a:xfrm flipH="1">
                <a:off x="280" y="226"/>
                <a:ext cx="24" cy="20"/>
              </a:xfrm>
              <a:prstGeom prst="line">
                <a:avLst/>
              </a:prstGeom>
              <a:noFill/>
              <a:ln w="9525">
                <a:solidFill>
                  <a:srgbClr val="000000"/>
                </a:solidFill>
                <a:round/>
                <a:headEnd/>
                <a:tailEnd/>
              </a:ln>
            </xdr:spPr>
          </xdr:sp>
          <xdr:sp macro="" textlink="">
            <xdr:nvSpPr>
              <xdr:cNvPr id="5360" name="Line 3925"/>
              <xdr:cNvSpPr>
                <a:spLocks noChangeShapeType="1"/>
              </xdr:cNvSpPr>
            </xdr:nvSpPr>
            <xdr:spPr bwMode="auto">
              <a:xfrm>
                <a:off x="280" y="226"/>
                <a:ext cx="24" cy="20"/>
              </a:xfrm>
              <a:prstGeom prst="line">
                <a:avLst/>
              </a:prstGeom>
              <a:noFill/>
              <a:ln w="9525">
                <a:solidFill>
                  <a:srgbClr val="000000"/>
                </a:solidFill>
                <a:round/>
                <a:headEnd/>
                <a:tailEnd/>
              </a:ln>
            </xdr:spPr>
          </xdr:sp>
        </xdr:grpSp>
        <xdr:sp macro="" textlink="">
          <xdr:nvSpPr>
            <xdr:cNvPr id="5356" name="Line 3926"/>
            <xdr:cNvSpPr>
              <a:spLocks noChangeShapeType="1"/>
            </xdr:cNvSpPr>
          </xdr:nvSpPr>
          <xdr:spPr bwMode="auto">
            <a:xfrm>
              <a:off x="196" y="266"/>
              <a:ext cx="0" cy="20"/>
            </a:xfrm>
            <a:prstGeom prst="line">
              <a:avLst/>
            </a:prstGeom>
            <a:noFill/>
            <a:ln w="9525">
              <a:solidFill>
                <a:srgbClr val="000000"/>
              </a:solidFill>
              <a:round/>
              <a:headEnd/>
              <a:tailEnd/>
            </a:ln>
          </xdr:spPr>
        </xdr:sp>
      </xdr:grpSp>
      <xdr:sp macro="" textlink="">
        <xdr:nvSpPr>
          <xdr:cNvPr id="5351" name="Line 3927"/>
          <xdr:cNvSpPr>
            <a:spLocks noChangeShapeType="1"/>
          </xdr:cNvSpPr>
        </xdr:nvSpPr>
        <xdr:spPr bwMode="auto">
          <a:xfrm flipH="1">
            <a:off x="487" y="240"/>
            <a:ext cx="13" cy="0"/>
          </a:xfrm>
          <a:prstGeom prst="line">
            <a:avLst/>
          </a:prstGeom>
          <a:noFill/>
          <a:ln w="9525">
            <a:solidFill>
              <a:srgbClr val="000000"/>
            </a:solidFill>
            <a:round/>
            <a:headEnd/>
            <a:tailEnd/>
          </a:ln>
        </xdr:spPr>
      </xdr:sp>
      <xdr:sp macro="" textlink="">
        <xdr:nvSpPr>
          <xdr:cNvPr id="5352" name="Line 3928"/>
          <xdr:cNvSpPr>
            <a:spLocks noChangeShapeType="1"/>
          </xdr:cNvSpPr>
        </xdr:nvSpPr>
        <xdr:spPr bwMode="auto">
          <a:xfrm flipH="1">
            <a:off x="460" y="240"/>
            <a:ext cx="13" cy="0"/>
          </a:xfrm>
          <a:prstGeom prst="line">
            <a:avLst/>
          </a:prstGeom>
          <a:noFill/>
          <a:ln w="9525">
            <a:solidFill>
              <a:srgbClr val="000000"/>
            </a:solidFill>
            <a:round/>
            <a:headEnd/>
            <a:tailEnd/>
          </a:ln>
        </xdr:spPr>
      </xdr:sp>
      <xdr:sp macro="" textlink="">
        <xdr:nvSpPr>
          <xdr:cNvPr id="5353" name="Line 3929"/>
          <xdr:cNvSpPr>
            <a:spLocks noChangeShapeType="1"/>
          </xdr:cNvSpPr>
        </xdr:nvSpPr>
        <xdr:spPr bwMode="auto">
          <a:xfrm flipV="1">
            <a:off x="480" y="220"/>
            <a:ext cx="0" cy="3"/>
          </a:xfrm>
          <a:prstGeom prst="line">
            <a:avLst/>
          </a:prstGeom>
          <a:noFill/>
          <a:ln w="9525">
            <a:solidFill>
              <a:srgbClr val="000000"/>
            </a:solidFill>
            <a:prstDash val="dash"/>
            <a:round/>
            <a:headEnd/>
            <a:tailEnd/>
          </a:ln>
        </xdr:spPr>
      </xdr:sp>
    </xdr:grpSp>
    <xdr:clientData/>
  </xdr:twoCellAnchor>
  <xdr:twoCellAnchor editAs="oneCell">
    <xdr:from>
      <xdr:col>28</xdr:col>
      <xdr:colOff>38100</xdr:colOff>
      <xdr:row>25</xdr:row>
      <xdr:rowOff>66675</xdr:rowOff>
    </xdr:from>
    <xdr:to>
      <xdr:col>33</xdr:col>
      <xdr:colOff>19050</xdr:colOff>
      <xdr:row>25</xdr:row>
      <xdr:rowOff>66675</xdr:rowOff>
    </xdr:to>
    <xdr:sp macro="" textlink="">
      <xdr:nvSpPr>
        <xdr:cNvPr id="5347" name="Line 644"/>
        <xdr:cNvSpPr>
          <a:spLocks noChangeShapeType="1"/>
        </xdr:cNvSpPr>
      </xdr:nvSpPr>
      <xdr:spPr bwMode="auto">
        <a:xfrm>
          <a:off x="4887191" y="4829175"/>
          <a:ext cx="846859" cy="0"/>
        </a:xfrm>
        <a:prstGeom prst="line">
          <a:avLst/>
        </a:prstGeom>
        <a:noFill/>
        <a:ln w="25400">
          <a:solidFill>
            <a:srgbClr val="000000"/>
          </a:solidFill>
          <a:round/>
          <a:headEnd/>
          <a:tailEnd/>
        </a:ln>
      </xdr:spPr>
    </xdr:sp>
    <xdr:clientData/>
  </xdr:twoCellAnchor>
  <xdr:twoCellAnchor editAs="oneCell">
    <xdr:from>
      <xdr:col>33</xdr:col>
      <xdr:colOff>19050</xdr:colOff>
      <xdr:row>25</xdr:row>
      <xdr:rowOff>66675</xdr:rowOff>
    </xdr:from>
    <xdr:to>
      <xdr:col>33</xdr:col>
      <xdr:colOff>19050</xdr:colOff>
      <xdr:row>27</xdr:row>
      <xdr:rowOff>0</xdr:rowOff>
    </xdr:to>
    <xdr:sp macro="" textlink="">
      <xdr:nvSpPr>
        <xdr:cNvPr id="5348" name="Line 645"/>
        <xdr:cNvSpPr>
          <a:spLocks noChangeShapeType="1"/>
        </xdr:cNvSpPr>
      </xdr:nvSpPr>
      <xdr:spPr bwMode="auto">
        <a:xfrm>
          <a:off x="5734050" y="4829175"/>
          <a:ext cx="0" cy="314325"/>
        </a:xfrm>
        <a:prstGeom prst="line">
          <a:avLst/>
        </a:prstGeom>
        <a:noFill/>
        <a:ln w="25400">
          <a:solidFill>
            <a:srgbClr val="000000"/>
          </a:solidFill>
          <a:round/>
          <a:headEnd/>
          <a:tailEnd type="arrow" w="med" len="med"/>
        </a:ln>
      </xdr:spPr>
    </xdr:sp>
    <xdr:clientData/>
  </xdr:twoCellAnchor>
  <xdr:twoCellAnchor editAs="oneCell">
    <xdr:from>
      <xdr:col>26</xdr:col>
      <xdr:colOff>142875</xdr:colOff>
      <xdr:row>25</xdr:row>
      <xdr:rowOff>133350</xdr:rowOff>
    </xdr:from>
    <xdr:to>
      <xdr:col>30</xdr:col>
      <xdr:colOff>28575</xdr:colOff>
      <xdr:row>26</xdr:row>
      <xdr:rowOff>114300</xdr:rowOff>
    </xdr:to>
    <xdr:sp macro="" textlink="">
      <xdr:nvSpPr>
        <xdr:cNvPr id="4325" name="TextBox 2318"/>
        <xdr:cNvSpPr txBox="1">
          <a:spLocks noChangeArrowheads="1"/>
        </xdr:cNvSpPr>
      </xdr:nvSpPr>
      <xdr:spPr bwMode="auto">
        <a:xfrm>
          <a:off x="4645602" y="4895850"/>
          <a:ext cx="578428" cy="171450"/>
        </a:xfrm>
        <a:prstGeom prst="rect">
          <a:avLst/>
        </a:prstGeom>
        <a:solidFill>
          <a:srgbClr val="FFFFFF">
            <a:alpha val="0"/>
          </a:srgbClr>
        </a:solidFill>
        <a:ln w="9525">
          <a:noFill/>
          <a:miter lim="800000"/>
          <a:headEnd/>
          <a:tailEnd/>
        </a:ln>
      </xdr:spPr>
      <xdr:txBody>
        <a:bodyPr vertOverflow="clip" wrap="square" lIns="27432" tIns="27432" rIns="0" bIns="0" anchor="t" upright="1"/>
        <a:lstStyle/>
        <a:p>
          <a:pPr algn="l" rtl="0">
            <a:defRPr sz="1000"/>
          </a:pPr>
          <a:r>
            <a:rPr lang="en-US" sz="800" b="0" i="0" u="none" strike="noStrike" baseline="0">
              <a:solidFill>
                <a:srgbClr val="000000"/>
              </a:solidFill>
              <a:latin typeface="Arial Narrow"/>
            </a:rPr>
            <a:t>FV-2126</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143224</xdr:colOff>
      <xdr:row>11</xdr:row>
      <xdr:rowOff>65431</xdr:rowOff>
    </xdr:from>
    <xdr:to>
      <xdr:col>13</xdr:col>
      <xdr:colOff>535781</xdr:colOff>
      <xdr:row>39</xdr:row>
      <xdr:rowOff>95250</xdr:rowOff>
    </xdr:to>
    <xdr:grpSp>
      <xdr:nvGrpSpPr>
        <xdr:cNvPr id="2" name="Group 1"/>
        <xdr:cNvGrpSpPr/>
      </xdr:nvGrpSpPr>
      <xdr:grpSpPr>
        <a:xfrm>
          <a:off x="18656360" y="2074340"/>
          <a:ext cx="1154557" cy="2263865"/>
          <a:chOff x="7113556" y="2885661"/>
          <a:chExt cx="496528" cy="1937361"/>
        </a:xfrm>
      </xdr:grpSpPr>
      <xdr:sp macro="" textlink="">
        <xdr:nvSpPr>
          <xdr:cNvPr id="3" name="Rounded Rectangle 2"/>
          <xdr:cNvSpPr/>
        </xdr:nvSpPr>
        <xdr:spPr>
          <a:xfrm>
            <a:off x="7115589" y="2885661"/>
            <a:ext cx="489438" cy="1937361"/>
          </a:xfrm>
          <a:prstGeom prst="roundRect">
            <a:avLst>
              <a:gd name="adj" fmla="val 45535"/>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xdr:cNvCxnSpPr/>
        </xdr:nvCxnSpPr>
        <xdr:spPr>
          <a:xfrm>
            <a:off x="7113556" y="3473575"/>
            <a:ext cx="496528"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xdr:cNvCxnSpPr/>
        </xdr:nvCxnSpPr>
        <xdr:spPr>
          <a:xfrm>
            <a:off x="7113556" y="4233277"/>
            <a:ext cx="496528"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5"/>
          <xdr:cNvCxnSpPr/>
        </xdr:nvCxnSpPr>
        <xdr:spPr>
          <a:xfrm>
            <a:off x="7113556" y="4046114"/>
            <a:ext cx="496528"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xdr:cNvCxnSpPr/>
        </xdr:nvCxnSpPr>
        <xdr:spPr>
          <a:xfrm>
            <a:off x="7113556" y="3662065"/>
            <a:ext cx="496528"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12</xdr:col>
      <xdr:colOff>297655</xdr:colOff>
      <xdr:row>58</xdr:row>
      <xdr:rowOff>159543</xdr:rowOff>
    </xdr:from>
    <xdr:to>
      <xdr:col>13</xdr:col>
      <xdr:colOff>407192</xdr:colOff>
      <xdr:row>102</xdr:row>
      <xdr:rowOff>71438</xdr:rowOff>
    </xdr:to>
    <xdr:grpSp>
      <xdr:nvGrpSpPr>
        <xdr:cNvPr id="8" name="Group 7"/>
        <xdr:cNvGrpSpPr/>
      </xdr:nvGrpSpPr>
      <xdr:grpSpPr>
        <a:xfrm>
          <a:off x="18810791" y="8212498"/>
          <a:ext cx="871537" cy="3358213"/>
          <a:chOff x="7077076" y="10926489"/>
          <a:chExt cx="633412" cy="2985964"/>
        </a:xfrm>
      </xdr:grpSpPr>
      <xdr:grpSp>
        <xdr:nvGrpSpPr>
          <xdr:cNvPr id="9" name="Group 8"/>
          <xdr:cNvGrpSpPr/>
        </xdr:nvGrpSpPr>
        <xdr:grpSpPr>
          <a:xfrm>
            <a:off x="7077326" y="10926489"/>
            <a:ext cx="631658" cy="2985964"/>
            <a:chOff x="7083449" y="11014766"/>
            <a:chExt cx="631658" cy="3003313"/>
          </a:xfrm>
          <a:solidFill>
            <a:sysClr val="window" lastClr="FFFFFF"/>
          </a:solidFill>
        </xdr:grpSpPr>
        <xdr:sp macro="" textlink="">
          <xdr:nvSpPr>
            <xdr:cNvPr id="16" name="Rounded Rectangle 15"/>
            <xdr:cNvSpPr/>
          </xdr:nvSpPr>
          <xdr:spPr>
            <a:xfrm>
              <a:off x="7083449" y="11932891"/>
              <a:ext cx="631658" cy="2085188"/>
            </a:xfrm>
            <a:prstGeom prst="roundRect">
              <a:avLst>
                <a:gd name="adj" fmla="val 41270"/>
              </a:avLst>
            </a:prstGeom>
            <a:grp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7" name="Rounded Rectangle 16"/>
            <xdr:cNvSpPr/>
          </xdr:nvSpPr>
          <xdr:spPr>
            <a:xfrm>
              <a:off x="7203765" y="11014766"/>
              <a:ext cx="391026" cy="1336652"/>
            </a:xfrm>
            <a:prstGeom prst="roundRect">
              <a:avLst>
                <a:gd name="adj" fmla="val 39055"/>
              </a:avLst>
            </a:prstGeom>
            <a:grp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8" name="Rectangle 17"/>
            <xdr:cNvSpPr/>
          </xdr:nvSpPr>
          <xdr:spPr>
            <a:xfrm>
              <a:off x="7185592" y="12004221"/>
              <a:ext cx="423863" cy="368754"/>
            </a:xfrm>
            <a:prstGeom prst="rect">
              <a:avLst/>
            </a:prstGeom>
            <a:grpFill/>
            <a:ln w="1270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19" name="Oval 18"/>
            <xdr:cNvSpPr/>
          </xdr:nvSpPr>
          <xdr:spPr>
            <a:xfrm>
              <a:off x="7173687" y="11970884"/>
              <a:ext cx="142875" cy="142875"/>
            </a:xfrm>
            <a:prstGeom prst="ellipse">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0" name="Oval 19"/>
            <xdr:cNvSpPr/>
          </xdr:nvSpPr>
          <xdr:spPr>
            <a:xfrm>
              <a:off x="7482881" y="11971617"/>
              <a:ext cx="142875" cy="140677"/>
            </a:xfrm>
            <a:prstGeom prst="ellipse">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1" name="Rectangle 20"/>
            <xdr:cNvSpPr/>
          </xdr:nvSpPr>
          <xdr:spPr>
            <a:xfrm>
              <a:off x="7216549" y="11910332"/>
              <a:ext cx="207169" cy="167708"/>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sp macro="" textlink="">
          <xdr:nvSpPr>
            <xdr:cNvPr id="22" name="Rectangle 21"/>
            <xdr:cNvSpPr/>
          </xdr:nvSpPr>
          <xdr:spPr>
            <a:xfrm>
              <a:off x="7376092" y="11907951"/>
              <a:ext cx="207169" cy="167708"/>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grpSp>
      <xdr:cxnSp macro="">
        <xdr:nvCxnSpPr>
          <xdr:cNvPr id="10" name="Straight Connector 9"/>
          <xdr:cNvCxnSpPr/>
        </xdr:nvCxnSpPr>
        <xdr:spPr>
          <a:xfrm>
            <a:off x="7194394" y="11382205"/>
            <a:ext cx="397032"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xdr:nvCxnSpPr>
        <xdr:spPr>
          <a:xfrm>
            <a:off x="7077076" y="12351373"/>
            <a:ext cx="631031"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xdr:nvCxnSpPr>
        <xdr:spPr>
          <a:xfrm>
            <a:off x="7081838" y="12610590"/>
            <a:ext cx="626269"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xdr:cNvCxnSpPr/>
        </xdr:nvCxnSpPr>
        <xdr:spPr>
          <a:xfrm>
            <a:off x="7079457" y="13124600"/>
            <a:ext cx="628650"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xdr:cNvCxnSpPr/>
        </xdr:nvCxnSpPr>
        <xdr:spPr>
          <a:xfrm>
            <a:off x="7079457" y="13395721"/>
            <a:ext cx="631031"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7194394" y="11614547"/>
            <a:ext cx="397032" cy="0"/>
          </a:xfrm>
          <a:prstGeom prst="line">
            <a:avLst/>
          </a:prstGeom>
          <a:ln w="127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103909</xdr:colOff>
      <xdr:row>0</xdr:row>
      <xdr:rowOff>161059</xdr:rowOff>
    </xdr:from>
    <xdr:to>
      <xdr:col>5</xdr:col>
      <xdr:colOff>164762</xdr:colOff>
      <xdr:row>0</xdr:row>
      <xdr:rowOff>162019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5454" y="294409"/>
          <a:ext cx="2381490" cy="4276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1190625</xdr:colOff>
      <xdr:row>41</xdr:row>
      <xdr:rowOff>119062</xdr:rowOff>
    </xdr:from>
    <xdr:to>
      <xdr:col>10</xdr:col>
      <xdr:colOff>261937</xdr:colOff>
      <xdr:row>87</xdr:row>
      <xdr:rowOff>104774</xdr:rowOff>
    </xdr:to>
    <xdr:graphicFrame macro="">
      <xdr:nvGraphicFramePr>
        <xdr:cNvPr id="61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1190625</xdr:colOff>
      <xdr:row>90</xdr:row>
      <xdr:rowOff>95250</xdr:rowOff>
    </xdr:from>
    <xdr:to>
      <xdr:col>10</xdr:col>
      <xdr:colOff>271462</xdr:colOff>
      <xdr:row>142</xdr:row>
      <xdr:rowOff>33338</xdr:rowOff>
    </xdr:to>
    <xdr:graphicFrame macro="">
      <xdr:nvGraphicFramePr>
        <xdr:cNvPr id="614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rtical%20Separator%201.201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PI2000%20Calculation_WORKING.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rownnr\Desktop\Excel%20VBA\Vertical%20Separator%201.201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v-Rec"/>
      <sheetName val="Analysis"/>
      <sheetName val="Sizing Sheet"/>
      <sheetName val="Sketch"/>
      <sheetName val="Head Types"/>
      <sheetName val="Distributor Types"/>
      <sheetName val="Standards"/>
      <sheetName val="Blank Sketch"/>
      <sheetName val="Program Revisions"/>
      <sheetName val="VKOPOT"/>
      <sheetName val="Module1"/>
      <sheetName val="Module2"/>
    </sheetNames>
    <sheetDataSet>
      <sheetData sheetId="0">
        <row r="3">
          <cell r="AA3" t="str">
            <v>kgf/cm2-g</v>
          </cell>
          <cell r="AC3" t="str">
            <v>kgf/cm2-a</v>
          </cell>
        </row>
        <row r="4">
          <cell r="AB4">
            <v>14.2233433</v>
          </cell>
          <cell r="AH4">
            <v>1</v>
          </cell>
          <cell r="AJ4">
            <v>0.12467532467532468</v>
          </cell>
          <cell r="AL4">
            <v>1</v>
          </cell>
          <cell r="AN4">
            <v>1</v>
          </cell>
          <cell r="AR4">
            <v>1</v>
          </cell>
          <cell r="AT4">
            <v>1</v>
          </cell>
          <cell r="AV4">
            <v>1</v>
          </cell>
          <cell r="AX4">
            <v>1</v>
          </cell>
          <cell r="BH4">
            <v>1</v>
          </cell>
          <cell r="BN4">
            <v>1</v>
          </cell>
          <cell r="BT4">
            <v>1</v>
          </cell>
          <cell r="CB4">
            <v>1</v>
          </cell>
        </row>
        <row r="8">
          <cell r="L8" t="str">
            <v>kgf/cm2</v>
          </cell>
        </row>
        <row r="9">
          <cell r="L9" t="str">
            <v>°F</v>
          </cell>
        </row>
        <row r="10">
          <cell r="L10" t="str">
            <v>lb/hr</v>
          </cell>
        </row>
        <row r="11">
          <cell r="L11" t="str">
            <v>ft3/hr</v>
          </cell>
        </row>
        <row r="12">
          <cell r="L12" t="str">
            <v>ft3/hr</v>
          </cell>
        </row>
        <row r="13">
          <cell r="L13" t="str">
            <v>in</v>
          </cell>
        </row>
        <row r="15">
          <cell r="L15" t="str">
            <v>ft</v>
          </cell>
        </row>
        <row r="16">
          <cell r="L16" t="str">
            <v>ft2</v>
          </cell>
        </row>
        <row r="17">
          <cell r="L17" t="str">
            <v>lb/ft3</v>
          </cell>
        </row>
        <row r="18">
          <cell r="L18" t="str">
            <v>cP</v>
          </cell>
        </row>
        <row r="22">
          <cell r="L22" t="str">
            <v>ft/sec</v>
          </cell>
        </row>
        <row r="25">
          <cell r="L25" t="str">
            <v>psi/100 ft</v>
          </cell>
        </row>
        <row r="27">
          <cell r="L27" t="str">
            <v>ft3</v>
          </cell>
        </row>
        <row r="29">
          <cell r="L29" t="str">
            <v>min</v>
          </cell>
        </row>
      </sheetData>
      <sheetData sheetId="1"/>
      <sheetData sheetId="2"/>
      <sheetData sheetId="3"/>
      <sheetData sheetId="4"/>
      <sheetData sheetId="5"/>
      <sheetData sheetId="6"/>
      <sheetData sheetId="7"/>
      <sheetData sheetId="8"/>
      <sheetData sheetId="9"/>
      <sheetData sheetId="10"/>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API 2000 Calculation"/>
      <sheetName val="TK Drain"/>
      <sheetName val="Calculation Basis"/>
      <sheetName val="References"/>
      <sheetName val="Program Revisions"/>
    </sheetNames>
    <sheetDataSet>
      <sheetData sheetId="0">
        <row r="8">
          <cell r="J8" t="str">
            <v>US</v>
          </cell>
        </row>
        <row r="30">
          <cell r="E30">
            <v>43.999999999999659</v>
          </cell>
          <cell r="F30">
            <v>39.999999999999559</v>
          </cell>
          <cell r="G30">
            <v>60821.23377349678</v>
          </cell>
          <cell r="H30">
            <v>1.9999999999999878</v>
          </cell>
          <cell r="I30">
            <v>37.999999999999844</v>
          </cell>
          <cell r="J30">
            <v>39.999999999999559</v>
          </cell>
          <cell r="K30">
            <v>30</v>
          </cell>
          <cell r="L30">
            <v>0</v>
          </cell>
          <cell r="M30">
            <v>1.5</v>
          </cell>
        </row>
        <row r="34">
          <cell r="D34">
            <v>86.1</v>
          </cell>
          <cell r="E34">
            <v>0</v>
          </cell>
          <cell r="F34">
            <v>0</v>
          </cell>
          <cell r="G34">
            <v>156.69999999999999</v>
          </cell>
          <cell r="H34">
            <v>0</v>
          </cell>
          <cell r="I34">
            <v>104</v>
          </cell>
          <cell r="J34">
            <v>0</v>
          </cell>
          <cell r="K34">
            <v>104</v>
          </cell>
          <cell r="L34">
            <v>0</v>
          </cell>
        </row>
        <row r="38">
          <cell r="I38">
            <v>0</v>
          </cell>
          <cell r="J38">
            <v>0</v>
          </cell>
          <cell r="K38">
            <v>279.99988875375016</v>
          </cell>
          <cell r="L38">
            <v>249.99990067299126</v>
          </cell>
        </row>
      </sheetData>
      <sheetData sheetId="1" refreshError="1"/>
      <sheetData sheetId="2" refreshError="1"/>
      <sheetData sheetId="3" refreshError="1"/>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v-Rec"/>
      <sheetName val="Analysis"/>
      <sheetName val="Sizing Sheet"/>
      <sheetName val="Sketch"/>
      <sheetName val="Head Types"/>
      <sheetName val="Distributor Types"/>
      <sheetName val="Standards"/>
      <sheetName val="Blank Sketch"/>
      <sheetName val="Program Revisions"/>
      <sheetName val="VKOPOT"/>
      <sheetName val="Module1"/>
      <sheetName val="Module2"/>
    </sheetNames>
    <sheetDataSet>
      <sheetData sheetId="0"/>
      <sheetData sheetId="1"/>
      <sheetData sheetId="2"/>
      <sheetData sheetId="3"/>
      <sheetData sheetId="4"/>
      <sheetData sheetId="5"/>
      <sheetData sheetId="6"/>
      <sheetData sheetId="7"/>
      <sheetData sheetId="8"/>
      <sheetData sheetId="9">
        <row r="1">
          <cell r="J1" t="str">
            <v>1.2014</v>
          </cell>
        </row>
      </sheetData>
      <sheetData sheetId="10"/>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B79"/>
  <sheetViews>
    <sheetView view="pageBreakPreview" zoomScale="60" zoomScaleNormal="70" workbookViewId="0">
      <selection activeCell="C3" sqref="C3"/>
    </sheetView>
  </sheetViews>
  <sheetFormatPr defaultRowHeight="12.75" x14ac:dyDescent="0.2"/>
  <cols>
    <col min="1" max="1" width="2.85546875" style="347" customWidth="1"/>
    <col min="2" max="2" width="3.5703125" style="347" bestFit="1" customWidth="1"/>
    <col min="3" max="3" width="4.7109375" style="347" customWidth="1"/>
    <col min="4" max="4" width="30.7109375" style="347" customWidth="1"/>
    <col min="5" max="5" width="16.7109375" style="347" customWidth="1"/>
    <col min="6" max="12" width="11.7109375" style="347" customWidth="1"/>
    <col min="13" max="13" width="3.28515625" style="388" customWidth="1"/>
    <col min="14" max="26" width="9.140625" style="347"/>
    <col min="27" max="27" width="13.85546875" style="347" hidden="1" customWidth="1"/>
    <col min="28" max="28" width="9.7109375" style="347" hidden="1" customWidth="1"/>
    <col min="29" max="29" width="9" style="347" hidden="1" customWidth="1"/>
    <col min="30" max="32" width="8" style="347" hidden="1" customWidth="1"/>
    <col min="33" max="33" width="11.5703125" style="347" hidden="1" customWidth="1"/>
    <col min="34" max="36" width="8" style="347" hidden="1" customWidth="1"/>
    <col min="37" max="37" width="9" style="347" hidden="1" customWidth="1"/>
    <col min="38" max="38" width="8" style="347" hidden="1" customWidth="1"/>
    <col min="39" max="39" width="9.42578125" style="347" hidden="1" customWidth="1"/>
    <col min="40" max="40" width="8" style="347" hidden="1" customWidth="1"/>
    <col min="41" max="41" width="10.5703125" style="347" hidden="1" customWidth="1"/>
    <col min="42" max="46" width="8" style="347" hidden="1" customWidth="1"/>
    <col min="47" max="47" width="10" style="347" hidden="1" customWidth="1"/>
    <col min="48" max="52" width="8" style="347" hidden="1" customWidth="1"/>
    <col min="53" max="53" width="10.7109375" style="347" hidden="1" customWidth="1"/>
    <col min="54" max="54" width="8" style="347" hidden="1" customWidth="1"/>
    <col min="55" max="55" width="11.28515625" style="347" hidden="1" customWidth="1"/>
    <col min="56" max="56" width="8" style="347" hidden="1" customWidth="1"/>
    <col min="57" max="57" width="10" style="347" hidden="1" customWidth="1"/>
    <col min="58" max="62" width="8" style="347" hidden="1" customWidth="1"/>
    <col min="63" max="63" width="10.85546875" style="347" hidden="1" customWidth="1"/>
    <col min="64" max="64" width="8" style="347" hidden="1" customWidth="1"/>
    <col min="65" max="65" width="11.42578125" style="347" hidden="1" customWidth="1"/>
    <col min="66" max="72" width="8" style="347" hidden="1" customWidth="1"/>
    <col min="73" max="73" width="8.42578125" style="347" hidden="1" customWidth="1"/>
    <col min="74" max="76" width="8" style="347" hidden="1" customWidth="1"/>
    <col min="77" max="77" width="10" style="347" hidden="1" customWidth="1"/>
    <col min="78" max="78" width="8" style="347" hidden="1" customWidth="1"/>
    <col min="79" max="79" width="10.28515625" style="347" hidden="1" customWidth="1"/>
    <col min="80" max="80" width="0" style="347" hidden="1" customWidth="1"/>
    <col min="81" max="256" width="9.140625" style="347"/>
    <col min="257" max="257" width="2.85546875" style="347" customWidth="1"/>
    <col min="258" max="258" width="3.5703125" style="347" bestFit="1" customWidth="1"/>
    <col min="259" max="259" width="4.7109375" style="347" customWidth="1"/>
    <col min="260" max="260" width="30.7109375" style="347" customWidth="1"/>
    <col min="261" max="261" width="16.7109375" style="347" customWidth="1"/>
    <col min="262" max="268" width="11.7109375" style="347" customWidth="1"/>
    <col min="269" max="269" width="3.28515625" style="347" customWidth="1"/>
    <col min="270" max="282" width="9.140625" style="347"/>
    <col min="283" max="336" width="0" style="347" hidden="1" customWidth="1"/>
    <col min="337" max="512" width="9.140625" style="347"/>
    <col min="513" max="513" width="2.85546875" style="347" customWidth="1"/>
    <col min="514" max="514" width="3.5703125" style="347" bestFit="1" customWidth="1"/>
    <col min="515" max="515" width="4.7109375" style="347" customWidth="1"/>
    <col min="516" max="516" width="30.7109375" style="347" customWidth="1"/>
    <col min="517" max="517" width="16.7109375" style="347" customWidth="1"/>
    <col min="518" max="524" width="11.7109375" style="347" customWidth="1"/>
    <col min="525" max="525" width="3.28515625" style="347" customWidth="1"/>
    <col min="526" max="538" width="9.140625" style="347"/>
    <col min="539" max="592" width="0" style="347" hidden="1" customWidth="1"/>
    <col min="593" max="768" width="9.140625" style="347"/>
    <col min="769" max="769" width="2.85546875" style="347" customWidth="1"/>
    <col min="770" max="770" width="3.5703125" style="347" bestFit="1" customWidth="1"/>
    <col min="771" max="771" width="4.7109375" style="347" customWidth="1"/>
    <col min="772" max="772" width="30.7109375" style="347" customWidth="1"/>
    <col min="773" max="773" width="16.7109375" style="347" customWidth="1"/>
    <col min="774" max="780" width="11.7109375" style="347" customWidth="1"/>
    <col min="781" max="781" width="3.28515625" style="347" customWidth="1"/>
    <col min="782" max="794" width="9.140625" style="347"/>
    <col min="795" max="848" width="0" style="347" hidden="1" customWidth="1"/>
    <col min="849" max="1024" width="9.140625" style="347"/>
    <col min="1025" max="1025" width="2.85546875" style="347" customWidth="1"/>
    <col min="1026" max="1026" width="3.5703125" style="347" bestFit="1" customWidth="1"/>
    <col min="1027" max="1027" width="4.7109375" style="347" customWidth="1"/>
    <col min="1028" max="1028" width="30.7109375" style="347" customWidth="1"/>
    <col min="1029" max="1029" width="16.7109375" style="347" customWidth="1"/>
    <col min="1030" max="1036" width="11.7109375" style="347" customWidth="1"/>
    <col min="1037" max="1037" width="3.28515625" style="347" customWidth="1"/>
    <col min="1038" max="1050" width="9.140625" style="347"/>
    <col min="1051" max="1104" width="0" style="347" hidden="1" customWidth="1"/>
    <col min="1105" max="1280" width="9.140625" style="347"/>
    <col min="1281" max="1281" width="2.85546875" style="347" customWidth="1"/>
    <col min="1282" max="1282" width="3.5703125" style="347" bestFit="1" customWidth="1"/>
    <col min="1283" max="1283" width="4.7109375" style="347" customWidth="1"/>
    <col min="1284" max="1284" width="30.7109375" style="347" customWidth="1"/>
    <col min="1285" max="1285" width="16.7109375" style="347" customWidth="1"/>
    <col min="1286" max="1292" width="11.7109375" style="347" customWidth="1"/>
    <col min="1293" max="1293" width="3.28515625" style="347" customWidth="1"/>
    <col min="1294" max="1306" width="9.140625" style="347"/>
    <col min="1307" max="1360" width="0" style="347" hidden="1" customWidth="1"/>
    <col min="1361" max="1536" width="9.140625" style="347"/>
    <col min="1537" max="1537" width="2.85546875" style="347" customWidth="1"/>
    <col min="1538" max="1538" width="3.5703125" style="347" bestFit="1" customWidth="1"/>
    <col min="1539" max="1539" width="4.7109375" style="347" customWidth="1"/>
    <col min="1540" max="1540" width="30.7109375" style="347" customWidth="1"/>
    <col min="1541" max="1541" width="16.7109375" style="347" customWidth="1"/>
    <col min="1542" max="1548" width="11.7109375" style="347" customWidth="1"/>
    <col min="1549" max="1549" width="3.28515625" style="347" customWidth="1"/>
    <col min="1550" max="1562" width="9.140625" style="347"/>
    <col min="1563" max="1616" width="0" style="347" hidden="1" customWidth="1"/>
    <col min="1617" max="1792" width="9.140625" style="347"/>
    <col min="1793" max="1793" width="2.85546875" style="347" customWidth="1"/>
    <col min="1794" max="1794" width="3.5703125" style="347" bestFit="1" customWidth="1"/>
    <col min="1795" max="1795" width="4.7109375" style="347" customWidth="1"/>
    <col min="1796" max="1796" width="30.7109375" style="347" customWidth="1"/>
    <col min="1797" max="1797" width="16.7109375" style="347" customWidth="1"/>
    <col min="1798" max="1804" width="11.7109375" style="347" customWidth="1"/>
    <col min="1805" max="1805" width="3.28515625" style="347" customWidth="1"/>
    <col min="1806" max="1818" width="9.140625" style="347"/>
    <col min="1819" max="1872" width="0" style="347" hidden="1" customWidth="1"/>
    <col min="1873" max="2048" width="9.140625" style="347"/>
    <col min="2049" max="2049" width="2.85546875" style="347" customWidth="1"/>
    <col min="2050" max="2050" width="3.5703125" style="347" bestFit="1" customWidth="1"/>
    <col min="2051" max="2051" width="4.7109375" style="347" customWidth="1"/>
    <col min="2052" max="2052" width="30.7109375" style="347" customWidth="1"/>
    <col min="2053" max="2053" width="16.7109375" style="347" customWidth="1"/>
    <col min="2054" max="2060" width="11.7109375" style="347" customWidth="1"/>
    <col min="2061" max="2061" width="3.28515625" style="347" customWidth="1"/>
    <col min="2062" max="2074" width="9.140625" style="347"/>
    <col min="2075" max="2128" width="0" style="347" hidden="1" customWidth="1"/>
    <col min="2129" max="2304" width="9.140625" style="347"/>
    <col min="2305" max="2305" width="2.85546875" style="347" customWidth="1"/>
    <col min="2306" max="2306" width="3.5703125" style="347" bestFit="1" customWidth="1"/>
    <col min="2307" max="2307" width="4.7109375" style="347" customWidth="1"/>
    <col min="2308" max="2308" width="30.7109375" style="347" customWidth="1"/>
    <col min="2309" max="2309" width="16.7109375" style="347" customWidth="1"/>
    <col min="2310" max="2316" width="11.7109375" style="347" customWidth="1"/>
    <col min="2317" max="2317" width="3.28515625" style="347" customWidth="1"/>
    <col min="2318" max="2330" width="9.140625" style="347"/>
    <col min="2331" max="2384" width="0" style="347" hidden="1" customWidth="1"/>
    <col min="2385" max="2560" width="9.140625" style="347"/>
    <col min="2561" max="2561" width="2.85546875" style="347" customWidth="1"/>
    <col min="2562" max="2562" width="3.5703125" style="347" bestFit="1" customWidth="1"/>
    <col min="2563" max="2563" width="4.7109375" style="347" customWidth="1"/>
    <col min="2564" max="2564" width="30.7109375" style="347" customWidth="1"/>
    <col min="2565" max="2565" width="16.7109375" style="347" customWidth="1"/>
    <col min="2566" max="2572" width="11.7109375" style="347" customWidth="1"/>
    <col min="2573" max="2573" width="3.28515625" style="347" customWidth="1"/>
    <col min="2574" max="2586" width="9.140625" style="347"/>
    <col min="2587" max="2640" width="0" style="347" hidden="1" customWidth="1"/>
    <col min="2641" max="2816" width="9.140625" style="347"/>
    <col min="2817" max="2817" width="2.85546875" style="347" customWidth="1"/>
    <col min="2818" max="2818" width="3.5703125" style="347" bestFit="1" customWidth="1"/>
    <col min="2819" max="2819" width="4.7109375" style="347" customWidth="1"/>
    <col min="2820" max="2820" width="30.7109375" style="347" customWidth="1"/>
    <col min="2821" max="2821" width="16.7109375" style="347" customWidth="1"/>
    <col min="2822" max="2828" width="11.7109375" style="347" customWidth="1"/>
    <col min="2829" max="2829" width="3.28515625" style="347" customWidth="1"/>
    <col min="2830" max="2842" width="9.140625" style="347"/>
    <col min="2843" max="2896" width="0" style="347" hidden="1" customWidth="1"/>
    <col min="2897" max="3072" width="9.140625" style="347"/>
    <col min="3073" max="3073" width="2.85546875" style="347" customWidth="1"/>
    <col min="3074" max="3074" width="3.5703125" style="347" bestFit="1" customWidth="1"/>
    <col min="3075" max="3075" width="4.7109375" style="347" customWidth="1"/>
    <col min="3076" max="3076" width="30.7109375" style="347" customWidth="1"/>
    <col min="3077" max="3077" width="16.7109375" style="347" customWidth="1"/>
    <col min="3078" max="3084" width="11.7109375" style="347" customWidth="1"/>
    <col min="3085" max="3085" width="3.28515625" style="347" customWidth="1"/>
    <col min="3086" max="3098" width="9.140625" style="347"/>
    <col min="3099" max="3152" width="0" style="347" hidden="1" customWidth="1"/>
    <col min="3153" max="3328" width="9.140625" style="347"/>
    <col min="3329" max="3329" width="2.85546875" style="347" customWidth="1"/>
    <col min="3330" max="3330" width="3.5703125" style="347" bestFit="1" customWidth="1"/>
    <col min="3331" max="3331" width="4.7109375" style="347" customWidth="1"/>
    <col min="3332" max="3332" width="30.7109375" style="347" customWidth="1"/>
    <col min="3333" max="3333" width="16.7109375" style="347" customWidth="1"/>
    <col min="3334" max="3340" width="11.7109375" style="347" customWidth="1"/>
    <col min="3341" max="3341" width="3.28515625" style="347" customWidth="1"/>
    <col min="3342" max="3354" width="9.140625" style="347"/>
    <col min="3355" max="3408" width="0" style="347" hidden="1" customWidth="1"/>
    <col min="3409" max="3584" width="9.140625" style="347"/>
    <col min="3585" max="3585" width="2.85546875" style="347" customWidth="1"/>
    <col min="3586" max="3586" width="3.5703125" style="347" bestFit="1" customWidth="1"/>
    <col min="3587" max="3587" width="4.7109375" style="347" customWidth="1"/>
    <col min="3588" max="3588" width="30.7109375" style="347" customWidth="1"/>
    <col min="3589" max="3589" width="16.7109375" style="347" customWidth="1"/>
    <col min="3590" max="3596" width="11.7109375" style="347" customWidth="1"/>
    <col min="3597" max="3597" width="3.28515625" style="347" customWidth="1"/>
    <col min="3598" max="3610" width="9.140625" style="347"/>
    <col min="3611" max="3664" width="0" style="347" hidden="1" customWidth="1"/>
    <col min="3665" max="3840" width="9.140625" style="347"/>
    <col min="3841" max="3841" width="2.85546875" style="347" customWidth="1"/>
    <col min="3842" max="3842" width="3.5703125" style="347" bestFit="1" customWidth="1"/>
    <col min="3843" max="3843" width="4.7109375" style="347" customWidth="1"/>
    <col min="3844" max="3844" width="30.7109375" style="347" customWidth="1"/>
    <col min="3845" max="3845" width="16.7109375" style="347" customWidth="1"/>
    <col min="3846" max="3852" width="11.7109375" style="347" customWidth="1"/>
    <col min="3853" max="3853" width="3.28515625" style="347" customWidth="1"/>
    <col min="3854" max="3866" width="9.140625" style="347"/>
    <col min="3867" max="3920" width="0" style="347" hidden="1" customWidth="1"/>
    <col min="3921" max="4096" width="9.140625" style="347"/>
    <col min="4097" max="4097" width="2.85546875" style="347" customWidth="1"/>
    <col min="4098" max="4098" width="3.5703125" style="347" bestFit="1" customWidth="1"/>
    <col min="4099" max="4099" width="4.7109375" style="347" customWidth="1"/>
    <col min="4100" max="4100" width="30.7109375" style="347" customWidth="1"/>
    <col min="4101" max="4101" width="16.7109375" style="347" customWidth="1"/>
    <col min="4102" max="4108" width="11.7109375" style="347" customWidth="1"/>
    <col min="4109" max="4109" width="3.28515625" style="347" customWidth="1"/>
    <col min="4110" max="4122" width="9.140625" style="347"/>
    <col min="4123" max="4176" width="0" style="347" hidden="1" customWidth="1"/>
    <col min="4177" max="4352" width="9.140625" style="347"/>
    <col min="4353" max="4353" width="2.85546875" style="347" customWidth="1"/>
    <col min="4354" max="4354" width="3.5703125" style="347" bestFit="1" customWidth="1"/>
    <col min="4355" max="4355" width="4.7109375" style="347" customWidth="1"/>
    <col min="4356" max="4356" width="30.7109375" style="347" customWidth="1"/>
    <col min="4357" max="4357" width="16.7109375" style="347" customWidth="1"/>
    <col min="4358" max="4364" width="11.7109375" style="347" customWidth="1"/>
    <col min="4365" max="4365" width="3.28515625" style="347" customWidth="1"/>
    <col min="4366" max="4378" width="9.140625" style="347"/>
    <col min="4379" max="4432" width="0" style="347" hidden="1" customWidth="1"/>
    <col min="4433" max="4608" width="9.140625" style="347"/>
    <col min="4609" max="4609" width="2.85546875" style="347" customWidth="1"/>
    <col min="4610" max="4610" width="3.5703125" style="347" bestFit="1" customWidth="1"/>
    <col min="4611" max="4611" width="4.7109375" style="347" customWidth="1"/>
    <col min="4612" max="4612" width="30.7109375" style="347" customWidth="1"/>
    <col min="4613" max="4613" width="16.7109375" style="347" customWidth="1"/>
    <col min="4614" max="4620" width="11.7109375" style="347" customWidth="1"/>
    <col min="4621" max="4621" width="3.28515625" style="347" customWidth="1"/>
    <col min="4622" max="4634" width="9.140625" style="347"/>
    <col min="4635" max="4688" width="0" style="347" hidden="1" customWidth="1"/>
    <col min="4689" max="4864" width="9.140625" style="347"/>
    <col min="4865" max="4865" width="2.85546875" style="347" customWidth="1"/>
    <col min="4866" max="4866" width="3.5703125" style="347" bestFit="1" customWidth="1"/>
    <col min="4867" max="4867" width="4.7109375" style="347" customWidth="1"/>
    <col min="4868" max="4868" width="30.7109375" style="347" customWidth="1"/>
    <col min="4869" max="4869" width="16.7109375" style="347" customWidth="1"/>
    <col min="4870" max="4876" width="11.7109375" style="347" customWidth="1"/>
    <col min="4877" max="4877" width="3.28515625" style="347" customWidth="1"/>
    <col min="4878" max="4890" width="9.140625" style="347"/>
    <col min="4891" max="4944" width="0" style="347" hidden="1" customWidth="1"/>
    <col min="4945" max="5120" width="9.140625" style="347"/>
    <col min="5121" max="5121" width="2.85546875" style="347" customWidth="1"/>
    <col min="5122" max="5122" width="3.5703125" style="347" bestFit="1" customWidth="1"/>
    <col min="5123" max="5123" width="4.7109375" style="347" customWidth="1"/>
    <col min="5124" max="5124" width="30.7109375" style="347" customWidth="1"/>
    <col min="5125" max="5125" width="16.7109375" style="347" customWidth="1"/>
    <col min="5126" max="5132" width="11.7109375" style="347" customWidth="1"/>
    <col min="5133" max="5133" width="3.28515625" style="347" customWidth="1"/>
    <col min="5134" max="5146" width="9.140625" style="347"/>
    <col min="5147" max="5200" width="0" style="347" hidden="1" customWidth="1"/>
    <col min="5201" max="5376" width="9.140625" style="347"/>
    <col min="5377" max="5377" width="2.85546875" style="347" customWidth="1"/>
    <col min="5378" max="5378" width="3.5703125" style="347" bestFit="1" customWidth="1"/>
    <col min="5379" max="5379" width="4.7109375" style="347" customWidth="1"/>
    <col min="5380" max="5380" width="30.7109375" style="347" customWidth="1"/>
    <col min="5381" max="5381" width="16.7109375" style="347" customWidth="1"/>
    <col min="5382" max="5388" width="11.7109375" style="347" customWidth="1"/>
    <col min="5389" max="5389" width="3.28515625" style="347" customWidth="1"/>
    <col min="5390" max="5402" width="9.140625" style="347"/>
    <col min="5403" max="5456" width="0" style="347" hidden="1" customWidth="1"/>
    <col min="5457" max="5632" width="9.140625" style="347"/>
    <col min="5633" max="5633" width="2.85546875" style="347" customWidth="1"/>
    <col min="5634" max="5634" width="3.5703125" style="347" bestFit="1" customWidth="1"/>
    <col min="5635" max="5635" width="4.7109375" style="347" customWidth="1"/>
    <col min="5636" max="5636" width="30.7109375" style="347" customWidth="1"/>
    <col min="5637" max="5637" width="16.7109375" style="347" customWidth="1"/>
    <col min="5638" max="5644" width="11.7109375" style="347" customWidth="1"/>
    <col min="5645" max="5645" width="3.28515625" style="347" customWidth="1"/>
    <col min="5646" max="5658" width="9.140625" style="347"/>
    <col min="5659" max="5712" width="0" style="347" hidden="1" customWidth="1"/>
    <col min="5713" max="5888" width="9.140625" style="347"/>
    <col min="5889" max="5889" width="2.85546875" style="347" customWidth="1"/>
    <col min="5890" max="5890" width="3.5703125" style="347" bestFit="1" customWidth="1"/>
    <col min="5891" max="5891" width="4.7109375" style="347" customWidth="1"/>
    <col min="5892" max="5892" width="30.7109375" style="347" customWidth="1"/>
    <col min="5893" max="5893" width="16.7109375" style="347" customWidth="1"/>
    <col min="5894" max="5900" width="11.7109375" style="347" customWidth="1"/>
    <col min="5901" max="5901" width="3.28515625" style="347" customWidth="1"/>
    <col min="5902" max="5914" width="9.140625" style="347"/>
    <col min="5915" max="5968" width="0" style="347" hidden="1" customWidth="1"/>
    <col min="5969" max="6144" width="9.140625" style="347"/>
    <col min="6145" max="6145" width="2.85546875" style="347" customWidth="1"/>
    <col min="6146" max="6146" width="3.5703125" style="347" bestFit="1" customWidth="1"/>
    <col min="6147" max="6147" width="4.7109375" style="347" customWidth="1"/>
    <col min="6148" max="6148" width="30.7109375" style="347" customWidth="1"/>
    <col min="6149" max="6149" width="16.7109375" style="347" customWidth="1"/>
    <col min="6150" max="6156" width="11.7109375" style="347" customWidth="1"/>
    <col min="6157" max="6157" width="3.28515625" style="347" customWidth="1"/>
    <col min="6158" max="6170" width="9.140625" style="347"/>
    <col min="6171" max="6224" width="0" style="347" hidden="1" customWidth="1"/>
    <col min="6225" max="6400" width="9.140625" style="347"/>
    <col min="6401" max="6401" width="2.85546875" style="347" customWidth="1"/>
    <col min="6402" max="6402" width="3.5703125" style="347" bestFit="1" customWidth="1"/>
    <col min="6403" max="6403" width="4.7109375" style="347" customWidth="1"/>
    <col min="6404" max="6404" width="30.7109375" style="347" customWidth="1"/>
    <col min="6405" max="6405" width="16.7109375" style="347" customWidth="1"/>
    <col min="6406" max="6412" width="11.7109375" style="347" customWidth="1"/>
    <col min="6413" max="6413" width="3.28515625" style="347" customWidth="1"/>
    <col min="6414" max="6426" width="9.140625" style="347"/>
    <col min="6427" max="6480" width="0" style="347" hidden="1" customWidth="1"/>
    <col min="6481" max="6656" width="9.140625" style="347"/>
    <col min="6657" max="6657" width="2.85546875" style="347" customWidth="1"/>
    <col min="6658" max="6658" width="3.5703125" style="347" bestFit="1" customWidth="1"/>
    <col min="6659" max="6659" width="4.7109375" style="347" customWidth="1"/>
    <col min="6660" max="6660" width="30.7109375" style="347" customWidth="1"/>
    <col min="6661" max="6661" width="16.7109375" style="347" customWidth="1"/>
    <col min="6662" max="6668" width="11.7109375" style="347" customWidth="1"/>
    <col min="6669" max="6669" width="3.28515625" style="347" customWidth="1"/>
    <col min="6670" max="6682" width="9.140625" style="347"/>
    <col min="6683" max="6736" width="0" style="347" hidden="1" customWidth="1"/>
    <col min="6737" max="6912" width="9.140625" style="347"/>
    <col min="6913" max="6913" width="2.85546875" style="347" customWidth="1"/>
    <col min="6914" max="6914" width="3.5703125" style="347" bestFit="1" customWidth="1"/>
    <col min="6915" max="6915" width="4.7109375" style="347" customWidth="1"/>
    <col min="6916" max="6916" width="30.7109375" style="347" customWidth="1"/>
    <col min="6917" max="6917" width="16.7109375" style="347" customWidth="1"/>
    <col min="6918" max="6924" width="11.7109375" style="347" customWidth="1"/>
    <col min="6925" max="6925" width="3.28515625" style="347" customWidth="1"/>
    <col min="6926" max="6938" width="9.140625" style="347"/>
    <col min="6939" max="6992" width="0" style="347" hidden="1" customWidth="1"/>
    <col min="6993" max="7168" width="9.140625" style="347"/>
    <col min="7169" max="7169" width="2.85546875" style="347" customWidth="1"/>
    <col min="7170" max="7170" width="3.5703125" style="347" bestFit="1" customWidth="1"/>
    <col min="7171" max="7171" width="4.7109375" style="347" customWidth="1"/>
    <col min="7172" max="7172" width="30.7109375" style="347" customWidth="1"/>
    <col min="7173" max="7173" width="16.7109375" style="347" customWidth="1"/>
    <col min="7174" max="7180" width="11.7109375" style="347" customWidth="1"/>
    <col min="7181" max="7181" width="3.28515625" style="347" customWidth="1"/>
    <col min="7182" max="7194" width="9.140625" style="347"/>
    <col min="7195" max="7248" width="0" style="347" hidden="1" customWidth="1"/>
    <col min="7249" max="7424" width="9.140625" style="347"/>
    <col min="7425" max="7425" width="2.85546875" style="347" customWidth="1"/>
    <col min="7426" max="7426" width="3.5703125" style="347" bestFit="1" customWidth="1"/>
    <col min="7427" max="7427" width="4.7109375" style="347" customWidth="1"/>
    <col min="7428" max="7428" width="30.7109375" style="347" customWidth="1"/>
    <col min="7429" max="7429" width="16.7109375" style="347" customWidth="1"/>
    <col min="7430" max="7436" width="11.7109375" style="347" customWidth="1"/>
    <col min="7437" max="7437" width="3.28515625" style="347" customWidth="1"/>
    <col min="7438" max="7450" width="9.140625" style="347"/>
    <col min="7451" max="7504" width="0" style="347" hidden="1" customWidth="1"/>
    <col min="7505" max="7680" width="9.140625" style="347"/>
    <col min="7681" max="7681" width="2.85546875" style="347" customWidth="1"/>
    <col min="7682" max="7682" width="3.5703125" style="347" bestFit="1" customWidth="1"/>
    <col min="7683" max="7683" width="4.7109375" style="347" customWidth="1"/>
    <col min="7684" max="7684" width="30.7109375" style="347" customWidth="1"/>
    <col min="7685" max="7685" width="16.7109375" style="347" customWidth="1"/>
    <col min="7686" max="7692" width="11.7109375" style="347" customWidth="1"/>
    <col min="7693" max="7693" width="3.28515625" style="347" customWidth="1"/>
    <col min="7694" max="7706" width="9.140625" style="347"/>
    <col min="7707" max="7760" width="0" style="347" hidden="1" customWidth="1"/>
    <col min="7761" max="7936" width="9.140625" style="347"/>
    <col min="7937" max="7937" width="2.85546875" style="347" customWidth="1"/>
    <col min="7938" max="7938" width="3.5703125" style="347" bestFit="1" customWidth="1"/>
    <col min="7939" max="7939" width="4.7109375" style="347" customWidth="1"/>
    <col min="7940" max="7940" width="30.7109375" style="347" customWidth="1"/>
    <col min="7941" max="7941" width="16.7109375" style="347" customWidth="1"/>
    <col min="7942" max="7948" width="11.7109375" style="347" customWidth="1"/>
    <col min="7949" max="7949" width="3.28515625" style="347" customWidth="1"/>
    <col min="7950" max="7962" width="9.140625" style="347"/>
    <col min="7963" max="8016" width="0" style="347" hidden="1" customWidth="1"/>
    <col min="8017" max="8192" width="9.140625" style="347"/>
    <col min="8193" max="8193" width="2.85546875" style="347" customWidth="1"/>
    <col min="8194" max="8194" width="3.5703125" style="347" bestFit="1" customWidth="1"/>
    <col min="8195" max="8195" width="4.7109375" style="347" customWidth="1"/>
    <col min="8196" max="8196" width="30.7109375" style="347" customWidth="1"/>
    <col min="8197" max="8197" width="16.7109375" style="347" customWidth="1"/>
    <col min="8198" max="8204" width="11.7109375" style="347" customWidth="1"/>
    <col min="8205" max="8205" width="3.28515625" style="347" customWidth="1"/>
    <col min="8206" max="8218" width="9.140625" style="347"/>
    <col min="8219" max="8272" width="0" style="347" hidden="1" customWidth="1"/>
    <col min="8273" max="8448" width="9.140625" style="347"/>
    <col min="8449" max="8449" width="2.85546875" style="347" customWidth="1"/>
    <col min="8450" max="8450" width="3.5703125" style="347" bestFit="1" customWidth="1"/>
    <col min="8451" max="8451" width="4.7109375" style="347" customWidth="1"/>
    <col min="8452" max="8452" width="30.7109375" style="347" customWidth="1"/>
    <col min="8453" max="8453" width="16.7109375" style="347" customWidth="1"/>
    <col min="8454" max="8460" width="11.7109375" style="347" customWidth="1"/>
    <col min="8461" max="8461" width="3.28515625" style="347" customWidth="1"/>
    <col min="8462" max="8474" width="9.140625" style="347"/>
    <col min="8475" max="8528" width="0" style="347" hidden="1" customWidth="1"/>
    <col min="8529" max="8704" width="9.140625" style="347"/>
    <col min="8705" max="8705" width="2.85546875" style="347" customWidth="1"/>
    <col min="8706" max="8706" width="3.5703125" style="347" bestFit="1" customWidth="1"/>
    <col min="8707" max="8707" width="4.7109375" style="347" customWidth="1"/>
    <col min="8708" max="8708" width="30.7109375" style="347" customWidth="1"/>
    <col min="8709" max="8709" width="16.7109375" style="347" customWidth="1"/>
    <col min="8710" max="8716" width="11.7109375" style="347" customWidth="1"/>
    <col min="8717" max="8717" width="3.28515625" style="347" customWidth="1"/>
    <col min="8718" max="8730" width="9.140625" style="347"/>
    <col min="8731" max="8784" width="0" style="347" hidden="1" customWidth="1"/>
    <col min="8785" max="8960" width="9.140625" style="347"/>
    <col min="8961" max="8961" width="2.85546875" style="347" customWidth="1"/>
    <col min="8962" max="8962" width="3.5703125" style="347" bestFit="1" customWidth="1"/>
    <col min="8963" max="8963" width="4.7109375" style="347" customWidth="1"/>
    <col min="8964" max="8964" width="30.7109375" style="347" customWidth="1"/>
    <col min="8965" max="8965" width="16.7109375" style="347" customWidth="1"/>
    <col min="8966" max="8972" width="11.7109375" style="347" customWidth="1"/>
    <col min="8973" max="8973" width="3.28515625" style="347" customWidth="1"/>
    <col min="8974" max="8986" width="9.140625" style="347"/>
    <col min="8987" max="9040" width="0" style="347" hidden="1" customWidth="1"/>
    <col min="9041" max="9216" width="9.140625" style="347"/>
    <col min="9217" max="9217" width="2.85546875" style="347" customWidth="1"/>
    <col min="9218" max="9218" width="3.5703125" style="347" bestFit="1" customWidth="1"/>
    <col min="9219" max="9219" width="4.7109375" style="347" customWidth="1"/>
    <col min="9220" max="9220" width="30.7109375" style="347" customWidth="1"/>
    <col min="9221" max="9221" width="16.7109375" style="347" customWidth="1"/>
    <col min="9222" max="9228" width="11.7109375" style="347" customWidth="1"/>
    <col min="9229" max="9229" width="3.28515625" style="347" customWidth="1"/>
    <col min="9230" max="9242" width="9.140625" style="347"/>
    <col min="9243" max="9296" width="0" style="347" hidden="1" customWidth="1"/>
    <col min="9297" max="9472" width="9.140625" style="347"/>
    <col min="9473" max="9473" width="2.85546875" style="347" customWidth="1"/>
    <col min="9474" max="9474" width="3.5703125" style="347" bestFit="1" customWidth="1"/>
    <col min="9475" max="9475" width="4.7109375" style="347" customWidth="1"/>
    <col min="9476" max="9476" width="30.7109375" style="347" customWidth="1"/>
    <col min="9477" max="9477" width="16.7109375" style="347" customWidth="1"/>
    <col min="9478" max="9484" width="11.7109375" style="347" customWidth="1"/>
    <col min="9485" max="9485" width="3.28515625" style="347" customWidth="1"/>
    <col min="9486" max="9498" width="9.140625" style="347"/>
    <col min="9499" max="9552" width="0" style="347" hidden="1" customWidth="1"/>
    <col min="9553" max="9728" width="9.140625" style="347"/>
    <col min="9729" max="9729" width="2.85546875" style="347" customWidth="1"/>
    <col min="9730" max="9730" width="3.5703125" style="347" bestFit="1" customWidth="1"/>
    <col min="9731" max="9731" width="4.7109375" style="347" customWidth="1"/>
    <col min="9732" max="9732" width="30.7109375" style="347" customWidth="1"/>
    <col min="9733" max="9733" width="16.7109375" style="347" customWidth="1"/>
    <col min="9734" max="9740" width="11.7109375" style="347" customWidth="1"/>
    <col min="9741" max="9741" width="3.28515625" style="347" customWidth="1"/>
    <col min="9742" max="9754" width="9.140625" style="347"/>
    <col min="9755" max="9808" width="0" style="347" hidden="1" customWidth="1"/>
    <col min="9809" max="9984" width="9.140625" style="347"/>
    <col min="9985" max="9985" width="2.85546875" style="347" customWidth="1"/>
    <col min="9986" max="9986" width="3.5703125" style="347" bestFit="1" customWidth="1"/>
    <col min="9987" max="9987" width="4.7109375" style="347" customWidth="1"/>
    <col min="9988" max="9988" width="30.7109375" style="347" customWidth="1"/>
    <col min="9989" max="9989" width="16.7109375" style="347" customWidth="1"/>
    <col min="9990" max="9996" width="11.7109375" style="347" customWidth="1"/>
    <col min="9997" max="9997" width="3.28515625" style="347" customWidth="1"/>
    <col min="9998" max="10010" width="9.140625" style="347"/>
    <col min="10011" max="10064" width="0" style="347" hidden="1" customWidth="1"/>
    <col min="10065" max="10240" width="9.140625" style="347"/>
    <col min="10241" max="10241" width="2.85546875" style="347" customWidth="1"/>
    <col min="10242" max="10242" width="3.5703125" style="347" bestFit="1" customWidth="1"/>
    <col min="10243" max="10243" width="4.7109375" style="347" customWidth="1"/>
    <col min="10244" max="10244" width="30.7109375" style="347" customWidth="1"/>
    <col min="10245" max="10245" width="16.7109375" style="347" customWidth="1"/>
    <col min="10246" max="10252" width="11.7109375" style="347" customWidth="1"/>
    <col min="10253" max="10253" width="3.28515625" style="347" customWidth="1"/>
    <col min="10254" max="10266" width="9.140625" style="347"/>
    <col min="10267" max="10320" width="0" style="347" hidden="1" customWidth="1"/>
    <col min="10321" max="10496" width="9.140625" style="347"/>
    <col min="10497" max="10497" width="2.85546875" style="347" customWidth="1"/>
    <col min="10498" max="10498" width="3.5703125" style="347" bestFit="1" customWidth="1"/>
    <col min="10499" max="10499" width="4.7109375" style="347" customWidth="1"/>
    <col min="10500" max="10500" width="30.7109375" style="347" customWidth="1"/>
    <col min="10501" max="10501" width="16.7109375" style="347" customWidth="1"/>
    <col min="10502" max="10508" width="11.7109375" style="347" customWidth="1"/>
    <col min="10509" max="10509" width="3.28515625" style="347" customWidth="1"/>
    <col min="10510" max="10522" width="9.140625" style="347"/>
    <col min="10523" max="10576" width="0" style="347" hidden="1" customWidth="1"/>
    <col min="10577" max="10752" width="9.140625" style="347"/>
    <col min="10753" max="10753" width="2.85546875" style="347" customWidth="1"/>
    <col min="10754" max="10754" width="3.5703125" style="347" bestFit="1" customWidth="1"/>
    <col min="10755" max="10755" width="4.7109375" style="347" customWidth="1"/>
    <col min="10756" max="10756" width="30.7109375" style="347" customWidth="1"/>
    <col min="10757" max="10757" width="16.7109375" style="347" customWidth="1"/>
    <col min="10758" max="10764" width="11.7109375" style="347" customWidth="1"/>
    <col min="10765" max="10765" width="3.28515625" style="347" customWidth="1"/>
    <col min="10766" max="10778" width="9.140625" style="347"/>
    <col min="10779" max="10832" width="0" style="347" hidden="1" customWidth="1"/>
    <col min="10833" max="11008" width="9.140625" style="347"/>
    <col min="11009" max="11009" width="2.85546875" style="347" customWidth="1"/>
    <col min="11010" max="11010" width="3.5703125" style="347" bestFit="1" customWidth="1"/>
    <col min="11011" max="11011" width="4.7109375" style="347" customWidth="1"/>
    <col min="11012" max="11012" width="30.7109375" style="347" customWidth="1"/>
    <col min="11013" max="11013" width="16.7109375" style="347" customWidth="1"/>
    <col min="11014" max="11020" width="11.7109375" style="347" customWidth="1"/>
    <col min="11021" max="11021" width="3.28515625" style="347" customWidth="1"/>
    <col min="11022" max="11034" width="9.140625" style="347"/>
    <col min="11035" max="11088" width="0" style="347" hidden="1" customWidth="1"/>
    <col min="11089" max="11264" width="9.140625" style="347"/>
    <col min="11265" max="11265" width="2.85546875" style="347" customWidth="1"/>
    <col min="11266" max="11266" width="3.5703125" style="347" bestFit="1" customWidth="1"/>
    <col min="11267" max="11267" width="4.7109375" style="347" customWidth="1"/>
    <col min="11268" max="11268" width="30.7109375" style="347" customWidth="1"/>
    <col min="11269" max="11269" width="16.7109375" style="347" customWidth="1"/>
    <col min="11270" max="11276" width="11.7109375" style="347" customWidth="1"/>
    <col min="11277" max="11277" width="3.28515625" style="347" customWidth="1"/>
    <col min="11278" max="11290" width="9.140625" style="347"/>
    <col min="11291" max="11344" width="0" style="347" hidden="1" customWidth="1"/>
    <col min="11345" max="11520" width="9.140625" style="347"/>
    <col min="11521" max="11521" width="2.85546875" style="347" customWidth="1"/>
    <col min="11522" max="11522" width="3.5703125" style="347" bestFit="1" customWidth="1"/>
    <col min="11523" max="11523" width="4.7109375" style="347" customWidth="1"/>
    <col min="11524" max="11524" width="30.7109375" style="347" customWidth="1"/>
    <col min="11525" max="11525" width="16.7109375" style="347" customWidth="1"/>
    <col min="11526" max="11532" width="11.7109375" style="347" customWidth="1"/>
    <col min="11533" max="11533" width="3.28515625" style="347" customWidth="1"/>
    <col min="11534" max="11546" width="9.140625" style="347"/>
    <col min="11547" max="11600" width="0" style="347" hidden="1" customWidth="1"/>
    <col min="11601" max="11776" width="9.140625" style="347"/>
    <col min="11777" max="11777" width="2.85546875" style="347" customWidth="1"/>
    <col min="11778" max="11778" width="3.5703125" style="347" bestFit="1" customWidth="1"/>
    <col min="11779" max="11779" width="4.7109375" style="347" customWidth="1"/>
    <col min="11780" max="11780" width="30.7109375" style="347" customWidth="1"/>
    <col min="11781" max="11781" width="16.7109375" style="347" customWidth="1"/>
    <col min="11782" max="11788" width="11.7109375" style="347" customWidth="1"/>
    <col min="11789" max="11789" width="3.28515625" style="347" customWidth="1"/>
    <col min="11790" max="11802" width="9.140625" style="347"/>
    <col min="11803" max="11856" width="0" style="347" hidden="1" customWidth="1"/>
    <col min="11857" max="12032" width="9.140625" style="347"/>
    <col min="12033" max="12033" width="2.85546875" style="347" customWidth="1"/>
    <col min="12034" max="12034" width="3.5703125" style="347" bestFit="1" customWidth="1"/>
    <col min="12035" max="12035" width="4.7109375" style="347" customWidth="1"/>
    <col min="12036" max="12036" width="30.7109375" style="347" customWidth="1"/>
    <col min="12037" max="12037" width="16.7109375" style="347" customWidth="1"/>
    <col min="12038" max="12044" width="11.7109375" style="347" customWidth="1"/>
    <col min="12045" max="12045" width="3.28515625" style="347" customWidth="1"/>
    <col min="12046" max="12058" width="9.140625" style="347"/>
    <col min="12059" max="12112" width="0" style="347" hidden="1" customWidth="1"/>
    <col min="12113" max="12288" width="9.140625" style="347"/>
    <col min="12289" max="12289" width="2.85546875" style="347" customWidth="1"/>
    <col min="12290" max="12290" width="3.5703125" style="347" bestFit="1" customWidth="1"/>
    <col min="12291" max="12291" width="4.7109375" style="347" customWidth="1"/>
    <col min="12292" max="12292" width="30.7109375" style="347" customWidth="1"/>
    <col min="12293" max="12293" width="16.7109375" style="347" customWidth="1"/>
    <col min="12294" max="12300" width="11.7109375" style="347" customWidth="1"/>
    <col min="12301" max="12301" width="3.28515625" style="347" customWidth="1"/>
    <col min="12302" max="12314" width="9.140625" style="347"/>
    <col min="12315" max="12368" width="0" style="347" hidden="1" customWidth="1"/>
    <col min="12369" max="12544" width="9.140625" style="347"/>
    <col min="12545" max="12545" width="2.85546875" style="347" customWidth="1"/>
    <col min="12546" max="12546" width="3.5703125" style="347" bestFit="1" customWidth="1"/>
    <col min="12547" max="12547" width="4.7109375" style="347" customWidth="1"/>
    <col min="12548" max="12548" width="30.7109375" style="347" customWidth="1"/>
    <col min="12549" max="12549" width="16.7109375" style="347" customWidth="1"/>
    <col min="12550" max="12556" width="11.7109375" style="347" customWidth="1"/>
    <col min="12557" max="12557" width="3.28515625" style="347" customWidth="1"/>
    <col min="12558" max="12570" width="9.140625" style="347"/>
    <col min="12571" max="12624" width="0" style="347" hidden="1" customWidth="1"/>
    <col min="12625" max="12800" width="9.140625" style="347"/>
    <col min="12801" max="12801" width="2.85546875" style="347" customWidth="1"/>
    <col min="12802" max="12802" width="3.5703125" style="347" bestFit="1" customWidth="1"/>
    <col min="12803" max="12803" width="4.7109375" style="347" customWidth="1"/>
    <col min="12804" max="12804" width="30.7109375" style="347" customWidth="1"/>
    <col min="12805" max="12805" width="16.7109375" style="347" customWidth="1"/>
    <col min="12806" max="12812" width="11.7109375" style="347" customWidth="1"/>
    <col min="12813" max="12813" width="3.28515625" style="347" customWidth="1"/>
    <col min="12814" max="12826" width="9.140625" style="347"/>
    <col min="12827" max="12880" width="0" style="347" hidden="1" customWidth="1"/>
    <col min="12881" max="13056" width="9.140625" style="347"/>
    <col min="13057" max="13057" width="2.85546875" style="347" customWidth="1"/>
    <col min="13058" max="13058" width="3.5703125" style="347" bestFit="1" customWidth="1"/>
    <col min="13059" max="13059" width="4.7109375" style="347" customWidth="1"/>
    <col min="13060" max="13060" width="30.7109375" style="347" customWidth="1"/>
    <col min="13061" max="13061" width="16.7109375" style="347" customWidth="1"/>
    <col min="13062" max="13068" width="11.7109375" style="347" customWidth="1"/>
    <col min="13069" max="13069" width="3.28515625" style="347" customWidth="1"/>
    <col min="13070" max="13082" width="9.140625" style="347"/>
    <col min="13083" max="13136" width="0" style="347" hidden="1" customWidth="1"/>
    <col min="13137" max="13312" width="9.140625" style="347"/>
    <col min="13313" max="13313" width="2.85546875" style="347" customWidth="1"/>
    <col min="13314" max="13314" width="3.5703125" style="347" bestFit="1" customWidth="1"/>
    <col min="13315" max="13315" width="4.7109375" style="347" customWidth="1"/>
    <col min="13316" max="13316" width="30.7109375" style="347" customWidth="1"/>
    <col min="13317" max="13317" width="16.7109375" style="347" customWidth="1"/>
    <col min="13318" max="13324" width="11.7109375" style="347" customWidth="1"/>
    <col min="13325" max="13325" width="3.28515625" style="347" customWidth="1"/>
    <col min="13326" max="13338" width="9.140625" style="347"/>
    <col min="13339" max="13392" width="0" style="347" hidden="1" customWidth="1"/>
    <col min="13393" max="13568" width="9.140625" style="347"/>
    <col min="13569" max="13569" width="2.85546875" style="347" customWidth="1"/>
    <col min="13570" max="13570" width="3.5703125" style="347" bestFit="1" customWidth="1"/>
    <col min="13571" max="13571" width="4.7109375" style="347" customWidth="1"/>
    <col min="13572" max="13572" width="30.7109375" style="347" customWidth="1"/>
    <col min="13573" max="13573" width="16.7109375" style="347" customWidth="1"/>
    <col min="13574" max="13580" width="11.7109375" style="347" customWidth="1"/>
    <col min="13581" max="13581" width="3.28515625" style="347" customWidth="1"/>
    <col min="13582" max="13594" width="9.140625" style="347"/>
    <col min="13595" max="13648" width="0" style="347" hidden="1" customWidth="1"/>
    <col min="13649" max="13824" width="9.140625" style="347"/>
    <col min="13825" max="13825" width="2.85546875" style="347" customWidth="1"/>
    <col min="13826" max="13826" width="3.5703125" style="347" bestFit="1" customWidth="1"/>
    <col min="13827" max="13827" width="4.7109375" style="347" customWidth="1"/>
    <col min="13828" max="13828" width="30.7109375" style="347" customWidth="1"/>
    <col min="13829" max="13829" width="16.7109375" style="347" customWidth="1"/>
    <col min="13830" max="13836" width="11.7109375" style="347" customWidth="1"/>
    <col min="13837" max="13837" width="3.28515625" style="347" customWidth="1"/>
    <col min="13838" max="13850" width="9.140625" style="347"/>
    <col min="13851" max="13904" width="0" style="347" hidden="1" customWidth="1"/>
    <col min="13905" max="14080" width="9.140625" style="347"/>
    <col min="14081" max="14081" width="2.85546875" style="347" customWidth="1"/>
    <col min="14082" max="14082" width="3.5703125" style="347" bestFit="1" customWidth="1"/>
    <col min="14083" max="14083" width="4.7109375" style="347" customWidth="1"/>
    <col min="14084" max="14084" width="30.7109375" style="347" customWidth="1"/>
    <col min="14085" max="14085" width="16.7109375" style="347" customWidth="1"/>
    <col min="14086" max="14092" width="11.7109375" style="347" customWidth="1"/>
    <col min="14093" max="14093" width="3.28515625" style="347" customWidth="1"/>
    <col min="14094" max="14106" width="9.140625" style="347"/>
    <col min="14107" max="14160" width="0" style="347" hidden="1" customWidth="1"/>
    <col min="14161" max="14336" width="9.140625" style="347"/>
    <col min="14337" max="14337" width="2.85546875" style="347" customWidth="1"/>
    <col min="14338" max="14338" width="3.5703125" style="347" bestFit="1" customWidth="1"/>
    <col min="14339" max="14339" width="4.7109375" style="347" customWidth="1"/>
    <col min="14340" max="14340" width="30.7109375" style="347" customWidth="1"/>
    <col min="14341" max="14341" width="16.7109375" style="347" customWidth="1"/>
    <col min="14342" max="14348" width="11.7109375" style="347" customWidth="1"/>
    <col min="14349" max="14349" width="3.28515625" style="347" customWidth="1"/>
    <col min="14350" max="14362" width="9.140625" style="347"/>
    <col min="14363" max="14416" width="0" style="347" hidden="1" customWidth="1"/>
    <col min="14417" max="14592" width="9.140625" style="347"/>
    <col min="14593" max="14593" width="2.85546875" style="347" customWidth="1"/>
    <col min="14594" max="14594" width="3.5703125" style="347" bestFit="1" customWidth="1"/>
    <col min="14595" max="14595" width="4.7109375" style="347" customWidth="1"/>
    <col min="14596" max="14596" width="30.7109375" style="347" customWidth="1"/>
    <col min="14597" max="14597" width="16.7109375" style="347" customWidth="1"/>
    <col min="14598" max="14604" width="11.7109375" style="347" customWidth="1"/>
    <col min="14605" max="14605" width="3.28515625" style="347" customWidth="1"/>
    <col min="14606" max="14618" width="9.140625" style="347"/>
    <col min="14619" max="14672" width="0" style="347" hidden="1" customWidth="1"/>
    <col min="14673" max="14848" width="9.140625" style="347"/>
    <col min="14849" max="14849" width="2.85546875" style="347" customWidth="1"/>
    <col min="14850" max="14850" width="3.5703125" style="347" bestFit="1" customWidth="1"/>
    <col min="14851" max="14851" width="4.7109375" style="347" customWidth="1"/>
    <col min="14852" max="14852" width="30.7109375" style="347" customWidth="1"/>
    <col min="14853" max="14853" width="16.7109375" style="347" customWidth="1"/>
    <col min="14854" max="14860" width="11.7109375" style="347" customWidth="1"/>
    <col min="14861" max="14861" width="3.28515625" style="347" customWidth="1"/>
    <col min="14862" max="14874" width="9.140625" style="347"/>
    <col min="14875" max="14928" width="0" style="347" hidden="1" customWidth="1"/>
    <col min="14929" max="15104" width="9.140625" style="347"/>
    <col min="15105" max="15105" width="2.85546875" style="347" customWidth="1"/>
    <col min="15106" max="15106" width="3.5703125" style="347" bestFit="1" customWidth="1"/>
    <col min="15107" max="15107" width="4.7109375" style="347" customWidth="1"/>
    <col min="15108" max="15108" width="30.7109375" style="347" customWidth="1"/>
    <col min="15109" max="15109" width="16.7109375" style="347" customWidth="1"/>
    <col min="15110" max="15116" width="11.7109375" style="347" customWidth="1"/>
    <col min="15117" max="15117" width="3.28515625" style="347" customWidth="1"/>
    <col min="15118" max="15130" width="9.140625" style="347"/>
    <col min="15131" max="15184" width="0" style="347" hidden="1" customWidth="1"/>
    <col min="15185" max="15360" width="9.140625" style="347"/>
    <col min="15361" max="15361" width="2.85546875" style="347" customWidth="1"/>
    <col min="15362" max="15362" width="3.5703125" style="347" bestFit="1" customWidth="1"/>
    <col min="15363" max="15363" width="4.7109375" style="347" customWidth="1"/>
    <col min="15364" max="15364" width="30.7109375" style="347" customWidth="1"/>
    <col min="15365" max="15365" width="16.7109375" style="347" customWidth="1"/>
    <col min="15366" max="15372" width="11.7109375" style="347" customWidth="1"/>
    <col min="15373" max="15373" width="3.28515625" style="347" customWidth="1"/>
    <col min="15374" max="15386" width="9.140625" style="347"/>
    <col min="15387" max="15440" width="0" style="347" hidden="1" customWidth="1"/>
    <col min="15441" max="15616" width="9.140625" style="347"/>
    <col min="15617" max="15617" width="2.85546875" style="347" customWidth="1"/>
    <col min="15618" max="15618" width="3.5703125" style="347" bestFit="1" customWidth="1"/>
    <col min="15619" max="15619" width="4.7109375" style="347" customWidth="1"/>
    <col min="15620" max="15620" width="30.7109375" style="347" customWidth="1"/>
    <col min="15621" max="15621" width="16.7109375" style="347" customWidth="1"/>
    <col min="15622" max="15628" width="11.7109375" style="347" customWidth="1"/>
    <col min="15629" max="15629" width="3.28515625" style="347" customWidth="1"/>
    <col min="15630" max="15642" width="9.140625" style="347"/>
    <col min="15643" max="15696" width="0" style="347" hidden="1" customWidth="1"/>
    <col min="15697" max="15872" width="9.140625" style="347"/>
    <col min="15873" max="15873" width="2.85546875" style="347" customWidth="1"/>
    <col min="15874" max="15874" width="3.5703125" style="347" bestFit="1" customWidth="1"/>
    <col min="15875" max="15875" width="4.7109375" style="347" customWidth="1"/>
    <col min="15876" max="15876" width="30.7109375" style="347" customWidth="1"/>
    <col min="15877" max="15877" width="16.7109375" style="347" customWidth="1"/>
    <col min="15878" max="15884" width="11.7109375" style="347" customWidth="1"/>
    <col min="15885" max="15885" width="3.28515625" style="347" customWidth="1"/>
    <col min="15886" max="15898" width="9.140625" style="347"/>
    <col min="15899" max="15952" width="0" style="347" hidden="1" customWidth="1"/>
    <col min="15953" max="16128" width="9.140625" style="347"/>
    <col min="16129" max="16129" width="2.85546875" style="347" customWidth="1"/>
    <col min="16130" max="16130" width="3.5703125" style="347" bestFit="1" customWidth="1"/>
    <col min="16131" max="16131" width="4.7109375" style="347" customWidth="1"/>
    <col min="16132" max="16132" width="30.7109375" style="347" customWidth="1"/>
    <col min="16133" max="16133" width="16.7109375" style="347" customWidth="1"/>
    <col min="16134" max="16140" width="11.7109375" style="347" customWidth="1"/>
    <col min="16141" max="16141" width="3.28515625" style="347" customWidth="1"/>
    <col min="16142" max="16154" width="9.140625" style="347"/>
    <col min="16155" max="16208" width="0" style="347" hidden="1" customWidth="1"/>
    <col min="16209" max="16384" width="9.140625" style="347"/>
  </cols>
  <sheetData>
    <row r="1" spans="1:80" ht="18" customHeight="1" x14ac:dyDescent="0.2">
      <c r="A1" s="341"/>
      <c r="B1" s="342"/>
      <c r="C1" s="342"/>
      <c r="D1" s="343"/>
      <c r="E1" s="344"/>
      <c r="F1" s="344"/>
      <c r="G1" s="344"/>
      <c r="H1" s="344"/>
      <c r="I1" s="344"/>
      <c r="J1" s="344"/>
      <c r="K1" s="344"/>
      <c r="L1" s="345"/>
      <c r="M1" s="346"/>
    </row>
    <row r="2" spans="1:80" ht="65.25" customHeight="1" x14ac:dyDescent="0.2">
      <c r="A2" s="348"/>
      <c r="B2" s="349"/>
      <c r="C2" s="943" t="s">
        <v>1002</v>
      </c>
      <c r="D2" s="944"/>
      <c r="E2" s="944"/>
      <c r="F2" s="944"/>
      <c r="G2" s="944"/>
      <c r="H2" s="944"/>
      <c r="I2" s="944"/>
      <c r="J2" s="944"/>
      <c r="K2" s="944"/>
      <c r="L2" s="945"/>
      <c r="M2" s="350"/>
    </row>
    <row r="3" spans="1:80" ht="18" customHeight="1" x14ac:dyDescent="0.2">
      <c r="A3" s="351"/>
      <c r="B3" s="352"/>
      <c r="C3" s="353"/>
      <c r="D3" s="354"/>
      <c r="E3" s="354"/>
      <c r="F3" s="354"/>
      <c r="G3" s="354"/>
      <c r="H3" s="354"/>
      <c r="I3" s="354"/>
      <c r="J3" s="354"/>
      <c r="K3" s="354"/>
      <c r="L3" s="355"/>
      <c r="M3" s="350"/>
      <c r="AA3" s="348" t="e">
        <f>INDEX(AA5:AA8,MATCH(PressU,$AD$5:$AD$8,0))</f>
        <v>#NAME?</v>
      </c>
      <c r="AB3" s="349"/>
      <c r="AC3" s="349" t="e">
        <f>INDEX(AC5:AC8,MATCH(PressU,$AD$5:$AD$8,0))</f>
        <v>#NAME?</v>
      </c>
      <c r="AD3" s="349" t="e">
        <f ca="1">INDIRECT(AD4)</f>
        <v>#REF!</v>
      </c>
      <c r="AE3" s="349" t="e">
        <f ca="1">INDIRECT(AE4)</f>
        <v>#REF!</v>
      </c>
      <c r="AF3" s="349"/>
      <c r="AG3" s="349" t="e">
        <f ca="1">INDIRECT(AG4)</f>
        <v>#REF!</v>
      </c>
      <c r="AH3" s="349"/>
      <c r="AI3" s="349" t="e">
        <f ca="1">INDIRECT(AI4)</f>
        <v>#REF!</v>
      </c>
      <c r="AJ3" s="349"/>
      <c r="AK3" s="349" t="e">
        <f ca="1">INDIRECT(AK4)</f>
        <v>#REF!</v>
      </c>
      <c r="AL3" s="349"/>
      <c r="AM3" s="349" t="e">
        <f ca="1">INDIRECT(AM4)</f>
        <v>#REF!</v>
      </c>
      <c r="AN3" s="349"/>
      <c r="AO3" s="349" t="e">
        <f ca="1">INDIRECT(AO4)</f>
        <v>#REF!</v>
      </c>
      <c r="AP3" s="349"/>
      <c r="AQ3" s="349" t="e">
        <f ca="1">INDIRECT(AQ4)</f>
        <v>#REF!</v>
      </c>
      <c r="AR3" s="349"/>
      <c r="AS3" s="349" t="e">
        <f ca="1">INDIRECT(AS4)</f>
        <v>#REF!</v>
      </c>
      <c r="AT3" s="349"/>
      <c r="AU3" s="349" t="e">
        <f ca="1">INDIRECT(AU4)</f>
        <v>#REF!</v>
      </c>
      <c r="AV3" s="349"/>
      <c r="AW3" s="349" t="e">
        <f ca="1">INDIRECT(AW4)</f>
        <v>#REF!</v>
      </c>
      <c r="AX3" s="349"/>
      <c r="AY3" s="349" t="e">
        <f ca="1">INDIRECT(AY4)</f>
        <v>#REF!</v>
      </c>
      <c r="AZ3" s="349"/>
      <c r="BA3" s="349" t="e">
        <f ca="1">INDIRECT(BA4)</f>
        <v>#REF!</v>
      </c>
      <c r="BB3" s="349"/>
      <c r="BC3" s="349"/>
      <c r="BD3" s="349"/>
      <c r="BE3" s="349" t="e">
        <f ca="1">INDIRECT(BE4)</f>
        <v>#REF!</v>
      </c>
      <c r="BF3" s="349"/>
      <c r="BG3" s="349" t="e">
        <f ca="1">INDIRECT(BG4)</f>
        <v>#REF!</v>
      </c>
      <c r="BH3" s="349"/>
      <c r="BI3" s="349" t="e">
        <f ca="1">INDIRECT(BI4)</f>
        <v>#REF!</v>
      </c>
      <c r="BJ3" s="349"/>
      <c r="BK3" s="349" t="e">
        <f ca="1">INDIRECT(BK4)</f>
        <v>#REF!</v>
      </c>
      <c r="BL3" s="349"/>
      <c r="BM3" s="349" t="e">
        <f ca="1">INDIRECT(BM4)</f>
        <v>#REF!</v>
      </c>
      <c r="BN3" s="349"/>
      <c r="BO3" s="349" t="e">
        <f ca="1">INDIRECT(BO4)</f>
        <v>#REF!</v>
      </c>
      <c r="BP3" s="349"/>
      <c r="BQ3" s="349"/>
      <c r="BR3" s="349"/>
      <c r="BS3" s="349" t="e">
        <f ca="1">INDIRECT(BS4)</f>
        <v>#REF!</v>
      </c>
      <c r="BT3" s="349"/>
      <c r="BU3" s="349" t="e">
        <f>INDEX(BU5:BU6,MATCH(TempU,AE5:AE6))</f>
        <v>#NAME?</v>
      </c>
      <c r="BV3" s="349"/>
      <c r="BW3" s="349"/>
      <c r="BX3" s="349"/>
      <c r="BY3" s="342" t="e">
        <f ca="1">INDIRECT(BY4)</f>
        <v>#REF!</v>
      </c>
      <c r="BZ3" s="342"/>
      <c r="CA3" s="342" t="e">
        <f ca="1">INDIRECT(CA4)</f>
        <v>#REF!</v>
      </c>
      <c r="CB3" s="356"/>
    </row>
    <row r="4" spans="1:80" ht="24.75" customHeight="1" x14ac:dyDescent="0.2">
      <c r="A4" s="357" t="s">
        <v>796</v>
      </c>
      <c r="B4" s="357" t="s">
        <v>797</v>
      </c>
      <c r="C4" s="358" t="s">
        <v>956</v>
      </c>
      <c r="D4" s="359"/>
      <c r="E4" s="359"/>
      <c r="F4" s="359"/>
      <c r="G4" s="359"/>
      <c r="H4" s="359"/>
      <c r="I4" s="349"/>
      <c r="J4" s="359"/>
      <c r="K4" s="360" t="s">
        <v>798</v>
      </c>
      <c r="L4" s="361"/>
      <c r="M4" s="362"/>
      <c r="AA4" s="363" t="s">
        <v>799</v>
      </c>
      <c r="AB4" s="364" t="e">
        <f>VLOOKUP(AA3,AA5:AB12,2,0)</f>
        <v>#NAME?</v>
      </c>
      <c r="AC4" s="363" t="s">
        <v>800</v>
      </c>
      <c r="AD4" s="365" t="s">
        <v>801</v>
      </c>
      <c r="AE4" s="365" t="s">
        <v>802</v>
      </c>
      <c r="AF4" s="366" t="e">
        <f ca="1">VLOOKUP(INDIRECT(AE4),AE5:AF6,2,0)</f>
        <v>#REF!</v>
      </c>
      <c r="AG4" s="367" t="s">
        <v>803</v>
      </c>
      <c r="AH4" s="368" t="e">
        <f ca="1">VLOOKUP(INDIRECT(AG4),AG5:AH12,2,0)</f>
        <v>#REF!</v>
      </c>
      <c r="AI4" s="365" t="s">
        <v>804</v>
      </c>
      <c r="AJ4" s="368" t="e">
        <f ca="1">VLOOKUP(INDIRECT(AI4),AI5:AJ12,2,0)</f>
        <v>#REF!</v>
      </c>
      <c r="AK4" s="365" t="s">
        <v>805</v>
      </c>
      <c r="AL4" s="368" t="e">
        <f ca="1">VLOOKUP(INDIRECT(AK4),AK5:AL12,2,0)</f>
        <v>#REF!</v>
      </c>
      <c r="AM4" s="365" t="s">
        <v>806</v>
      </c>
      <c r="AN4" s="368" t="e">
        <f ca="1">VLOOKUP(INDIRECT(AM4),AM5:AN12,2,0)</f>
        <v>#REF!</v>
      </c>
      <c r="AO4" s="365" t="s">
        <v>807</v>
      </c>
      <c r="AP4" s="368" t="e">
        <f ca="1">VLOOKUP(INDIRECT(AO4),AO5:AP12,2,0)</f>
        <v>#REF!</v>
      </c>
      <c r="AQ4" s="365" t="s">
        <v>808</v>
      </c>
      <c r="AR4" s="368" t="e">
        <f ca="1">VLOOKUP(INDIRECT(AQ4),AQ5:AR12,2,0)</f>
        <v>#REF!</v>
      </c>
      <c r="AS4" s="365" t="s">
        <v>809</v>
      </c>
      <c r="AT4" s="368" t="e">
        <f ca="1">VLOOKUP(INDIRECT(AS4),AS5:AT12,2,0)</f>
        <v>#REF!</v>
      </c>
      <c r="AU4" s="365" t="s">
        <v>810</v>
      </c>
      <c r="AV4" s="368" t="e">
        <f ca="1">VLOOKUP(INDIRECT(AU4),AU5:AV12,2,0)</f>
        <v>#REF!</v>
      </c>
      <c r="AW4" s="365" t="s">
        <v>811</v>
      </c>
      <c r="AX4" s="368" t="e">
        <f ca="1">VLOOKUP(INDIRECT(AW4),AW5:AX12,2,0)</f>
        <v>#REF!</v>
      </c>
      <c r="AY4" s="365" t="s">
        <v>812</v>
      </c>
      <c r="AZ4" s="368" t="e">
        <f ca="1">VLOOKUP(INDIRECT(AY4),AY5:AZ12,2,0)</f>
        <v>#REF!</v>
      </c>
      <c r="BA4" s="365" t="s">
        <v>813</v>
      </c>
      <c r="BB4" s="368" t="e">
        <f ca="1">VLOOKUP(INDIRECT(BA4),BA5:BB12,2,0)</f>
        <v>#REF!</v>
      </c>
      <c r="BC4" s="363" t="s">
        <v>814</v>
      </c>
      <c r="BD4" s="368"/>
      <c r="BE4" s="365" t="s">
        <v>815</v>
      </c>
      <c r="BF4" s="368" t="e">
        <f ca="1">VLOOKUP(INDIRECT(BE4),BE5:BF12,2,0)</f>
        <v>#REF!</v>
      </c>
      <c r="BG4" s="365" t="s">
        <v>816</v>
      </c>
      <c r="BH4" s="368" t="e">
        <f ca="1">VLOOKUP(INDIRECT(BG4),BG5:BH12,2,0)</f>
        <v>#REF!</v>
      </c>
      <c r="BI4" s="365" t="s">
        <v>817</v>
      </c>
      <c r="BJ4" s="368" t="e">
        <f ca="1">VLOOKUP(INDIRECT(BI4),BI5:BJ12,2,0)</f>
        <v>#REF!</v>
      </c>
      <c r="BK4" s="365" t="s">
        <v>818</v>
      </c>
      <c r="BL4" s="368" t="e">
        <f ca="1">VLOOKUP(INDIRECT(BK4),BK5:BL12,2,0)</f>
        <v>#REF!</v>
      </c>
      <c r="BM4" s="365" t="s">
        <v>819</v>
      </c>
      <c r="BN4" s="368" t="e">
        <f ca="1">VLOOKUP(INDIRECT(BM4),BM5:BN12,2,0)</f>
        <v>#REF!</v>
      </c>
      <c r="BO4" s="365" t="s">
        <v>820</v>
      </c>
      <c r="BP4" s="368" t="e">
        <f ca="1">VLOOKUP(INDIRECT(BO4),BO5:BP12,2,0)</f>
        <v>#REF!</v>
      </c>
      <c r="BQ4" s="363" t="s">
        <v>821</v>
      </c>
      <c r="BR4" s="363"/>
      <c r="BS4" s="365" t="s">
        <v>822</v>
      </c>
      <c r="BT4" s="368" t="e">
        <f ca="1">VLOOKUP(INDIRECT(BS4),BS5:BT12,2,0)</f>
        <v>#REF!</v>
      </c>
      <c r="BU4" s="363" t="s">
        <v>823</v>
      </c>
      <c r="BV4" s="368" t="e">
        <f ca="1">VLOOKUP(INDIRECT(BU4),BU5:BV9,2,0)</f>
        <v>#REF!</v>
      </c>
      <c r="BW4" s="369" t="s">
        <v>824</v>
      </c>
      <c r="BX4" s="369"/>
      <c r="BY4" s="370" t="s">
        <v>825</v>
      </c>
      <c r="BZ4" s="368" t="e">
        <f ca="1">VLOOKUP(INDIRECT(BY4),BY5:BZ12,2,0)</f>
        <v>#REF!</v>
      </c>
      <c r="CA4" s="370" t="s">
        <v>826</v>
      </c>
      <c r="CB4" s="368" t="e">
        <f ca="1">VLOOKUP(INDIRECT(CA4),CA5:CB12,2,0)</f>
        <v>#REF!</v>
      </c>
    </row>
    <row r="5" spans="1:80" ht="18" customHeight="1" x14ac:dyDescent="0.2">
      <c r="A5" s="371"/>
      <c r="B5" s="371"/>
      <c r="C5" s="948" t="s">
        <v>827</v>
      </c>
      <c r="D5" s="949"/>
      <c r="E5" s="949"/>
      <c r="F5" s="949"/>
      <c r="G5" s="949"/>
      <c r="H5" s="949"/>
      <c r="I5" s="949"/>
      <c r="J5" s="949"/>
      <c r="K5" s="949"/>
      <c r="L5" s="950"/>
      <c r="M5" s="372"/>
      <c r="AA5" s="373" t="s">
        <v>194</v>
      </c>
      <c r="AB5" s="374">
        <v>1</v>
      </c>
      <c r="AC5" s="373" t="s">
        <v>828</v>
      </c>
      <c r="AD5" s="375" t="s">
        <v>682</v>
      </c>
      <c r="AE5" s="376" t="s">
        <v>829</v>
      </c>
      <c r="AF5" s="377">
        <v>1</v>
      </c>
      <c r="AG5" s="376" t="s">
        <v>830</v>
      </c>
      <c r="AH5" s="378">
        <v>1</v>
      </c>
      <c r="AI5" s="379" t="s">
        <v>831</v>
      </c>
      <c r="AJ5" s="378">
        <v>1</v>
      </c>
      <c r="AK5" s="379" t="s">
        <v>832</v>
      </c>
      <c r="AL5" s="378">
        <v>1</v>
      </c>
      <c r="AM5" s="379" t="s">
        <v>710</v>
      </c>
      <c r="AN5" s="378">
        <v>1</v>
      </c>
      <c r="AO5" s="379" t="s">
        <v>833</v>
      </c>
      <c r="AP5" s="378">
        <v>1</v>
      </c>
      <c r="AQ5" s="379" t="s">
        <v>216</v>
      </c>
      <c r="AR5" s="378">
        <v>1</v>
      </c>
      <c r="AS5" s="379" t="s">
        <v>834</v>
      </c>
      <c r="AT5" s="378">
        <v>1</v>
      </c>
      <c r="AU5" s="379" t="s">
        <v>835</v>
      </c>
      <c r="AV5" s="374">
        <v>1</v>
      </c>
      <c r="AW5" s="379" t="s">
        <v>836</v>
      </c>
      <c r="AX5" s="374">
        <v>1</v>
      </c>
      <c r="AY5" s="379" t="s">
        <v>837</v>
      </c>
      <c r="AZ5" s="374">
        <v>1</v>
      </c>
      <c r="BA5" s="379" t="s">
        <v>838</v>
      </c>
      <c r="BB5" s="374">
        <v>1</v>
      </c>
      <c r="BC5" s="374" t="s">
        <v>839</v>
      </c>
      <c r="BD5" s="374">
        <v>1</v>
      </c>
      <c r="BE5" s="379" t="s">
        <v>840</v>
      </c>
      <c r="BF5" s="374">
        <v>1</v>
      </c>
      <c r="BG5" s="379" t="s">
        <v>841</v>
      </c>
      <c r="BH5" s="374">
        <v>1</v>
      </c>
      <c r="BI5" s="379" t="s">
        <v>842</v>
      </c>
      <c r="BJ5" s="374">
        <v>1</v>
      </c>
      <c r="BK5" s="379" t="s">
        <v>843</v>
      </c>
      <c r="BL5" s="374">
        <v>1</v>
      </c>
      <c r="BM5" s="379" t="s">
        <v>844</v>
      </c>
      <c r="BN5" s="374">
        <v>1</v>
      </c>
      <c r="BO5" s="379" t="s">
        <v>845</v>
      </c>
      <c r="BP5" s="374">
        <v>1</v>
      </c>
      <c r="BQ5" s="380"/>
      <c r="BR5" s="380"/>
      <c r="BS5" s="381" t="s">
        <v>846</v>
      </c>
      <c r="BT5" s="380">
        <v>1</v>
      </c>
      <c r="BU5" s="382" t="s">
        <v>847</v>
      </c>
      <c r="BV5" s="380">
        <v>459.67</v>
      </c>
      <c r="BW5" s="380" t="s">
        <v>848</v>
      </c>
      <c r="BX5" s="380">
        <v>1</v>
      </c>
      <c r="BY5" s="379" t="s">
        <v>849</v>
      </c>
      <c r="BZ5" s="383">
        <v>1</v>
      </c>
      <c r="CA5" s="379" t="s">
        <v>850</v>
      </c>
      <c r="CB5" s="383">
        <v>1</v>
      </c>
    </row>
    <row r="6" spans="1:80" ht="18" customHeight="1" x14ac:dyDescent="0.2">
      <c r="A6" s="384"/>
      <c r="B6" s="384">
        <v>1</v>
      </c>
      <c r="C6" s="385"/>
      <c r="D6" s="386" t="s">
        <v>851</v>
      </c>
      <c r="E6" s="942"/>
      <c r="F6" s="942"/>
      <c r="G6" s="387"/>
      <c r="H6" s="387"/>
      <c r="I6" s="388"/>
      <c r="J6" s="388"/>
      <c r="K6" s="389"/>
      <c r="L6" s="390"/>
      <c r="M6" s="362"/>
      <c r="AA6" s="391" t="s">
        <v>852</v>
      </c>
      <c r="AB6" s="392">
        <f>14.2233433</f>
        <v>14.2233433</v>
      </c>
      <c r="AC6" s="391" t="s">
        <v>853</v>
      </c>
      <c r="AD6" s="393" t="s">
        <v>854</v>
      </c>
      <c r="AE6" s="394" t="s">
        <v>855</v>
      </c>
      <c r="AF6" s="395">
        <v>1.8</v>
      </c>
      <c r="AG6" s="394" t="s">
        <v>856</v>
      </c>
      <c r="AH6" s="396">
        <v>2.2046226</v>
      </c>
      <c r="AI6" s="397" t="s">
        <v>857</v>
      </c>
      <c r="AJ6" s="396">
        <f>1728/231/0.3048^3/60</f>
        <v>4.4028675393024734</v>
      </c>
      <c r="AK6" s="397" t="s">
        <v>857</v>
      </c>
      <c r="AL6" s="396">
        <f>1/0.3048^3</f>
        <v>35.314666721488585</v>
      </c>
      <c r="AM6" s="397" t="s">
        <v>858</v>
      </c>
      <c r="AN6" s="392">
        <f>1/2.54</f>
        <v>0.39370078740157477</v>
      </c>
      <c r="AO6" s="397" t="s">
        <v>859</v>
      </c>
      <c r="AP6" s="392">
        <f>1/2.54^2</f>
        <v>0.15500031000062001</v>
      </c>
      <c r="AQ6" s="397" t="s">
        <v>13</v>
      </c>
      <c r="AR6" s="396">
        <f>1/0.3048</f>
        <v>3.280839895013123</v>
      </c>
      <c r="AS6" s="397" t="s">
        <v>860</v>
      </c>
      <c r="AT6" s="396">
        <f>1/0.3048^2</f>
        <v>10.763910416709722</v>
      </c>
      <c r="AU6" s="397" t="s">
        <v>861</v>
      </c>
      <c r="AV6" s="392">
        <v>62.427960599999999</v>
      </c>
      <c r="AW6" s="397" t="s">
        <v>862</v>
      </c>
      <c r="AX6" s="392">
        <v>1</v>
      </c>
      <c r="AY6" s="397" t="s">
        <v>863</v>
      </c>
      <c r="AZ6" s="392">
        <v>0.42992261799999998</v>
      </c>
      <c r="BA6" s="397" t="s">
        <v>864</v>
      </c>
      <c r="BB6" s="392">
        <v>3.968321</v>
      </c>
      <c r="BC6" s="392" t="s">
        <v>865</v>
      </c>
      <c r="BD6" s="392">
        <v>1.6018460000000002E-2</v>
      </c>
      <c r="BE6" s="397" t="s">
        <v>866</v>
      </c>
      <c r="BF6" s="392">
        <v>0.2388458966</v>
      </c>
      <c r="BG6" s="397" t="s">
        <v>867</v>
      </c>
      <c r="BH6" s="396">
        <f>1/0.3048</f>
        <v>3.280839895013123</v>
      </c>
      <c r="BI6" s="398"/>
      <c r="BJ6" s="398"/>
      <c r="BK6" s="397" t="s">
        <v>868</v>
      </c>
      <c r="BL6" s="392">
        <v>144</v>
      </c>
      <c r="BM6" s="397" t="s">
        <v>869</v>
      </c>
      <c r="BN6" s="392">
        <f>14.50377*0.3048</f>
        <v>4.4207490959999998</v>
      </c>
      <c r="BO6" s="397" t="s">
        <v>870</v>
      </c>
      <c r="BP6" s="392">
        <f>1/0.86497766</f>
        <v>1.1560992222619946</v>
      </c>
      <c r="BQ6" s="399" t="s">
        <v>871</v>
      </c>
      <c r="BR6" s="398">
        <v>62.299860000000002</v>
      </c>
      <c r="BS6" s="400" t="s">
        <v>872</v>
      </c>
      <c r="BT6" s="398">
        <v>3.5314700000000003E-5</v>
      </c>
      <c r="BU6" s="401" t="s">
        <v>873</v>
      </c>
      <c r="BV6" s="398">
        <v>273.14999999999998</v>
      </c>
      <c r="BW6" s="398" t="s">
        <v>874</v>
      </c>
      <c r="BX6" s="398">
        <f>1/14.50377/0.3048^3</f>
        <v>2.4348611927442714</v>
      </c>
      <c r="BY6" s="397" t="s">
        <v>875</v>
      </c>
      <c r="BZ6" s="402">
        <v>2.2046226</v>
      </c>
      <c r="CA6" s="397" t="s">
        <v>876</v>
      </c>
      <c r="CB6" s="402">
        <v>60</v>
      </c>
    </row>
    <row r="7" spans="1:80" ht="18" customHeight="1" x14ac:dyDescent="0.2">
      <c r="A7" s="384"/>
      <c r="B7" s="384">
        <v>2</v>
      </c>
      <c r="C7" s="403"/>
      <c r="D7" s="404" t="s">
        <v>877</v>
      </c>
      <c r="E7" s="939"/>
      <c r="F7" s="939"/>
      <c r="G7" s="387"/>
      <c r="H7" s="388"/>
      <c r="I7" s="948" t="s">
        <v>878</v>
      </c>
      <c r="J7" s="949"/>
      <c r="K7" s="949"/>
      <c r="L7" s="950"/>
      <c r="M7" s="405"/>
      <c r="AA7" s="391" t="s">
        <v>879</v>
      </c>
      <c r="AB7" s="392">
        <v>0.14503769999999999</v>
      </c>
      <c r="AC7" s="391" t="s">
        <v>880</v>
      </c>
      <c r="AD7" s="393" t="s">
        <v>881</v>
      </c>
      <c r="AE7" s="398"/>
      <c r="AF7" s="398"/>
      <c r="AG7" s="398"/>
      <c r="AH7" s="398"/>
      <c r="AI7" s="397" t="s">
        <v>832</v>
      </c>
      <c r="AJ7" s="396">
        <f>1728/231/60</f>
        <v>0.12467532467532468</v>
      </c>
      <c r="AK7" s="398"/>
      <c r="AL7" s="398"/>
      <c r="AM7" s="397" t="s">
        <v>77</v>
      </c>
      <c r="AN7" s="392">
        <f>0.1*AN6</f>
        <v>3.937007874015748E-2</v>
      </c>
      <c r="AO7" s="397" t="s">
        <v>882</v>
      </c>
      <c r="AP7" s="392">
        <f>0.01*AP6</f>
        <v>1.5500031000062E-3</v>
      </c>
      <c r="AQ7" s="397" t="s">
        <v>858</v>
      </c>
      <c r="AR7" s="396">
        <f>0.01*AR6</f>
        <v>3.2808398950131233E-2</v>
      </c>
      <c r="AS7" s="397" t="s">
        <v>859</v>
      </c>
      <c r="AT7" s="396">
        <f>0.0001*AT6</f>
        <v>1.0763910416709723E-3</v>
      </c>
      <c r="AU7" s="397" t="s">
        <v>883</v>
      </c>
      <c r="AV7" s="392">
        <v>6.2427960599999999E-2</v>
      </c>
      <c r="AW7" s="397" t="s">
        <v>884</v>
      </c>
      <c r="AX7" s="392">
        <v>1000</v>
      </c>
      <c r="AY7" s="397" t="s">
        <v>885</v>
      </c>
      <c r="AZ7" s="392">
        <v>1.8</v>
      </c>
      <c r="BA7" s="397" t="s">
        <v>886</v>
      </c>
      <c r="BB7" s="392">
        <v>0.94781709999999997</v>
      </c>
      <c r="BC7" s="392" t="s">
        <v>887</v>
      </c>
      <c r="BD7" s="392">
        <v>16.018460000000001</v>
      </c>
      <c r="BE7" s="397" t="s">
        <v>888</v>
      </c>
      <c r="BF7" s="392">
        <v>1</v>
      </c>
      <c r="BG7" s="397" t="s">
        <v>889</v>
      </c>
      <c r="BH7" s="392">
        <f>0.01*BH6</f>
        <v>3.2808398950131233E-2</v>
      </c>
      <c r="BI7" s="398"/>
      <c r="BJ7" s="398"/>
      <c r="BK7" s="397" t="s">
        <v>890</v>
      </c>
      <c r="BL7" s="392">
        <v>0.04</v>
      </c>
      <c r="BM7" s="397" t="s">
        <v>891</v>
      </c>
      <c r="BN7" s="392">
        <f>0.01*BN6</f>
        <v>4.4207490959999998E-2</v>
      </c>
      <c r="BO7" s="397" t="s">
        <v>892</v>
      </c>
      <c r="BP7" s="392">
        <f>1/0.086497766</f>
        <v>11.560992222619946</v>
      </c>
      <c r="BQ7" s="399" t="s">
        <v>893</v>
      </c>
      <c r="BR7" s="398">
        <v>62.366593899999998</v>
      </c>
      <c r="BS7" s="400" t="s">
        <v>7</v>
      </c>
      <c r="BT7" s="398">
        <f>1/0.3048^3</f>
        <v>35.314666721488585</v>
      </c>
      <c r="BU7" s="398"/>
      <c r="BV7" s="398"/>
      <c r="BW7" s="398" t="s">
        <v>894</v>
      </c>
      <c r="BX7" s="398">
        <f>1/0.1450377/0.3048^3</f>
        <v>243.48611927442718</v>
      </c>
      <c r="BY7" s="397" t="s">
        <v>895</v>
      </c>
      <c r="BZ7" s="402">
        <f>1/379.49</f>
        <v>2.6351155498168595E-3</v>
      </c>
      <c r="CA7" s="397" t="s">
        <v>896</v>
      </c>
      <c r="CB7" s="402">
        <f>1/60</f>
        <v>1.6666666666666666E-2</v>
      </c>
    </row>
    <row r="8" spans="1:80" ht="18" customHeight="1" x14ac:dyDescent="0.2">
      <c r="A8" s="384"/>
      <c r="B8" s="384">
        <v>3</v>
      </c>
      <c r="C8" s="403"/>
      <c r="D8" s="404" t="s">
        <v>897</v>
      </c>
      <c r="E8" s="939"/>
      <c r="F8" s="939"/>
      <c r="G8" s="387"/>
      <c r="H8" s="387"/>
      <c r="I8" s="946" t="s">
        <v>939</v>
      </c>
      <c r="J8" s="946"/>
      <c r="K8" s="946"/>
      <c r="L8" s="947"/>
      <c r="M8" s="407"/>
      <c r="AA8" s="391" t="s">
        <v>898</v>
      </c>
      <c r="AB8" s="392">
        <v>14.503769999999999</v>
      </c>
      <c r="AC8" s="391" t="s">
        <v>899</v>
      </c>
      <c r="AD8" s="393" t="s">
        <v>900</v>
      </c>
      <c r="AE8" s="398"/>
      <c r="AF8" s="398"/>
      <c r="AG8" s="398"/>
      <c r="AH8" s="398"/>
      <c r="AI8" s="398"/>
      <c r="AJ8" s="398"/>
      <c r="AK8" s="398"/>
      <c r="AL8" s="398"/>
      <c r="AM8" s="398"/>
      <c r="AN8" s="398"/>
      <c r="AO8" s="398"/>
      <c r="AP8" s="398"/>
      <c r="AQ8" s="397" t="s">
        <v>77</v>
      </c>
      <c r="AR8" s="392">
        <f>0.001*AR6</f>
        <v>3.2808398950131229E-3</v>
      </c>
      <c r="AS8" s="397" t="s">
        <v>882</v>
      </c>
      <c r="AT8" s="392">
        <f>AT6*0.000001</f>
        <v>1.0763910416709721E-5</v>
      </c>
      <c r="AU8" s="398"/>
      <c r="AV8" s="398"/>
      <c r="AW8" s="397" t="s">
        <v>901</v>
      </c>
      <c r="AX8" s="392">
        <v>1488.1639436</v>
      </c>
      <c r="AY8" s="397" t="s">
        <v>902</v>
      </c>
      <c r="AZ8" s="392">
        <v>1.8</v>
      </c>
      <c r="BA8" s="397" t="s">
        <v>903</v>
      </c>
      <c r="BB8" s="392">
        <v>3412.1415999999999</v>
      </c>
      <c r="BC8" s="396"/>
      <c r="BD8" s="398"/>
      <c r="BE8" s="392"/>
      <c r="BF8" s="408"/>
      <c r="BG8" s="398" t="s">
        <v>904</v>
      </c>
      <c r="BH8" s="398">
        <f>1/60</f>
        <v>1.6666666666666666E-2</v>
      </c>
      <c r="BI8" s="398"/>
      <c r="BJ8" s="398"/>
      <c r="BK8" s="397" t="s">
        <v>905</v>
      </c>
      <c r="BL8" s="392">
        <f>14.223343/25</f>
        <v>0.56893371999999998</v>
      </c>
      <c r="BM8" s="397" t="s">
        <v>906</v>
      </c>
      <c r="BN8" s="392">
        <v>4.3352750000000002</v>
      </c>
      <c r="BO8" s="397" t="s">
        <v>907</v>
      </c>
      <c r="BP8" s="392">
        <v>1.1674405379999999</v>
      </c>
      <c r="BQ8" s="392" t="s">
        <v>908</v>
      </c>
      <c r="BR8" s="392">
        <v>62.4263999</v>
      </c>
      <c r="BS8" s="398"/>
      <c r="BT8" s="398"/>
      <c r="BU8" s="398"/>
      <c r="BV8" s="398"/>
      <c r="BW8" s="398" t="s">
        <v>909</v>
      </c>
      <c r="BX8" s="398">
        <f>1/14.50377/0.3048^3*519.67/459.67</f>
        <v>2.752679783395513</v>
      </c>
      <c r="BY8" s="397" t="s">
        <v>910</v>
      </c>
      <c r="BZ8" s="402">
        <f>BZ7/0.3048^3</f>
        <v>9.305822741439454E-2</v>
      </c>
      <c r="CA8" s="397"/>
      <c r="CB8" s="402"/>
    </row>
    <row r="9" spans="1:80" ht="18" customHeight="1" x14ac:dyDescent="0.2">
      <c r="A9" s="384"/>
      <c r="B9" s="384">
        <v>4</v>
      </c>
      <c r="C9" s="403"/>
      <c r="D9" s="404" t="s">
        <v>911</v>
      </c>
      <c r="E9" s="939"/>
      <c r="F9" s="939"/>
      <c r="G9" s="387"/>
      <c r="H9" s="387"/>
      <c r="I9" s="387"/>
      <c r="J9" s="387"/>
      <c r="K9" s="406"/>
      <c r="L9" s="433"/>
      <c r="M9" s="407"/>
      <c r="AA9" s="398"/>
      <c r="AB9" s="398"/>
      <c r="AC9" s="398"/>
      <c r="AD9" s="398"/>
      <c r="AE9" s="398"/>
      <c r="AF9" s="398"/>
      <c r="AG9" s="398"/>
      <c r="AH9" s="398"/>
      <c r="AI9" s="398"/>
      <c r="AJ9" s="398"/>
      <c r="AK9" s="398"/>
      <c r="AL9" s="398"/>
      <c r="AM9" s="398"/>
      <c r="AN9" s="398"/>
      <c r="AO9" s="398"/>
      <c r="AP9" s="409"/>
      <c r="AQ9" s="397" t="s">
        <v>710</v>
      </c>
      <c r="AR9" s="392">
        <f>1/12</f>
        <v>8.3333333333333329E-2</v>
      </c>
      <c r="AS9" s="397" t="s">
        <v>833</v>
      </c>
      <c r="AT9" s="396">
        <f>1/144</f>
        <v>6.9444444444444441E-3</v>
      </c>
      <c r="AU9" s="398"/>
      <c r="AV9" s="392"/>
      <c r="AW9" s="396"/>
      <c r="AX9" s="396"/>
      <c r="AY9" s="396"/>
      <c r="AZ9" s="409"/>
      <c r="BA9" s="397" t="s">
        <v>912</v>
      </c>
      <c r="BB9" s="392">
        <f>0.001*BB8</f>
        <v>3.4121416</v>
      </c>
      <c r="BC9" s="398"/>
      <c r="BD9" s="392"/>
      <c r="BE9" s="408"/>
      <c r="BF9" s="398"/>
      <c r="BG9" s="398"/>
      <c r="BH9" s="398"/>
      <c r="BI9" s="398"/>
      <c r="BJ9" s="409"/>
      <c r="BK9" s="397" t="s">
        <v>913</v>
      </c>
      <c r="BL9" s="410">
        <f>3600*BL8</f>
        <v>2048.161392</v>
      </c>
      <c r="BM9" s="398"/>
      <c r="BN9" s="398"/>
      <c r="BO9" s="398"/>
      <c r="BP9" s="409"/>
      <c r="BQ9" s="398" t="s">
        <v>914</v>
      </c>
      <c r="BR9" s="398">
        <v>62.427960599999999</v>
      </c>
      <c r="BS9" s="398"/>
      <c r="BT9" s="398"/>
      <c r="BU9" s="398"/>
      <c r="BV9" s="409"/>
      <c r="BW9" s="398" t="s">
        <v>915</v>
      </c>
      <c r="BX9" s="398">
        <f>1/0.1450377/0.3048^3*519.67/459.67</f>
        <v>275.26797833955135</v>
      </c>
      <c r="BY9" s="397" t="s">
        <v>916</v>
      </c>
      <c r="BZ9" s="402">
        <f>BZ8*519.67/459.67</f>
        <v>0.10520497104539867</v>
      </c>
      <c r="CA9" s="397"/>
      <c r="CB9" s="402"/>
    </row>
    <row r="10" spans="1:80" ht="18" customHeight="1" x14ac:dyDescent="0.2">
      <c r="A10" s="384"/>
      <c r="B10" s="384">
        <v>5</v>
      </c>
      <c r="C10" s="403"/>
      <c r="D10" s="404" t="s">
        <v>917</v>
      </c>
      <c r="E10" s="939"/>
      <c r="F10" s="939"/>
      <c r="G10" s="387"/>
      <c r="H10" s="387"/>
      <c r="I10" s="387"/>
      <c r="J10" s="387"/>
      <c r="K10" s="406"/>
      <c r="L10" s="433"/>
      <c r="M10" s="407"/>
      <c r="AA10" s="409"/>
      <c r="AB10" s="398"/>
      <c r="AC10" s="398"/>
      <c r="AD10" s="398"/>
      <c r="AE10" s="398"/>
      <c r="AF10" s="398"/>
      <c r="AG10" s="398"/>
      <c r="AH10" s="398"/>
      <c r="AI10" s="398"/>
      <c r="AJ10" s="398"/>
      <c r="AK10" s="398"/>
      <c r="AL10" s="398"/>
      <c r="AM10" s="398"/>
      <c r="AN10" s="411"/>
      <c r="AO10" s="411"/>
      <c r="AP10" s="398"/>
      <c r="AQ10" s="398"/>
      <c r="AR10" s="398"/>
      <c r="AS10" s="398"/>
      <c r="AT10" s="398"/>
      <c r="AU10" s="398"/>
      <c r="AV10" s="392"/>
      <c r="AW10" s="396"/>
      <c r="AX10" s="396"/>
      <c r="AY10" s="396"/>
      <c r="AZ10" s="396"/>
      <c r="BA10" s="396"/>
      <c r="BB10" s="396"/>
      <c r="BC10" s="392"/>
      <c r="BD10" s="392"/>
      <c r="BE10" s="408"/>
      <c r="BF10" s="392"/>
      <c r="BG10" s="392"/>
      <c r="BH10" s="398"/>
      <c r="BI10" s="398"/>
      <c r="BJ10" s="409"/>
      <c r="BK10" s="397" t="s">
        <v>918</v>
      </c>
      <c r="BL10" s="392">
        <f>1422.33432998196/25</f>
        <v>56.8933731992784</v>
      </c>
      <c r="BM10" s="398"/>
      <c r="BN10" s="398"/>
      <c r="BO10" s="398"/>
      <c r="BP10" s="398"/>
      <c r="BQ10" s="398"/>
      <c r="BR10" s="398"/>
      <c r="BS10" s="398"/>
      <c r="BT10" s="398"/>
      <c r="BU10" s="398"/>
      <c r="BV10" s="409"/>
      <c r="BW10" s="398"/>
      <c r="BX10" s="398"/>
      <c r="BY10" s="397" t="s">
        <v>919</v>
      </c>
      <c r="BZ10" s="402">
        <f>BZ7/24</f>
        <v>1.0979648124236915E-4</v>
      </c>
      <c r="CA10" s="397"/>
      <c r="CB10" s="402"/>
    </row>
    <row r="11" spans="1:80" ht="18" customHeight="1" x14ac:dyDescent="0.2">
      <c r="A11" s="384"/>
      <c r="B11" s="384">
        <v>6</v>
      </c>
      <c r="C11" s="403"/>
      <c r="D11" s="404" t="s">
        <v>920</v>
      </c>
      <c r="E11" s="939"/>
      <c r="F11" s="939"/>
      <c r="G11" s="387"/>
      <c r="H11" s="387"/>
      <c r="I11" s="387"/>
      <c r="J11" s="387"/>
      <c r="K11" s="406"/>
      <c r="L11" s="433"/>
      <c r="M11" s="407"/>
      <c r="AA11" s="409"/>
      <c r="AB11" s="409"/>
      <c r="AC11" s="398"/>
      <c r="AD11" s="398"/>
      <c r="AE11" s="398"/>
      <c r="AF11" s="398"/>
      <c r="AG11" s="412"/>
      <c r="AH11" s="398"/>
      <c r="AI11" s="398"/>
      <c r="AJ11" s="398"/>
      <c r="AK11" s="398"/>
      <c r="AL11" s="398"/>
      <c r="AM11" s="398"/>
      <c r="AN11" s="411"/>
      <c r="AO11" s="411"/>
      <c r="AP11" s="398"/>
      <c r="AQ11" s="398"/>
      <c r="AR11" s="398"/>
      <c r="AS11" s="398"/>
      <c r="AT11" s="392"/>
      <c r="AU11" s="392"/>
      <c r="AV11" s="392"/>
      <c r="AW11" s="396"/>
      <c r="AX11" s="396"/>
      <c r="AY11" s="396"/>
      <c r="AZ11" s="396"/>
      <c r="BA11" s="396"/>
      <c r="BB11" s="396"/>
      <c r="BC11" s="392"/>
      <c r="BD11" s="392"/>
      <c r="BE11" s="408"/>
      <c r="BF11" s="392"/>
      <c r="BG11" s="398"/>
      <c r="BH11" s="398"/>
      <c r="BI11" s="398"/>
      <c r="BJ11" s="409"/>
      <c r="BK11" s="397" t="s">
        <v>921</v>
      </c>
      <c r="BL11" s="392">
        <f>5120.40359/25</f>
        <v>204.8161436</v>
      </c>
      <c r="BM11" s="398"/>
      <c r="BN11" s="398"/>
      <c r="BO11" s="398"/>
      <c r="BP11" s="409"/>
      <c r="BQ11" s="398" t="s">
        <v>922</v>
      </c>
      <c r="BR11" s="398"/>
      <c r="BS11" s="398"/>
      <c r="BT11" s="398"/>
      <c r="BU11" s="398"/>
      <c r="BV11" s="409"/>
      <c r="BW11" s="398" t="s">
        <v>922</v>
      </c>
      <c r="BX11" s="398"/>
      <c r="BY11" s="397" t="s">
        <v>923</v>
      </c>
      <c r="BZ11" s="402">
        <f>BZ8/24</f>
        <v>3.8774261422664393E-3</v>
      </c>
      <c r="CA11" s="397"/>
      <c r="CB11" s="402"/>
    </row>
    <row r="12" spans="1:80" ht="18" customHeight="1" x14ac:dyDescent="0.2">
      <c r="A12" s="384"/>
      <c r="B12" s="384">
        <v>7</v>
      </c>
      <c r="C12" s="403"/>
      <c r="D12" s="404" t="s">
        <v>924</v>
      </c>
      <c r="E12" s="939"/>
      <c r="F12" s="939"/>
      <c r="G12" s="387"/>
      <c r="H12" s="387"/>
      <c r="I12" s="387"/>
      <c r="J12" s="387"/>
      <c r="K12" s="406"/>
      <c r="L12" s="433"/>
      <c r="M12" s="407"/>
      <c r="AA12" s="413"/>
      <c r="AB12" s="414"/>
      <c r="AC12" s="414"/>
      <c r="AD12" s="414"/>
      <c r="AE12" s="414"/>
      <c r="AF12" s="414"/>
      <c r="AG12" s="414"/>
      <c r="AH12" s="414"/>
      <c r="AI12" s="414"/>
      <c r="AJ12" s="414"/>
      <c r="AK12" s="414"/>
      <c r="AL12" s="414"/>
      <c r="AM12" s="414"/>
      <c r="AN12" s="415"/>
      <c r="AO12" s="415"/>
      <c r="AP12" s="414"/>
      <c r="AQ12" s="414"/>
      <c r="AR12" s="414"/>
      <c r="AS12" s="414"/>
      <c r="AT12" s="416"/>
      <c r="AU12" s="416"/>
      <c r="AV12" s="416"/>
      <c r="AW12" s="417"/>
      <c r="AX12" s="417"/>
      <c r="AY12" s="417"/>
      <c r="AZ12" s="417"/>
      <c r="BA12" s="417"/>
      <c r="BB12" s="417"/>
      <c r="BC12" s="416"/>
      <c r="BD12" s="416"/>
      <c r="BE12" s="418"/>
      <c r="BF12" s="416"/>
      <c r="BG12" s="414"/>
      <c r="BH12" s="414"/>
      <c r="BI12" s="414"/>
      <c r="BJ12" s="414"/>
      <c r="BK12" s="414"/>
      <c r="BL12" s="414"/>
      <c r="BM12" s="414"/>
      <c r="BN12" s="414"/>
      <c r="BO12" s="414"/>
      <c r="BP12" s="414"/>
      <c r="BQ12" s="414"/>
      <c r="BR12" s="414"/>
      <c r="BS12" s="414"/>
      <c r="BT12" s="414"/>
      <c r="BU12" s="414"/>
      <c r="BV12" s="413"/>
      <c r="BW12" s="414"/>
      <c r="BX12" s="414"/>
      <c r="BY12" s="419" t="s">
        <v>925</v>
      </c>
      <c r="BZ12" s="420">
        <f>BZ9/24</f>
        <v>4.3835404602249441E-3</v>
      </c>
      <c r="CA12" s="419"/>
      <c r="CB12" s="420"/>
    </row>
    <row r="13" spans="1:80" ht="18" customHeight="1" x14ac:dyDescent="0.2">
      <c r="A13" s="384"/>
      <c r="B13" s="384">
        <v>8</v>
      </c>
      <c r="C13" s="403"/>
      <c r="D13" s="386" t="s">
        <v>926</v>
      </c>
      <c r="E13" s="938"/>
      <c r="F13" s="938"/>
      <c r="G13" s="387" t="s">
        <v>927</v>
      </c>
      <c r="H13" s="387"/>
      <c r="I13" s="387"/>
      <c r="J13" s="387"/>
      <c r="K13" s="406"/>
      <c r="L13" s="433"/>
      <c r="M13" s="407"/>
    </row>
    <row r="14" spans="1:80" ht="18" customHeight="1" x14ac:dyDescent="0.2">
      <c r="A14" s="384"/>
      <c r="B14" s="384">
        <v>9</v>
      </c>
      <c r="C14" s="403"/>
      <c r="D14" s="404" t="s">
        <v>928</v>
      </c>
      <c r="E14" s="939"/>
      <c r="F14" s="939"/>
      <c r="G14" s="387"/>
      <c r="H14" s="387"/>
      <c r="I14" s="387"/>
      <c r="J14" s="387"/>
      <c r="K14" s="406"/>
      <c r="L14" s="433"/>
      <c r="M14" s="407"/>
    </row>
    <row r="15" spans="1:80" ht="18" customHeight="1" x14ac:dyDescent="0.2">
      <c r="A15" s="384"/>
      <c r="B15" s="384">
        <v>10</v>
      </c>
      <c r="C15" s="403"/>
      <c r="D15" s="386" t="s">
        <v>929</v>
      </c>
      <c r="E15" s="938"/>
      <c r="F15" s="938"/>
      <c r="G15" s="387" t="s">
        <v>927</v>
      </c>
      <c r="H15" s="387"/>
      <c r="I15" s="387"/>
      <c r="J15" s="387"/>
      <c r="K15" s="406"/>
      <c r="L15" s="433"/>
      <c r="M15" s="407"/>
    </row>
    <row r="16" spans="1:80" ht="18" customHeight="1" x14ac:dyDescent="0.2">
      <c r="A16" s="384"/>
      <c r="B16" s="384">
        <v>11</v>
      </c>
      <c r="C16" s="403"/>
      <c r="D16" s="386" t="s">
        <v>930</v>
      </c>
      <c r="E16" s="939"/>
      <c r="F16" s="939"/>
      <c r="G16" s="388"/>
      <c r="H16" s="388"/>
      <c r="I16" s="387"/>
      <c r="J16" s="387"/>
      <c r="K16" s="406"/>
      <c r="L16" s="433"/>
      <c r="M16" s="407"/>
      <c r="AA16" s="421" t="s">
        <v>931</v>
      </c>
    </row>
    <row r="17" spans="1:27" ht="18" customHeight="1" x14ac:dyDescent="0.2">
      <c r="A17" s="384"/>
      <c r="B17" s="422">
        <v>12</v>
      </c>
      <c r="D17" s="423" t="s">
        <v>932</v>
      </c>
      <c r="E17" s="940"/>
      <c r="F17" s="939"/>
      <c r="I17" s="387"/>
      <c r="J17" s="387"/>
      <c r="K17" s="406"/>
      <c r="L17" s="433"/>
      <c r="M17" s="407"/>
      <c r="AA17" s="421" t="s">
        <v>933</v>
      </c>
    </row>
    <row r="18" spans="1:27" ht="18" customHeight="1" x14ac:dyDescent="0.2">
      <c r="A18" s="384"/>
      <c r="B18" s="422">
        <v>13</v>
      </c>
      <c r="C18" s="951" t="s">
        <v>934</v>
      </c>
      <c r="D18" s="952"/>
      <c r="E18" s="953"/>
      <c r="F18" s="387"/>
      <c r="G18" s="387"/>
      <c r="H18" s="387"/>
      <c r="I18" s="387"/>
      <c r="J18" s="387"/>
      <c r="K18" s="406"/>
      <c r="L18" s="433"/>
      <c r="M18" s="407"/>
      <c r="AA18" s="421" t="s">
        <v>935</v>
      </c>
    </row>
    <row r="19" spans="1:27" ht="18" customHeight="1" x14ac:dyDescent="0.2">
      <c r="A19" s="384"/>
      <c r="B19" s="422">
        <v>14</v>
      </c>
      <c r="C19" s="385"/>
      <c r="D19" s="386" t="s">
        <v>936</v>
      </c>
      <c r="E19" s="942"/>
      <c r="F19" s="939"/>
      <c r="G19" s="939"/>
      <c r="H19" s="387"/>
      <c r="I19" s="387"/>
      <c r="J19" s="387"/>
      <c r="K19" s="406"/>
      <c r="L19" s="433"/>
      <c r="M19" s="407"/>
    </row>
    <row r="20" spans="1:27" ht="18" customHeight="1" x14ac:dyDescent="0.2">
      <c r="A20" s="384"/>
      <c r="B20" s="422">
        <v>15</v>
      </c>
      <c r="C20" s="403"/>
      <c r="D20" s="404" t="s">
        <v>937</v>
      </c>
      <c r="E20" s="939"/>
      <c r="F20" s="939"/>
      <c r="G20" s="387"/>
      <c r="H20" s="387"/>
      <c r="I20" s="387"/>
      <c r="J20" s="387"/>
      <c r="K20" s="406"/>
      <c r="L20" s="433"/>
      <c r="M20" s="407"/>
    </row>
    <row r="21" spans="1:27" ht="18" customHeight="1" x14ac:dyDescent="0.2">
      <c r="A21" s="384"/>
      <c r="B21" s="422">
        <v>16</v>
      </c>
      <c r="C21" s="403"/>
      <c r="D21" s="404" t="s">
        <v>938</v>
      </c>
      <c r="E21" s="941"/>
      <c r="F21" s="941"/>
      <c r="H21" s="387"/>
      <c r="I21" s="387"/>
      <c r="J21" s="387"/>
      <c r="K21" s="406"/>
      <c r="L21" s="433"/>
      <c r="M21" s="407"/>
    </row>
    <row r="22" spans="1:27" ht="18" customHeight="1" x14ac:dyDescent="0.2">
      <c r="A22" s="384"/>
      <c r="B22" s="422">
        <v>17</v>
      </c>
      <c r="G22" s="387"/>
      <c r="H22" s="387"/>
      <c r="I22" s="387"/>
      <c r="J22" s="387"/>
      <c r="K22" s="406"/>
      <c r="L22" s="433"/>
      <c r="M22" s="407"/>
    </row>
    <row r="23" spans="1:27" ht="18" customHeight="1" x14ac:dyDescent="0.2">
      <c r="A23" s="384"/>
      <c r="B23" s="422">
        <v>18</v>
      </c>
      <c r="C23" s="424"/>
      <c r="D23" s="388"/>
      <c r="E23" s="388"/>
      <c r="F23" s="388"/>
      <c r="G23" s="388"/>
      <c r="H23" s="387"/>
      <c r="I23" s="387"/>
      <c r="J23" s="425"/>
      <c r="K23" s="406"/>
      <c r="L23" s="433"/>
      <c r="M23" s="407"/>
    </row>
    <row r="24" spans="1:27" ht="18" customHeight="1" x14ac:dyDescent="0.2">
      <c r="A24" s="384"/>
      <c r="B24" s="422">
        <v>19</v>
      </c>
      <c r="C24" s="424"/>
      <c r="D24" s="388"/>
      <c r="E24" s="388"/>
      <c r="F24" s="388"/>
      <c r="G24" s="388"/>
      <c r="H24" s="426"/>
      <c r="I24" s="387"/>
      <c r="J24" s="427"/>
      <c r="K24" s="406"/>
      <c r="L24" s="433"/>
      <c r="M24" s="407"/>
    </row>
    <row r="25" spans="1:27" ht="18" customHeight="1" x14ac:dyDescent="0.2">
      <c r="A25" s="384"/>
      <c r="B25" s="422">
        <v>20</v>
      </c>
      <c r="C25" s="424"/>
      <c r="D25" s="388"/>
      <c r="E25" s="388"/>
      <c r="F25" s="388"/>
      <c r="G25" s="388"/>
      <c r="H25" s="426"/>
      <c r="I25" s="387"/>
      <c r="J25" s="388"/>
      <c r="K25" s="406"/>
      <c r="L25" s="433"/>
      <c r="M25" s="362"/>
    </row>
    <row r="26" spans="1:27" ht="18" customHeight="1" x14ac:dyDescent="0.2">
      <c r="A26" s="384"/>
      <c r="B26" s="422">
        <v>21</v>
      </c>
      <c r="C26" s="424"/>
      <c r="D26" s="388"/>
      <c r="E26" s="388"/>
      <c r="F26" s="388"/>
      <c r="G26" s="388"/>
      <c r="H26" s="387"/>
      <c r="I26" s="387"/>
      <c r="J26" s="387"/>
      <c r="K26" s="406"/>
      <c r="L26" s="433"/>
      <c r="M26" s="362"/>
    </row>
    <row r="27" spans="1:27" ht="18" customHeight="1" x14ac:dyDescent="0.2">
      <c r="A27" s="384"/>
      <c r="B27" s="422">
        <v>22</v>
      </c>
      <c r="C27" s="424"/>
      <c r="D27" s="388"/>
      <c r="E27" s="388"/>
      <c r="F27" s="388"/>
      <c r="G27" s="388"/>
      <c r="H27" s="387"/>
      <c r="I27" s="387"/>
      <c r="J27" s="387"/>
      <c r="K27" s="406"/>
      <c r="L27" s="433"/>
      <c r="M27" s="407"/>
    </row>
    <row r="28" spans="1:27" ht="18" customHeight="1" x14ac:dyDescent="0.2">
      <c r="A28" s="384"/>
      <c r="B28" s="422">
        <v>23</v>
      </c>
      <c r="C28" s="424"/>
      <c r="D28" s="388"/>
      <c r="E28" s="388"/>
      <c r="F28" s="388"/>
      <c r="G28" s="388"/>
      <c r="H28" s="388"/>
      <c r="I28" s="387"/>
      <c r="J28" s="387"/>
      <c r="K28" s="406"/>
      <c r="L28" s="433"/>
      <c r="M28" s="362"/>
    </row>
    <row r="29" spans="1:27" ht="18" customHeight="1" x14ac:dyDescent="0.2">
      <c r="A29" s="384"/>
      <c r="B29" s="422"/>
      <c r="C29" s="424"/>
      <c r="D29" s="388"/>
      <c r="E29" s="388"/>
      <c r="F29" s="388"/>
      <c r="G29" s="388"/>
      <c r="H29" s="388"/>
      <c r="I29" s="387"/>
      <c r="J29" s="387"/>
      <c r="K29" s="406"/>
      <c r="L29" s="433"/>
      <c r="M29" s="362"/>
    </row>
    <row r="30" spans="1:27" ht="18" customHeight="1" x14ac:dyDescent="0.2">
      <c r="A30" s="384"/>
      <c r="B30" s="422">
        <v>24</v>
      </c>
      <c r="C30" s="424"/>
      <c r="D30" s="388"/>
      <c r="E30" s="388"/>
      <c r="F30" s="388"/>
      <c r="G30" s="388"/>
      <c r="H30" s="388"/>
      <c r="I30" s="387"/>
      <c r="J30" s="387"/>
      <c r="K30" s="406"/>
      <c r="L30" s="433"/>
      <c r="M30" s="405"/>
    </row>
    <row r="31" spans="1:27" ht="40.5" customHeight="1" x14ac:dyDescent="0.2">
      <c r="A31" s="384"/>
      <c r="B31" s="422">
        <v>25</v>
      </c>
      <c r="C31" s="424"/>
      <c r="D31" s="388"/>
      <c r="E31" s="388"/>
      <c r="F31" s="388"/>
      <c r="G31" s="388"/>
      <c r="H31" s="388"/>
      <c r="I31" s="387"/>
      <c r="J31" s="387"/>
      <c r="K31" s="406"/>
      <c r="L31" s="433"/>
      <c r="M31" s="428"/>
    </row>
    <row r="32" spans="1:27" ht="18" customHeight="1" x14ac:dyDescent="0.2">
      <c r="A32" s="384"/>
      <c r="B32" s="422">
        <v>26</v>
      </c>
      <c r="C32" s="424"/>
      <c r="D32" s="388"/>
      <c r="E32" s="388"/>
      <c r="F32" s="388"/>
      <c r="G32" s="388"/>
      <c r="H32" s="388"/>
      <c r="I32" s="387"/>
      <c r="J32" s="387"/>
      <c r="K32" s="406"/>
      <c r="L32" s="433"/>
      <c r="M32" s="428"/>
    </row>
    <row r="33" spans="1:13" ht="18" customHeight="1" x14ac:dyDescent="0.2">
      <c r="A33" s="384"/>
      <c r="B33" s="422">
        <v>27</v>
      </c>
      <c r="C33" s="424"/>
      <c r="D33" s="388"/>
      <c r="E33" s="388"/>
      <c r="F33" s="388"/>
      <c r="G33" s="388"/>
      <c r="H33" s="388"/>
      <c r="I33" s="387"/>
      <c r="J33" s="387"/>
      <c r="K33" s="406"/>
      <c r="L33" s="433"/>
      <c r="M33" s="429"/>
    </row>
    <row r="34" spans="1:13" ht="18" customHeight="1" x14ac:dyDescent="0.2">
      <c r="A34" s="384"/>
      <c r="B34" s="422">
        <v>28</v>
      </c>
      <c r="C34" s="424"/>
      <c r="D34" s="388"/>
      <c r="E34" s="388"/>
      <c r="F34" s="388"/>
      <c r="G34" s="388"/>
      <c r="H34" s="388"/>
      <c r="I34" s="387"/>
      <c r="J34" s="387"/>
      <c r="K34" s="406"/>
      <c r="L34" s="433"/>
      <c r="M34" s="429"/>
    </row>
    <row r="35" spans="1:13" ht="18" customHeight="1" x14ac:dyDescent="0.2">
      <c r="A35" s="384"/>
      <c r="B35" s="422">
        <v>29</v>
      </c>
      <c r="C35" s="424"/>
      <c r="D35" s="388"/>
      <c r="E35" s="388"/>
      <c r="F35" s="388"/>
      <c r="G35" s="388"/>
      <c r="H35" s="388"/>
      <c r="I35" s="387"/>
      <c r="J35" s="387"/>
      <c r="K35" s="406"/>
      <c r="L35" s="433"/>
      <c r="M35" s="429"/>
    </row>
    <row r="36" spans="1:13" ht="18" customHeight="1" x14ac:dyDescent="0.2">
      <c r="A36" s="384"/>
      <c r="B36" s="422">
        <v>30</v>
      </c>
      <c r="C36" s="424"/>
      <c r="D36" s="388"/>
      <c r="E36" s="388"/>
      <c r="F36" s="388"/>
      <c r="G36" s="388"/>
      <c r="H36" s="388"/>
      <c r="I36" s="387"/>
      <c r="J36" s="387"/>
      <c r="K36" s="406"/>
      <c r="L36" s="433"/>
      <c r="M36" s="429"/>
    </row>
    <row r="37" spans="1:13" ht="18" customHeight="1" x14ac:dyDescent="0.2">
      <c r="A37" s="384"/>
      <c r="B37" s="422">
        <v>31</v>
      </c>
      <c r="C37" s="424"/>
      <c r="D37" s="388"/>
      <c r="E37" s="388"/>
      <c r="F37" s="388"/>
      <c r="G37" s="388"/>
      <c r="H37" s="388"/>
      <c r="I37" s="387"/>
      <c r="J37" s="387"/>
      <c r="K37" s="406"/>
      <c r="L37" s="433"/>
      <c r="M37" s="429"/>
    </row>
    <row r="38" spans="1:13" ht="18" customHeight="1" x14ac:dyDescent="0.2">
      <c r="A38" s="384"/>
      <c r="B38" s="422">
        <v>32</v>
      </c>
      <c r="C38" s="424"/>
      <c r="D38" s="388"/>
      <c r="E38" s="388"/>
      <c r="F38" s="388"/>
      <c r="G38" s="388"/>
      <c r="H38" s="388"/>
      <c r="I38" s="387"/>
      <c r="J38" s="387"/>
      <c r="K38" s="406"/>
      <c r="L38" s="433"/>
      <c r="M38" s="429"/>
    </row>
    <row r="39" spans="1:13" ht="18" customHeight="1" x14ac:dyDescent="0.2">
      <c r="A39" s="424"/>
      <c r="B39" s="349"/>
      <c r="C39" s="424"/>
      <c r="D39" s="388"/>
      <c r="E39" s="388"/>
      <c r="F39" s="388"/>
      <c r="G39" s="388"/>
      <c r="H39" s="388"/>
      <c r="I39" s="387"/>
      <c r="J39" s="387"/>
      <c r="K39" s="406"/>
      <c r="L39" s="433"/>
      <c r="M39" s="387"/>
    </row>
    <row r="40" spans="1:13" ht="16.5" customHeight="1" x14ac:dyDescent="0.2">
      <c r="A40" s="424"/>
      <c r="B40" s="388"/>
      <c r="C40" s="388"/>
      <c r="D40" s="388"/>
      <c r="E40" s="388"/>
      <c r="F40" s="388"/>
      <c r="G40" s="388"/>
      <c r="H40" s="388"/>
      <c r="I40" s="388"/>
      <c r="J40" s="388"/>
      <c r="K40" s="388"/>
      <c r="L40" s="388"/>
      <c r="M40" s="430"/>
    </row>
    <row r="41" spans="1:13" ht="18" customHeight="1" x14ac:dyDescent="0.2">
      <c r="A41" s="424"/>
      <c r="B41" s="388"/>
      <c r="C41" s="388"/>
      <c r="D41" s="388"/>
      <c r="E41" s="388"/>
      <c r="F41" s="388"/>
      <c r="G41" s="388"/>
      <c r="H41" s="388"/>
      <c r="I41" s="388"/>
      <c r="J41" s="388"/>
      <c r="K41" s="388"/>
      <c r="L41" s="388"/>
      <c r="M41" s="430"/>
    </row>
    <row r="42" spans="1:13" ht="18" customHeight="1" x14ac:dyDescent="0.2">
      <c r="A42" s="388"/>
      <c r="B42" s="388"/>
      <c r="C42" s="388"/>
      <c r="D42" s="388"/>
      <c r="E42" s="388"/>
      <c r="F42" s="388"/>
      <c r="G42" s="388"/>
      <c r="H42" s="388"/>
      <c r="I42" s="388"/>
      <c r="J42" s="388"/>
      <c r="K42" s="388"/>
      <c r="L42" s="388"/>
      <c r="M42" s="430"/>
    </row>
    <row r="43" spans="1:13" ht="18" customHeight="1" x14ac:dyDescent="0.2">
      <c r="A43" s="388"/>
      <c r="B43" s="388"/>
      <c r="C43" s="388"/>
      <c r="D43" s="388"/>
      <c r="E43" s="388"/>
      <c r="F43" s="388"/>
      <c r="G43" s="388"/>
      <c r="H43" s="388"/>
      <c r="I43" s="388"/>
      <c r="J43" s="388"/>
      <c r="K43" s="388"/>
      <c r="L43" s="388"/>
      <c r="M43" s="430"/>
    </row>
    <row r="44" spans="1:13" ht="18" customHeight="1" x14ac:dyDescent="0.2">
      <c r="A44" s="388"/>
      <c r="B44" s="388"/>
      <c r="C44" s="388"/>
      <c r="D44" s="388"/>
      <c r="E44" s="388"/>
      <c r="F44" s="388"/>
      <c r="G44" s="388"/>
      <c r="H44" s="388"/>
      <c r="I44" s="388"/>
      <c r="J44" s="388"/>
      <c r="K44" s="388"/>
      <c r="L44" s="388"/>
      <c r="M44" s="430"/>
    </row>
    <row r="45" spans="1:13" ht="18" customHeight="1" x14ac:dyDescent="0.2">
      <c r="A45" s="388"/>
      <c r="B45" s="388"/>
      <c r="C45" s="388"/>
      <c r="D45" s="388"/>
      <c r="E45" s="388"/>
      <c r="F45" s="388"/>
      <c r="G45" s="388"/>
      <c r="H45" s="388"/>
      <c r="I45" s="388"/>
      <c r="J45" s="388"/>
      <c r="K45" s="388"/>
      <c r="L45" s="388"/>
      <c r="M45" s="430"/>
    </row>
    <row r="46" spans="1:13" ht="18" customHeight="1" x14ac:dyDescent="0.2">
      <c r="A46" s="388"/>
      <c r="B46" s="388"/>
      <c r="C46" s="388"/>
      <c r="D46" s="388"/>
      <c r="E46" s="388"/>
      <c r="F46" s="388"/>
      <c r="G46" s="388"/>
      <c r="H46" s="388"/>
      <c r="I46" s="388"/>
      <c r="J46" s="388"/>
      <c r="K46" s="388"/>
      <c r="L46" s="388"/>
      <c r="M46" s="430"/>
    </row>
    <row r="47" spans="1:13" ht="18" customHeight="1" x14ac:dyDescent="0.2">
      <c r="A47" s="388"/>
      <c r="B47" s="388"/>
      <c r="C47" s="388"/>
      <c r="D47" s="388"/>
      <c r="E47" s="388"/>
      <c r="F47" s="388"/>
      <c r="G47" s="388"/>
      <c r="H47" s="388"/>
      <c r="I47" s="388"/>
      <c r="J47" s="388"/>
      <c r="K47" s="388"/>
      <c r="L47" s="388"/>
      <c r="M47" s="430"/>
    </row>
    <row r="48" spans="1:13" ht="18" customHeight="1" x14ac:dyDescent="0.2">
      <c r="A48" s="388"/>
      <c r="B48" s="388"/>
      <c r="C48" s="388"/>
      <c r="D48" s="388"/>
      <c r="E48" s="388"/>
      <c r="F48" s="388"/>
      <c r="G48" s="388"/>
      <c r="H48" s="388"/>
      <c r="I48" s="388"/>
      <c r="J48" s="388"/>
      <c r="K48" s="388"/>
      <c r="L48" s="388"/>
      <c r="M48" s="430"/>
    </row>
    <row r="49" spans="1:13" ht="18" customHeight="1" x14ac:dyDescent="0.2">
      <c r="A49" s="388"/>
      <c r="B49" s="388"/>
      <c r="C49" s="388"/>
      <c r="D49" s="388"/>
      <c r="E49" s="388"/>
      <c r="F49" s="388"/>
      <c r="G49" s="388"/>
      <c r="H49" s="388"/>
      <c r="I49" s="388"/>
      <c r="J49" s="388"/>
      <c r="K49" s="388"/>
      <c r="L49" s="388"/>
      <c r="M49" s="430"/>
    </row>
    <row r="50" spans="1:13" ht="18" customHeight="1" x14ac:dyDescent="0.2">
      <c r="A50" s="388"/>
      <c r="B50" s="388"/>
      <c r="C50" s="388"/>
      <c r="D50" s="388"/>
      <c r="E50" s="388"/>
      <c r="F50" s="388"/>
      <c r="G50" s="388"/>
      <c r="H50" s="388"/>
      <c r="I50" s="388"/>
      <c r="J50" s="388"/>
      <c r="K50" s="388"/>
      <c r="L50" s="388"/>
      <c r="M50" s="430"/>
    </row>
    <row r="51" spans="1:13" ht="18" customHeight="1" x14ac:dyDescent="0.2">
      <c r="A51" s="388"/>
      <c r="B51" s="388"/>
      <c r="C51" s="388"/>
      <c r="D51" s="388"/>
      <c r="E51" s="388"/>
      <c r="F51" s="388"/>
      <c r="G51" s="388"/>
      <c r="H51" s="388"/>
      <c r="I51" s="388"/>
      <c r="J51" s="388"/>
      <c r="K51" s="388"/>
      <c r="L51" s="388"/>
      <c r="M51" s="430"/>
    </row>
    <row r="52" spans="1:13" ht="18" customHeight="1" x14ac:dyDescent="0.2">
      <c r="A52" s="388"/>
      <c r="B52" s="388"/>
      <c r="C52" s="388"/>
      <c r="D52" s="388"/>
      <c r="E52" s="388"/>
      <c r="F52" s="388"/>
      <c r="G52" s="388"/>
      <c r="H52" s="388"/>
      <c r="I52" s="388"/>
      <c r="J52" s="388"/>
      <c r="K52" s="388"/>
      <c r="L52" s="388"/>
      <c r="M52" s="430"/>
    </row>
    <row r="53" spans="1:13" ht="18" customHeight="1" x14ac:dyDescent="0.2">
      <c r="A53" s="388"/>
      <c r="B53" s="388"/>
      <c r="C53" s="388"/>
      <c r="D53" s="388"/>
      <c r="E53" s="388"/>
      <c r="F53" s="388"/>
      <c r="G53" s="388"/>
      <c r="H53" s="388"/>
      <c r="I53" s="388"/>
      <c r="J53" s="388"/>
      <c r="K53" s="388"/>
      <c r="L53" s="388"/>
      <c r="M53" s="430"/>
    </row>
    <row r="54" spans="1:13" ht="18" customHeight="1" x14ac:dyDescent="0.2">
      <c r="A54" s="388"/>
      <c r="B54" s="388"/>
      <c r="C54" s="388"/>
      <c r="D54" s="388"/>
      <c r="E54" s="388"/>
      <c r="F54" s="388"/>
      <c r="G54" s="388"/>
      <c r="H54" s="388"/>
      <c r="I54" s="388"/>
      <c r="J54" s="388"/>
      <c r="K54" s="388"/>
      <c r="L54" s="388"/>
      <c r="M54" s="430"/>
    </row>
    <row r="55" spans="1:13" ht="18" customHeight="1" x14ac:dyDescent="0.2">
      <c r="M55" s="430"/>
    </row>
    <row r="56" spans="1:13" ht="18" customHeight="1" x14ac:dyDescent="0.2">
      <c r="M56" s="430"/>
    </row>
    <row r="57" spans="1:13" ht="18" customHeight="1" x14ac:dyDescent="0.2">
      <c r="M57" s="430"/>
    </row>
    <row r="58" spans="1:13" ht="18" customHeight="1" x14ac:dyDescent="0.2">
      <c r="M58" s="430"/>
    </row>
    <row r="59" spans="1:13" ht="18" customHeight="1" x14ac:dyDescent="0.2">
      <c r="M59" s="430"/>
    </row>
    <row r="60" spans="1:13" ht="18" customHeight="1" x14ac:dyDescent="0.2">
      <c r="M60" s="430"/>
    </row>
    <row r="61" spans="1:13" ht="18" customHeight="1" x14ac:dyDescent="0.2">
      <c r="M61" s="430"/>
    </row>
    <row r="62" spans="1:13" ht="18" customHeight="1" x14ac:dyDescent="0.2">
      <c r="M62" s="430"/>
    </row>
    <row r="63" spans="1:13" ht="18" customHeight="1" x14ac:dyDescent="0.2">
      <c r="M63" s="387"/>
    </row>
    <row r="64" spans="1:13" ht="18" customHeight="1" x14ac:dyDescent="0.2"/>
    <row r="65" spans="5:13" ht="18" customHeight="1" x14ac:dyDescent="0.2"/>
    <row r="66" spans="5:13" ht="18" customHeight="1" x14ac:dyDescent="0.2">
      <c r="E66" s="431"/>
    </row>
    <row r="67" spans="5:13" ht="18" customHeight="1" x14ac:dyDescent="0.2">
      <c r="E67" s="431"/>
    </row>
    <row r="68" spans="5:13" ht="18" customHeight="1" x14ac:dyDescent="0.2"/>
    <row r="69" spans="5:13" ht="18" customHeight="1" x14ac:dyDescent="0.2">
      <c r="M69" s="387"/>
    </row>
    <row r="70" spans="5:13" x14ac:dyDescent="0.2">
      <c r="M70" s="430"/>
    </row>
    <row r="71" spans="5:13" ht="18" customHeight="1" x14ac:dyDescent="0.2">
      <c r="M71" s="430"/>
    </row>
    <row r="72" spans="5:13" ht="18" customHeight="1" x14ac:dyDescent="0.2">
      <c r="M72" s="430"/>
    </row>
    <row r="73" spans="5:13" ht="18" customHeight="1" x14ac:dyDescent="0.2">
      <c r="M73" s="430"/>
    </row>
    <row r="74" spans="5:13" ht="18" customHeight="1" x14ac:dyDescent="0.2">
      <c r="M74" s="430"/>
    </row>
    <row r="75" spans="5:13" ht="18" customHeight="1" x14ac:dyDescent="0.2">
      <c r="M75" s="430"/>
    </row>
    <row r="76" spans="5:13" ht="18" customHeight="1" x14ac:dyDescent="0.2">
      <c r="M76" s="430"/>
    </row>
    <row r="79" spans="5:13" x14ac:dyDescent="0.2">
      <c r="E79" s="432"/>
      <c r="F79" s="432"/>
      <c r="G79" s="432"/>
      <c r="H79" s="432"/>
      <c r="I79" s="432"/>
      <c r="J79" s="432"/>
      <c r="K79" s="432"/>
      <c r="L79" s="432"/>
    </row>
  </sheetData>
  <mergeCells count="20">
    <mergeCell ref="E20:F20"/>
    <mergeCell ref="E21:F21"/>
    <mergeCell ref="E19:G19"/>
    <mergeCell ref="C2:L2"/>
    <mergeCell ref="I8:L8"/>
    <mergeCell ref="I7:L7"/>
    <mergeCell ref="C5:L5"/>
    <mergeCell ref="C18:E18"/>
    <mergeCell ref="E6:F6"/>
    <mergeCell ref="E7:F7"/>
    <mergeCell ref="E8:F8"/>
    <mergeCell ref="E9:F9"/>
    <mergeCell ref="E10:F10"/>
    <mergeCell ref="E11:F11"/>
    <mergeCell ref="E12:F12"/>
    <mergeCell ref="E13:F13"/>
    <mergeCell ref="E14:F14"/>
    <mergeCell ref="E15:F15"/>
    <mergeCell ref="E16:F16"/>
    <mergeCell ref="E17:F17"/>
  </mergeCells>
  <dataValidations count="23">
    <dataValidation type="list" allowBlank="1" showInputMessage="1" showErrorMessage="1" sqref="WVT983069 JH29 TD29 ACZ29 AMV29 AWR29 BGN29 BQJ29 CAF29 CKB29 CTX29 DDT29 DNP29 DXL29 EHH29 ERD29 FAZ29 FKV29 FUR29 GEN29 GOJ29 GYF29 HIB29 HRX29 IBT29 ILP29 IVL29 JFH29 JPD29 JYZ29 KIV29 KSR29 LCN29 LMJ29 LWF29 MGB29 MPX29 MZT29 NJP29 NTL29 ODH29 OND29 OWZ29 PGV29 PQR29 QAN29 QKJ29 QUF29 REB29 RNX29 RXT29 SHP29 SRL29 TBH29 TLD29 TUZ29 UEV29 UOR29 UYN29 VIJ29 VSF29 WCB29 WLX29 WVT29 L65565 JH65565 TD65565 ACZ65565 AMV65565 AWR65565 BGN65565 BQJ65565 CAF65565 CKB65565 CTX65565 DDT65565 DNP65565 DXL65565 EHH65565 ERD65565 FAZ65565 FKV65565 FUR65565 GEN65565 GOJ65565 GYF65565 HIB65565 HRX65565 IBT65565 ILP65565 IVL65565 JFH65565 JPD65565 JYZ65565 KIV65565 KSR65565 LCN65565 LMJ65565 LWF65565 MGB65565 MPX65565 MZT65565 NJP65565 NTL65565 ODH65565 OND65565 OWZ65565 PGV65565 PQR65565 QAN65565 QKJ65565 QUF65565 REB65565 RNX65565 RXT65565 SHP65565 SRL65565 TBH65565 TLD65565 TUZ65565 UEV65565 UOR65565 UYN65565 VIJ65565 VSF65565 WCB65565 WLX65565 WVT65565 L131101 JH131101 TD131101 ACZ131101 AMV131101 AWR131101 BGN131101 BQJ131101 CAF131101 CKB131101 CTX131101 DDT131101 DNP131101 DXL131101 EHH131101 ERD131101 FAZ131101 FKV131101 FUR131101 GEN131101 GOJ131101 GYF131101 HIB131101 HRX131101 IBT131101 ILP131101 IVL131101 JFH131101 JPD131101 JYZ131101 KIV131101 KSR131101 LCN131101 LMJ131101 LWF131101 MGB131101 MPX131101 MZT131101 NJP131101 NTL131101 ODH131101 OND131101 OWZ131101 PGV131101 PQR131101 QAN131101 QKJ131101 QUF131101 REB131101 RNX131101 RXT131101 SHP131101 SRL131101 TBH131101 TLD131101 TUZ131101 UEV131101 UOR131101 UYN131101 VIJ131101 VSF131101 WCB131101 WLX131101 WVT131101 L196637 JH196637 TD196637 ACZ196637 AMV196637 AWR196637 BGN196637 BQJ196637 CAF196637 CKB196637 CTX196637 DDT196637 DNP196637 DXL196637 EHH196637 ERD196637 FAZ196637 FKV196637 FUR196637 GEN196637 GOJ196637 GYF196637 HIB196637 HRX196637 IBT196637 ILP196637 IVL196637 JFH196637 JPD196637 JYZ196637 KIV196637 KSR196637 LCN196637 LMJ196637 LWF196637 MGB196637 MPX196637 MZT196637 NJP196637 NTL196637 ODH196637 OND196637 OWZ196637 PGV196637 PQR196637 QAN196637 QKJ196637 QUF196637 REB196637 RNX196637 RXT196637 SHP196637 SRL196637 TBH196637 TLD196637 TUZ196637 UEV196637 UOR196637 UYN196637 VIJ196637 VSF196637 WCB196637 WLX196637 WVT196637 L262173 JH262173 TD262173 ACZ262173 AMV262173 AWR262173 BGN262173 BQJ262173 CAF262173 CKB262173 CTX262173 DDT262173 DNP262173 DXL262173 EHH262173 ERD262173 FAZ262173 FKV262173 FUR262173 GEN262173 GOJ262173 GYF262173 HIB262173 HRX262173 IBT262173 ILP262173 IVL262173 JFH262173 JPD262173 JYZ262173 KIV262173 KSR262173 LCN262173 LMJ262173 LWF262173 MGB262173 MPX262173 MZT262173 NJP262173 NTL262173 ODH262173 OND262173 OWZ262173 PGV262173 PQR262173 QAN262173 QKJ262173 QUF262173 REB262173 RNX262173 RXT262173 SHP262173 SRL262173 TBH262173 TLD262173 TUZ262173 UEV262173 UOR262173 UYN262173 VIJ262173 VSF262173 WCB262173 WLX262173 WVT262173 L327709 JH327709 TD327709 ACZ327709 AMV327709 AWR327709 BGN327709 BQJ327709 CAF327709 CKB327709 CTX327709 DDT327709 DNP327709 DXL327709 EHH327709 ERD327709 FAZ327709 FKV327709 FUR327709 GEN327709 GOJ327709 GYF327709 HIB327709 HRX327709 IBT327709 ILP327709 IVL327709 JFH327709 JPD327709 JYZ327709 KIV327709 KSR327709 LCN327709 LMJ327709 LWF327709 MGB327709 MPX327709 MZT327709 NJP327709 NTL327709 ODH327709 OND327709 OWZ327709 PGV327709 PQR327709 QAN327709 QKJ327709 QUF327709 REB327709 RNX327709 RXT327709 SHP327709 SRL327709 TBH327709 TLD327709 TUZ327709 UEV327709 UOR327709 UYN327709 VIJ327709 VSF327709 WCB327709 WLX327709 WVT327709 L393245 JH393245 TD393245 ACZ393245 AMV393245 AWR393245 BGN393245 BQJ393245 CAF393245 CKB393245 CTX393245 DDT393245 DNP393245 DXL393245 EHH393245 ERD393245 FAZ393245 FKV393245 FUR393245 GEN393245 GOJ393245 GYF393245 HIB393245 HRX393245 IBT393245 ILP393245 IVL393245 JFH393245 JPD393245 JYZ393245 KIV393245 KSR393245 LCN393245 LMJ393245 LWF393245 MGB393245 MPX393245 MZT393245 NJP393245 NTL393245 ODH393245 OND393245 OWZ393245 PGV393245 PQR393245 QAN393245 QKJ393245 QUF393245 REB393245 RNX393245 RXT393245 SHP393245 SRL393245 TBH393245 TLD393245 TUZ393245 UEV393245 UOR393245 UYN393245 VIJ393245 VSF393245 WCB393245 WLX393245 WVT393245 L458781 JH458781 TD458781 ACZ458781 AMV458781 AWR458781 BGN458781 BQJ458781 CAF458781 CKB458781 CTX458781 DDT458781 DNP458781 DXL458781 EHH458781 ERD458781 FAZ458781 FKV458781 FUR458781 GEN458781 GOJ458781 GYF458781 HIB458781 HRX458781 IBT458781 ILP458781 IVL458781 JFH458781 JPD458781 JYZ458781 KIV458781 KSR458781 LCN458781 LMJ458781 LWF458781 MGB458781 MPX458781 MZT458781 NJP458781 NTL458781 ODH458781 OND458781 OWZ458781 PGV458781 PQR458781 QAN458781 QKJ458781 QUF458781 REB458781 RNX458781 RXT458781 SHP458781 SRL458781 TBH458781 TLD458781 TUZ458781 UEV458781 UOR458781 UYN458781 VIJ458781 VSF458781 WCB458781 WLX458781 WVT458781 L524317 JH524317 TD524317 ACZ524317 AMV524317 AWR524317 BGN524317 BQJ524317 CAF524317 CKB524317 CTX524317 DDT524317 DNP524317 DXL524317 EHH524317 ERD524317 FAZ524317 FKV524317 FUR524317 GEN524317 GOJ524317 GYF524317 HIB524317 HRX524317 IBT524317 ILP524317 IVL524317 JFH524317 JPD524317 JYZ524317 KIV524317 KSR524317 LCN524317 LMJ524317 LWF524317 MGB524317 MPX524317 MZT524317 NJP524317 NTL524317 ODH524317 OND524317 OWZ524317 PGV524317 PQR524317 QAN524317 QKJ524317 QUF524317 REB524317 RNX524317 RXT524317 SHP524317 SRL524317 TBH524317 TLD524317 TUZ524317 UEV524317 UOR524317 UYN524317 VIJ524317 VSF524317 WCB524317 WLX524317 WVT524317 L589853 JH589853 TD589853 ACZ589853 AMV589853 AWR589853 BGN589853 BQJ589853 CAF589853 CKB589853 CTX589853 DDT589853 DNP589853 DXL589853 EHH589853 ERD589853 FAZ589853 FKV589853 FUR589853 GEN589853 GOJ589853 GYF589853 HIB589853 HRX589853 IBT589853 ILP589853 IVL589853 JFH589853 JPD589853 JYZ589853 KIV589853 KSR589853 LCN589853 LMJ589853 LWF589853 MGB589853 MPX589853 MZT589853 NJP589853 NTL589853 ODH589853 OND589853 OWZ589853 PGV589853 PQR589853 QAN589853 QKJ589853 QUF589853 REB589853 RNX589853 RXT589853 SHP589853 SRL589853 TBH589853 TLD589853 TUZ589853 UEV589853 UOR589853 UYN589853 VIJ589853 VSF589853 WCB589853 WLX589853 WVT589853 L655389 JH655389 TD655389 ACZ655389 AMV655389 AWR655389 BGN655389 BQJ655389 CAF655389 CKB655389 CTX655389 DDT655389 DNP655389 DXL655389 EHH655389 ERD655389 FAZ655389 FKV655389 FUR655389 GEN655389 GOJ655389 GYF655389 HIB655389 HRX655389 IBT655389 ILP655389 IVL655389 JFH655389 JPD655389 JYZ655389 KIV655389 KSR655389 LCN655389 LMJ655389 LWF655389 MGB655389 MPX655389 MZT655389 NJP655389 NTL655389 ODH655389 OND655389 OWZ655389 PGV655389 PQR655389 QAN655389 QKJ655389 QUF655389 REB655389 RNX655389 RXT655389 SHP655389 SRL655389 TBH655389 TLD655389 TUZ655389 UEV655389 UOR655389 UYN655389 VIJ655389 VSF655389 WCB655389 WLX655389 WVT655389 L720925 JH720925 TD720925 ACZ720925 AMV720925 AWR720925 BGN720925 BQJ720925 CAF720925 CKB720925 CTX720925 DDT720925 DNP720925 DXL720925 EHH720925 ERD720925 FAZ720925 FKV720925 FUR720925 GEN720925 GOJ720925 GYF720925 HIB720925 HRX720925 IBT720925 ILP720925 IVL720925 JFH720925 JPD720925 JYZ720925 KIV720925 KSR720925 LCN720925 LMJ720925 LWF720925 MGB720925 MPX720925 MZT720925 NJP720925 NTL720925 ODH720925 OND720925 OWZ720925 PGV720925 PQR720925 QAN720925 QKJ720925 QUF720925 REB720925 RNX720925 RXT720925 SHP720925 SRL720925 TBH720925 TLD720925 TUZ720925 UEV720925 UOR720925 UYN720925 VIJ720925 VSF720925 WCB720925 WLX720925 WVT720925 L786461 JH786461 TD786461 ACZ786461 AMV786461 AWR786461 BGN786461 BQJ786461 CAF786461 CKB786461 CTX786461 DDT786461 DNP786461 DXL786461 EHH786461 ERD786461 FAZ786461 FKV786461 FUR786461 GEN786461 GOJ786461 GYF786461 HIB786461 HRX786461 IBT786461 ILP786461 IVL786461 JFH786461 JPD786461 JYZ786461 KIV786461 KSR786461 LCN786461 LMJ786461 LWF786461 MGB786461 MPX786461 MZT786461 NJP786461 NTL786461 ODH786461 OND786461 OWZ786461 PGV786461 PQR786461 QAN786461 QKJ786461 QUF786461 REB786461 RNX786461 RXT786461 SHP786461 SRL786461 TBH786461 TLD786461 TUZ786461 UEV786461 UOR786461 UYN786461 VIJ786461 VSF786461 WCB786461 WLX786461 WVT786461 L851997 JH851997 TD851997 ACZ851997 AMV851997 AWR851997 BGN851997 BQJ851997 CAF851997 CKB851997 CTX851997 DDT851997 DNP851997 DXL851997 EHH851997 ERD851997 FAZ851997 FKV851997 FUR851997 GEN851997 GOJ851997 GYF851997 HIB851997 HRX851997 IBT851997 ILP851997 IVL851997 JFH851997 JPD851997 JYZ851997 KIV851997 KSR851997 LCN851997 LMJ851997 LWF851997 MGB851997 MPX851997 MZT851997 NJP851997 NTL851997 ODH851997 OND851997 OWZ851997 PGV851997 PQR851997 QAN851997 QKJ851997 QUF851997 REB851997 RNX851997 RXT851997 SHP851997 SRL851997 TBH851997 TLD851997 TUZ851997 UEV851997 UOR851997 UYN851997 VIJ851997 VSF851997 WCB851997 WLX851997 WVT851997 L917533 JH917533 TD917533 ACZ917533 AMV917533 AWR917533 BGN917533 BQJ917533 CAF917533 CKB917533 CTX917533 DDT917533 DNP917533 DXL917533 EHH917533 ERD917533 FAZ917533 FKV917533 FUR917533 GEN917533 GOJ917533 GYF917533 HIB917533 HRX917533 IBT917533 ILP917533 IVL917533 JFH917533 JPD917533 JYZ917533 KIV917533 KSR917533 LCN917533 LMJ917533 LWF917533 MGB917533 MPX917533 MZT917533 NJP917533 NTL917533 ODH917533 OND917533 OWZ917533 PGV917533 PQR917533 QAN917533 QKJ917533 QUF917533 REB917533 RNX917533 RXT917533 SHP917533 SRL917533 TBH917533 TLD917533 TUZ917533 UEV917533 UOR917533 UYN917533 VIJ917533 VSF917533 WCB917533 WLX917533 WVT917533 L983069 JH983069 TD983069 ACZ983069 AMV983069 AWR983069 BGN983069 BQJ983069 CAF983069 CKB983069 CTX983069 DDT983069 DNP983069 DXL983069 EHH983069 ERD983069 FAZ983069 FKV983069 FUR983069 GEN983069 GOJ983069 GYF983069 HIB983069 HRX983069 IBT983069 ILP983069 IVL983069 JFH983069 JPD983069 JYZ983069 KIV983069 KSR983069 LCN983069 LMJ983069 LWF983069 MGB983069 MPX983069 MZT983069 NJP983069 NTL983069 ODH983069 OND983069 OWZ983069 PGV983069 PQR983069 QAN983069 QKJ983069 QUF983069 REB983069 RNX983069 RXT983069 SHP983069 SRL983069 TBH983069 TLD983069 TUZ983069 UEV983069 UOR983069 UYN983069 VIJ983069 VSF983069 WCB983069 WLX983069">
      <formula1>$CA$5:$CA$12</formula1>
    </dataValidation>
    <dataValidation type="list" allowBlank="1" showInputMessage="1" showErrorMessage="1" sqref="WVS983073:WVS983078 JG33:JG38 TC33:TC38 ACY33:ACY38 AMU33:AMU38 AWQ33:AWQ38 BGM33:BGM38 BQI33:BQI38 CAE33:CAE38 CKA33:CKA38 CTW33:CTW38 DDS33:DDS38 DNO33:DNO38 DXK33:DXK38 EHG33:EHG38 ERC33:ERC38 FAY33:FAY38 FKU33:FKU38 FUQ33:FUQ38 GEM33:GEM38 GOI33:GOI38 GYE33:GYE38 HIA33:HIA38 HRW33:HRW38 IBS33:IBS38 ILO33:ILO38 IVK33:IVK38 JFG33:JFG38 JPC33:JPC38 JYY33:JYY38 KIU33:KIU38 KSQ33:KSQ38 LCM33:LCM38 LMI33:LMI38 LWE33:LWE38 MGA33:MGA38 MPW33:MPW38 MZS33:MZS38 NJO33:NJO38 NTK33:NTK38 ODG33:ODG38 ONC33:ONC38 OWY33:OWY38 PGU33:PGU38 PQQ33:PQQ38 QAM33:QAM38 QKI33:QKI38 QUE33:QUE38 REA33:REA38 RNW33:RNW38 RXS33:RXS38 SHO33:SHO38 SRK33:SRK38 TBG33:TBG38 TLC33:TLC38 TUY33:TUY38 UEU33:UEU38 UOQ33:UOQ38 UYM33:UYM38 VII33:VII38 VSE33:VSE38 WCA33:WCA38 WLW33:WLW38 WVS33:WVS38 K65569:K65574 JG65569:JG65574 TC65569:TC65574 ACY65569:ACY65574 AMU65569:AMU65574 AWQ65569:AWQ65574 BGM65569:BGM65574 BQI65569:BQI65574 CAE65569:CAE65574 CKA65569:CKA65574 CTW65569:CTW65574 DDS65569:DDS65574 DNO65569:DNO65574 DXK65569:DXK65574 EHG65569:EHG65574 ERC65569:ERC65574 FAY65569:FAY65574 FKU65569:FKU65574 FUQ65569:FUQ65574 GEM65569:GEM65574 GOI65569:GOI65574 GYE65569:GYE65574 HIA65569:HIA65574 HRW65569:HRW65574 IBS65569:IBS65574 ILO65569:ILO65574 IVK65569:IVK65574 JFG65569:JFG65574 JPC65569:JPC65574 JYY65569:JYY65574 KIU65569:KIU65574 KSQ65569:KSQ65574 LCM65569:LCM65574 LMI65569:LMI65574 LWE65569:LWE65574 MGA65569:MGA65574 MPW65569:MPW65574 MZS65569:MZS65574 NJO65569:NJO65574 NTK65569:NTK65574 ODG65569:ODG65574 ONC65569:ONC65574 OWY65569:OWY65574 PGU65569:PGU65574 PQQ65569:PQQ65574 QAM65569:QAM65574 QKI65569:QKI65574 QUE65569:QUE65574 REA65569:REA65574 RNW65569:RNW65574 RXS65569:RXS65574 SHO65569:SHO65574 SRK65569:SRK65574 TBG65569:TBG65574 TLC65569:TLC65574 TUY65569:TUY65574 UEU65569:UEU65574 UOQ65569:UOQ65574 UYM65569:UYM65574 VII65569:VII65574 VSE65569:VSE65574 WCA65569:WCA65574 WLW65569:WLW65574 WVS65569:WVS65574 K131105:K131110 JG131105:JG131110 TC131105:TC131110 ACY131105:ACY131110 AMU131105:AMU131110 AWQ131105:AWQ131110 BGM131105:BGM131110 BQI131105:BQI131110 CAE131105:CAE131110 CKA131105:CKA131110 CTW131105:CTW131110 DDS131105:DDS131110 DNO131105:DNO131110 DXK131105:DXK131110 EHG131105:EHG131110 ERC131105:ERC131110 FAY131105:FAY131110 FKU131105:FKU131110 FUQ131105:FUQ131110 GEM131105:GEM131110 GOI131105:GOI131110 GYE131105:GYE131110 HIA131105:HIA131110 HRW131105:HRW131110 IBS131105:IBS131110 ILO131105:ILO131110 IVK131105:IVK131110 JFG131105:JFG131110 JPC131105:JPC131110 JYY131105:JYY131110 KIU131105:KIU131110 KSQ131105:KSQ131110 LCM131105:LCM131110 LMI131105:LMI131110 LWE131105:LWE131110 MGA131105:MGA131110 MPW131105:MPW131110 MZS131105:MZS131110 NJO131105:NJO131110 NTK131105:NTK131110 ODG131105:ODG131110 ONC131105:ONC131110 OWY131105:OWY131110 PGU131105:PGU131110 PQQ131105:PQQ131110 QAM131105:QAM131110 QKI131105:QKI131110 QUE131105:QUE131110 REA131105:REA131110 RNW131105:RNW131110 RXS131105:RXS131110 SHO131105:SHO131110 SRK131105:SRK131110 TBG131105:TBG131110 TLC131105:TLC131110 TUY131105:TUY131110 UEU131105:UEU131110 UOQ131105:UOQ131110 UYM131105:UYM131110 VII131105:VII131110 VSE131105:VSE131110 WCA131105:WCA131110 WLW131105:WLW131110 WVS131105:WVS131110 K196641:K196646 JG196641:JG196646 TC196641:TC196646 ACY196641:ACY196646 AMU196641:AMU196646 AWQ196641:AWQ196646 BGM196641:BGM196646 BQI196641:BQI196646 CAE196641:CAE196646 CKA196641:CKA196646 CTW196641:CTW196646 DDS196641:DDS196646 DNO196641:DNO196646 DXK196641:DXK196646 EHG196641:EHG196646 ERC196641:ERC196646 FAY196641:FAY196646 FKU196641:FKU196646 FUQ196641:FUQ196646 GEM196641:GEM196646 GOI196641:GOI196646 GYE196641:GYE196646 HIA196641:HIA196646 HRW196641:HRW196646 IBS196641:IBS196646 ILO196641:ILO196646 IVK196641:IVK196646 JFG196641:JFG196646 JPC196641:JPC196646 JYY196641:JYY196646 KIU196641:KIU196646 KSQ196641:KSQ196646 LCM196641:LCM196646 LMI196641:LMI196646 LWE196641:LWE196646 MGA196641:MGA196646 MPW196641:MPW196646 MZS196641:MZS196646 NJO196641:NJO196646 NTK196641:NTK196646 ODG196641:ODG196646 ONC196641:ONC196646 OWY196641:OWY196646 PGU196641:PGU196646 PQQ196641:PQQ196646 QAM196641:QAM196646 QKI196641:QKI196646 QUE196641:QUE196646 REA196641:REA196646 RNW196641:RNW196646 RXS196641:RXS196646 SHO196641:SHO196646 SRK196641:SRK196646 TBG196641:TBG196646 TLC196641:TLC196646 TUY196641:TUY196646 UEU196641:UEU196646 UOQ196641:UOQ196646 UYM196641:UYM196646 VII196641:VII196646 VSE196641:VSE196646 WCA196641:WCA196646 WLW196641:WLW196646 WVS196641:WVS196646 K262177:K262182 JG262177:JG262182 TC262177:TC262182 ACY262177:ACY262182 AMU262177:AMU262182 AWQ262177:AWQ262182 BGM262177:BGM262182 BQI262177:BQI262182 CAE262177:CAE262182 CKA262177:CKA262182 CTW262177:CTW262182 DDS262177:DDS262182 DNO262177:DNO262182 DXK262177:DXK262182 EHG262177:EHG262182 ERC262177:ERC262182 FAY262177:FAY262182 FKU262177:FKU262182 FUQ262177:FUQ262182 GEM262177:GEM262182 GOI262177:GOI262182 GYE262177:GYE262182 HIA262177:HIA262182 HRW262177:HRW262182 IBS262177:IBS262182 ILO262177:ILO262182 IVK262177:IVK262182 JFG262177:JFG262182 JPC262177:JPC262182 JYY262177:JYY262182 KIU262177:KIU262182 KSQ262177:KSQ262182 LCM262177:LCM262182 LMI262177:LMI262182 LWE262177:LWE262182 MGA262177:MGA262182 MPW262177:MPW262182 MZS262177:MZS262182 NJO262177:NJO262182 NTK262177:NTK262182 ODG262177:ODG262182 ONC262177:ONC262182 OWY262177:OWY262182 PGU262177:PGU262182 PQQ262177:PQQ262182 QAM262177:QAM262182 QKI262177:QKI262182 QUE262177:QUE262182 REA262177:REA262182 RNW262177:RNW262182 RXS262177:RXS262182 SHO262177:SHO262182 SRK262177:SRK262182 TBG262177:TBG262182 TLC262177:TLC262182 TUY262177:TUY262182 UEU262177:UEU262182 UOQ262177:UOQ262182 UYM262177:UYM262182 VII262177:VII262182 VSE262177:VSE262182 WCA262177:WCA262182 WLW262177:WLW262182 WVS262177:WVS262182 K327713:K327718 JG327713:JG327718 TC327713:TC327718 ACY327713:ACY327718 AMU327713:AMU327718 AWQ327713:AWQ327718 BGM327713:BGM327718 BQI327713:BQI327718 CAE327713:CAE327718 CKA327713:CKA327718 CTW327713:CTW327718 DDS327713:DDS327718 DNO327713:DNO327718 DXK327713:DXK327718 EHG327713:EHG327718 ERC327713:ERC327718 FAY327713:FAY327718 FKU327713:FKU327718 FUQ327713:FUQ327718 GEM327713:GEM327718 GOI327713:GOI327718 GYE327713:GYE327718 HIA327713:HIA327718 HRW327713:HRW327718 IBS327713:IBS327718 ILO327713:ILO327718 IVK327713:IVK327718 JFG327713:JFG327718 JPC327713:JPC327718 JYY327713:JYY327718 KIU327713:KIU327718 KSQ327713:KSQ327718 LCM327713:LCM327718 LMI327713:LMI327718 LWE327713:LWE327718 MGA327713:MGA327718 MPW327713:MPW327718 MZS327713:MZS327718 NJO327713:NJO327718 NTK327713:NTK327718 ODG327713:ODG327718 ONC327713:ONC327718 OWY327713:OWY327718 PGU327713:PGU327718 PQQ327713:PQQ327718 QAM327713:QAM327718 QKI327713:QKI327718 QUE327713:QUE327718 REA327713:REA327718 RNW327713:RNW327718 RXS327713:RXS327718 SHO327713:SHO327718 SRK327713:SRK327718 TBG327713:TBG327718 TLC327713:TLC327718 TUY327713:TUY327718 UEU327713:UEU327718 UOQ327713:UOQ327718 UYM327713:UYM327718 VII327713:VII327718 VSE327713:VSE327718 WCA327713:WCA327718 WLW327713:WLW327718 WVS327713:WVS327718 K393249:K393254 JG393249:JG393254 TC393249:TC393254 ACY393249:ACY393254 AMU393249:AMU393254 AWQ393249:AWQ393254 BGM393249:BGM393254 BQI393249:BQI393254 CAE393249:CAE393254 CKA393249:CKA393254 CTW393249:CTW393254 DDS393249:DDS393254 DNO393249:DNO393254 DXK393249:DXK393254 EHG393249:EHG393254 ERC393249:ERC393254 FAY393249:FAY393254 FKU393249:FKU393254 FUQ393249:FUQ393254 GEM393249:GEM393254 GOI393249:GOI393254 GYE393249:GYE393254 HIA393249:HIA393254 HRW393249:HRW393254 IBS393249:IBS393254 ILO393249:ILO393254 IVK393249:IVK393254 JFG393249:JFG393254 JPC393249:JPC393254 JYY393249:JYY393254 KIU393249:KIU393254 KSQ393249:KSQ393254 LCM393249:LCM393254 LMI393249:LMI393254 LWE393249:LWE393254 MGA393249:MGA393254 MPW393249:MPW393254 MZS393249:MZS393254 NJO393249:NJO393254 NTK393249:NTK393254 ODG393249:ODG393254 ONC393249:ONC393254 OWY393249:OWY393254 PGU393249:PGU393254 PQQ393249:PQQ393254 QAM393249:QAM393254 QKI393249:QKI393254 QUE393249:QUE393254 REA393249:REA393254 RNW393249:RNW393254 RXS393249:RXS393254 SHO393249:SHO393254 SRK393249:SRK393254 TBG393249:TBG393254 TLC393249:TLC393254 TUY393249:TUY393254 UEU393249:UEU393254 UOQ393249:UOQ393254 UYM393249:UYM393254 VII393249:VII393254 VSE393249:VSE393254 WCA393249:WCA393254 WLW393249:WLW393254 WVS393249:WVS393254 K458785:K458790 JG458785:JG458790 TC458785:TC458790 ACY458785:ACY458790 AMU458785:AMU458790 AWQ458785:AWQ458790 BGM458785:BGM458790 BQI458785:BQI458790 CAE458785:CAE458790 CKA458785:CKA458790 CTW458785:CTW458790 DDS458785:DDS458790 DNO458785:DNO458790 DXK458785:DXK458790 EHG458785:EHG458790 ERC458785:ERC458790 FAY458785:FAY458790 FKU458785:FKU458790 FUQ458785:FUQ458790 GEM458785:GEM458790 GOI458785:GOI458790 GYE458785:GYE458790 HIA458785:HIA458790 HRW458785:HRW458790 IBS458785:IBS458790 ILO458785:ILO458790 IVK458785:IVK458790 JFG458785:JFG458790 JPC458785:JPC458790 JYY458785:JYY458790 KIU458785:KIU458790 KSQ458785:KSQ458790 LCM458785:LCM458790 LMI458785:LMI458790 LWE458785:LWE458790 MGA458785:MGA458790 MPW458785:MPW458790 MZS458785:MZS458790 NJO458785:NJO458790 NTK458785:NTK458790 ODG458785:ODG458790 ONC458785:ONC458790 OWY458785:OWY458790 PGU458785:PGU458790 PQQ458785:PQQ458790 QAM458785:QAM458790 QKI458785:QKI458790 QUE458785:QUE458790 REA458785:REA458790 RNW458785:RNW458790 RXS458785:RXS458790 SHO458785:SHO458790 SRK458785:SRK458790 TBG458785:TBG458790 TLC458785:TLC458790 TUY458785:TUY458790 UEU458785:UEU458790 UOQ458785:UOQ458790 UYM458785:UYM458790 VII458785:VII458790 VSE458785:VSE458790 WCA458785:WCA458790 WLW458785:WLW458790 WVS458785:WVS458790 K524321:K524326 JG524321:JG524326 TC524321:TC524326 ACY524321:ACY524326 AMU524321:AMU524326 AWQ524321:AWQ524326 BGM524321:BGM524326 BQI524321:BQI524326 CAE524321:CAE524326 CKA524321:CKA524326 CTW524321:CTW524326 DDS524321:DDS524326 DNO524321:DNO524326 DXK524321:DXK524326 EHG524321:EHG524326 ERC524321:ERC524326 FAY524321:FAY524326 FKU524321:FKU524326 FUQ524321:FUQ524326 GEM524321:GEM524326 GOI524321:GOI524326 GYE524321:GYE524326 HIA524321:HIA524326 HRW524321:HRW524326 IBS524321:IBS524326 ILO524321:ILO524326 IVK524321:IVK524326 JFG524321:JFG524326 JPC524321:JPC524326 JYY524321:JYY524326 KIU524321:KIU524326 KSQ524321:KSQ524326 LCM524321:LCM524326 LMI524321:LMI524326 LWE524321:LWE524326 MGA524321:MGA524326 MPW524321:MPW524326 MZS524321:MZS524326 NJO524321:NJO524326 NTK524321:NTK524326 ODG524321:ODG524326 ONC524321:ONC524326 OWY524321:OWY524326 PGU524321:PGU524326 PQQ524321:PQQ524326 QAM524321:QAM524326 QKI524321:QKI524326 QUE524321:QUE524326 REA524321:REA524326 RNW524321:RNW524326 RXS524321:RXS524326 SHO524321:SHO524326 SRK524321:SRK524326 TBG524321:TBG524326 TLC524321:TLC524326 TUY524321:TUY524326 UEU524321:UEU524326 UOQ524321:UOQ524326 UYM524321:UYM524326 VII524321:VII524326 VSE524321:VSE524326 WCA524321:WCA524326 WLW524321:WLW524326 WVS524321:WVS524326 K589857:K589862 JG589857:JG589862 TC589857:TC589862 ACY589857:ACY589862 AMU589857:AMU589862 AWQ589857:AWQ589862 BGM589857:BGM589862 BQI589857:BQI589862 CAE589857:CAE589862 CKA589857:CKA589862 CTW589857:CTW589862 DDS589857:DDS589862 DNO589857:DNO589862 DXK589857:DXK589862 EHG589857:EHG589862 ERC589857:ERC589862 FAY589857:FAY589862 FKU589857:FKU589862 FUQ589857:FUQ589862 GEM589857:GEM589862 GOI589857:GOI589862 GYE589857:GYE589862 HIA589857:HIA589862 HRW589857:HRW589862 IBS589857:IBS589862 ILO589857:ILO589862 IVK589857:IVK589862 JFG589857:JFG589862 JPC589857:JPC589862 JYY589857:JYY589862 KIU589857:KIU589862 KSQ589857:KSQ589862 LCM589857:LCM589862 LMI589857:LMI589862 LWE589857:LWE589862 MGA589857:MGA589862 MPW589857:MPW589862 MZS589857:MZS589862 NJO589857:NJO589862 NTK589857:NTK589862 ODG589857:ODG589862 ONC589857:ONC589862 OWY589857:OWY589862 PGU589857:PGU589862 PQQ589857:PQQ589862 QAM589857:QAM589862 QKI589857:QKI589862 QUE589857:QUE589862 REA589857:REA589862 RNW589857:RNW589862 RXS589857:RXS589862 SHO589857:SHO589862 SRK589857:SRK589862 TBG589857:TBG589862 TLC589857:TLC589862 TUY589857:TUY589862 UEU589857:UEU589862 UOQ589857:UOQ589862 UYM589857:UYM589862 VII589857:VII589862 VSE589857:VSE589862 WCA589857:WCA589862 WLW589857:WLW589862 WVS589857:WVS589862 K655393:K655398 JG655393:JG655398 TC655393:TC655398 ACY655393:ACY655398 AMU655393:AMU655398 AWQ655393:AWQ655398 BGM655393:BGM655398 BQI655393:BQI655398 CAE655393:CAE655398 CKA655393:CKA655398 CTW655393:CTW655398 DDS655393:DDS655398 DNO655393:DNO655398 DXK655393:DXK655398 EHG655393:EHG655398 ERC655393:ERC655398 FAY655393:FAY655398 FKU655393:FKU655398 FUQ655393:FUQ655398 GEM655393:GEM655398 GOI655393:GOI655398 GYE655393:GYE655398 HIA655393:HIA655398 HRW655393:HRW655398 IBS655393:IBS655398 ILO655393:ILO655398 IVK655393:IVK655398 JFG655393:JFG655398 JPC655393:JPC655398 JYY655393:JYY655398 KIU655393:KIU655398 KSQ655393:KSQ655398 LCM655393:LCM655398 LMI655393:LMI655398 LWE655393:LWE655398 MGA655393:MGA655398 MPW655393:MPW655398 MZS655393:MZS655398 NJO655393:NJO655398 NTK655393:NTK655398 ODG655393:ODG655398 ONC655393:ONC655398 OWY655393:OWY655398 PGU655393:PGU655398 PQQ655393:PQQ655398 QAM655393:QAM655398 QKI655393:QKI655398 QUE655393:QUE655398 REA655393:REA655398 RNW655393:RNW655398 RXS655393:RXS655398 SHO655393:SHO655398 SRK655393:SRK655398 TBG655393:TBG655398 TLC655393:TLC655398 TUY655393:TUY655398 UEU655393:UEU655398 UOQ655393:UOQ655398 UYM655393:UYM655398 VII655393:VII655398 VSE655393:VSE655398 WCA655393:WCA655398 WLW655393:WLW655398 WVS655393:WVS655398 K720929:K720934 JG720929:JG720934 TC720929:TC720934 ACY720929:ACY720934 AMU720929:AMU720934 AWQ720929:AWQ720934 BGM720929:BGM720934 BQI720929:BQI720934 CAE720929:CAE720934 CKA720929:CKA720934 CTW720929:CTW720934 DDS720929:DDS720934 DNO720929:DNO720934 DXK720929:DXK720934 EHG720929:EHG720934 ERC720929:ERC720934 FAY720929:FAY720934 FKU720929:FKU720934 FUQ720929:FUQ720934 GEM720929:GEM720934 GOI720929:GOI720934 GYE720929:GYE720934 HIA720929:HIA720934 HRW720929:HRW720934 IBS720929:IBS720934 ILO720929:ILO720934 IVK720929:IVK720934 JFG720929:JFG720934 JPC720929:JPC720934 JYY720929:JYY720934 KIU720929:KIU720934 KSQ720929:KSQ720934 LCM720929:LCM720934 LMI720929:LMI720934 LWE720929:LWE720934 MGA720929:MGA720934 MPW720929:MPW720934 MZS720929:MZS720934 NJO720929:NJO720934 NTK720929:NTK720934 ODG720929:ODG720934 ONC720929:ONC720934 OWY720929:OWY720934 PGU720929:PGU720934 PQQ720929:PQQ720934 QAM720929:QAM720934 QKI720929:QKI720934 QUE720929:QUE720934 REA720929:REA720934 RNW720929:RNW720934 RXS720929:RXS720934 SHO720929:SHO720934 SRK720929:SRK720934 TBG720929:TBG720934 TLC720929:TLC720934 TUY720929:TUY720934 UEU720929:UEU720934 UOQ720929:UOQ720934 UYM720929:UYM720934 VII720929:VII720934 VSE720929:VSE720934 WCA720929:WCA720934 WLW720929:WLW720934 WVS720929:WVS720934 K786465:K786470 JG786465:JG786470 TC786465:TC786470 ACY786465:ACY786470 AMU786465:AMU786470 AWQ786465:AWQ786470 BGM786465:BGM786470 BQI786465:BQI786470 CAE786465:CAE786470 CKA786465:CKA786470 CTW786465:CTW786470 DDS786465:DDS786470 DNO786465:DNO786470 DXK786465:DXK786470 EHG786465:EHG786470 ERC786465:ERC786470 FAY786465:FAY786470 FKU786465:FKU786470 FUQ786465:FUQ786470 GEM786465:GEM786470 GOI786465:GOI786470 GYE786465:GYE786470 HIA786465:HIA786470 HRW786465:HRW786470 IBS786465:IBS786470 ILO786465:ILO786470 IVK786465:IVK786470 JFG786465:JFG786470 JPC786465:JPC786470 JYY786465:JYY786470 KIU786465:KIU786470 KSQ786465:KSQ786470 LCM786465:LCM786470 LMI786465:LMI786470 LWE786465:LWE786470 MGA786465:MGA786470 MPW786465:MPW786470 MZS786465:MZS786470 NJO786465:NJO786470 NTK786465:NTK786470 ODG786465:ODG786470 ONC786465:ONC786470 OWY786465:OWY786470 PGU786465:PGU786470 PQQ786465:PQQ786470 QAM786465:QAM786470 QKI786465:QKI786470 QUE786465:QUE786470 REA786465:REA786470 RNW786465:RNW786470 RXS786465:RXS786470 SHO786465:SHO786470 SRK786465:SRK786470 TBG786465:TBG786470 TLC786465:TLC786470 TUY786465:TUY786470 UEU786465:UEU786470 UOQ786465:UOQ786470 UYM786465:UYM786470 VII786465:VII786470 VSE786465:VSE786470 WCA786465:WCA786470 WLW786465:WLW786470 WVS786465:WVS786470 K852001:K852006 JG852001:JG852006 TC852001:TC852006 ACY852001:ACY852006 AMU852001:AMU852006 AWQ852001:AWQ852006 BGM852001:BGM852006 BQI852001:BQI852006 CAE852001:CAE852006 CKA852001:CKA852006 CTW852001:CTW852006 DDS852001:DDS852006 DNO852001:DNO852006 DXK852001:DXK852006 EHG852001:EHG852006 ERC852001:ERC852006 FAY852001:FAY852006 FKU852001:FKU852006 FUQ852001:FUQ852006 GEM852001:GEM852006 GOI852001:GOI852006 GYE852001:GYE852006 HIA852001:HIA852006 HRW852001:HRW852006 IBS852001:IBS852006 ILO852001:ILO852006 IVK852001:IVK852006 JFG852001:JFG852006 JPC852001:JPC852006 JYY852001:JYY852006 KIU852001:KIU852006 KSQ852001:KSQ852006 LCM852001:LCM852006 LMI852001:LMI852006 LWE852001:LWE852006 MGA852001:MGA852006 MPW852001:MPW852006 MZS852001:MZS852006 NJO852001:NJO852006 NTK852001:NTK852006 ODG852001:ODG852006 ONC852001:ONC852006 OWY852001:OWY852006 PGU852001:PGU852006 PQQ852001:PQQ852006 QAM852001:QAM852006 QKI852001:QKI852006 QUE852001:QUE852006 REA852001:REA852006 RNW852001:RNW852006 RXS852001:RXS852006 SHO852001:SHO852006 SRK852001:SRK852006 TBG852001:TBG852006 TLC852001:TLC852006 TUY852001:TUY852006 UEU852001:UEU852006 UOQ852001:UOQ852006 UYM852001:UYM852006 VII852001:VII852006 VSE852001:VSE852006 WCA852001:WCA852006 WLW852001:WLW852006 WVS852001:WVS852006 K917537:K917542 JG917537:JG917542 TC917537:TC917542 ACY917537:ACY917542 AMU917537:AMU917542 AWQ917537:AWQ917542 BGM917537:BGM917542 BQI917537:BQI917542 CAE917537:CAE917542 CKA917537:CKA917542 CTW917537:CTW917542 DDS917537:DDS917542 DNO917537:DNO917542 DXK917537:DXK917542 EHG917537:EHG917542 ERC917537:ERC917542 FAY917537:FAY917542 FKU917537:FKU917542 FUQ917537:FUQ917542 GEM917537:GEM917542 GOI917537:GOI917542 GYE917537:GYE917542 HIA917537:HIA917542 HRW917537:HRW917542 IBS917537:IBS917542 ILO917537:ILO917542 IVK917537:IVK917542 JFG917537:JFG917542 JPC917537:JPC917542 JYY917537:JYY917542 KIU917537:KIU917542 KSQ917537:KSQ917542 LCM917537:LCM917542 LMI917537:LMI917542 LWE917537:LWE917542 MGA917537:MGA917542 MPW917537:MPW917542 MZS917537:MZS917542 NJO917537:NJO917542 NTK917537:NTK917542 ODG917537:ODG917542 ONC917537:ONC917542 OWY917537:OWY917542 PGU917537:PGU917542 PQQ917537:PQQ917542 QAM917537:QAM917542 QKI917537:QKI917542 QUE917537:QUE917542 REA917537:REA917542 RNW917537:RNW917542 RXS917537:RXS917542 SHO917537:SHO917542 SRK917537:SRK917542 TBG917537:TBG917542 TLC917537:TLC917542 TUY917537:TUY917542 UEU917537:UEU917542 UOQ917537:UOQ917542 UYM917537:UYM917542 VII917537:VII917542 VSE917537:VSE917542 WCA917537:WCA917542 WLW917537:WLW917542 WVS917537:WVS917542 K983073:K983078 JG983073:JG983078 TC983073:TC983078 ACY983073:ACY983078 AMU983073:AMU983078 AWQ983073:AWQ983078 BGM983073:BGM983078 BQI983073:BQI983078 CAE983073:CAE983078 CKA983073:CKA983078 CTW983073:CTW983078 DDS983073:DDS983078 DNO983073:DNO983078 DXK983073:DXK983078 EHG983073:EHG983078 ERC983073:ERC983078 FAY983073:FAY983078 FKU983073:FKU983078 FUQ983073:FUQ983078 GEM983073:GEM983078 GOI983073:GOI983078 GYE983073:GYE983078 HIA983073:HIA983078 HRW983073:HRW983078 IBS983073:IBS983078 ILO983073:ILO983078 IVK983073:IVK983078 JFG983073:JFG983078 JPC983073:JPC983078 JYY983073:JYY983078 KIU983073:KIU983078 KSQ983073:KSQ983078 LCM983073:LCM983078 LMI983073:LMI983078 LWE983073:LWE983078 MGA983073:MGA983078 MPW983073:MPW983078 MZS983073:MZS983078 NJO983073:NJO983078 NTK983073:NTK983078 ODG983073:ODG983078 ONC983073:ONC983078 OWY983073:OWY983078 PGU983073:PGU983078 PQQ983073:PQQ983078 QAM983073:QAM983078 QKI983073:QKI983078 QUE983073:QUE983078 REA983073:REA983078 RNW983073:RNW983078 RXS983073:RXS983078 SHO983073:SHO983078 SRK983073:SRK983078 TBG983073:TBG983078 TLC983073:TLC983078 TUY983073:TUY983078 UEU983073:UEU983078 UOQ983073:UOQ983078 UYM983073:UYM983078 VII983073:VII983078 VSE983073:VSE983078 WCA983073:WCA983078 WLW983073:WLW983078">
      <formula1>$AA$17:$AA$18</formula1>
    </dataValidation>
    <dataValidation type="list" allowBlank="1" showInputMessage="1" showErrorMessage="1" sqref="WVT983068 JH28 TD28 ACZ28 AMV28 AWR28 BGN28 BQJ28 CAF28 CKB28 CTX28 DDT28 DNP28 DXL28 EHH28 ERD28 FAZ28 FKV28 FUR28 GEN28 GOJ28 GYF28 HIB28 HRX28 IBT28 ILP28 IVL28 JFH28 JPD28 JYZ28 KIV28 KSR28 LCN28 LMJ28 LWF28 MGB28 MPX28 MZT28 NJP28 NTL28 ODH28 OND28 OWZ28 PGV28 PQR28 QAN28 QKJ28 QUF28 REB28 RNX28 RXT28 SHP28 SRL28 TBH28 TLD28 TUZ28 UEV28 UOR28 UYN28 VIJ28 VSF28 WCB28 WLX28 WVT28 L65564 JH65564 TD65564 ACZ65564 AMV65564 AWR65564 BGN65564 BQJ65564 CAF65564 CKB65564 CTX65564 DDT65564 DNP65564 DXL65564 EHH65564 ERD65564 FAZ65564 FKV65564 FUR65564 GEN65564 GOJ65564 GYF65564 HIB65564 HRX65564 IBT65564 ILP65564 IVL65564 JFH65564 JPD65564 JYZ65564 KIV65564 KSR65564 LCN65564 LMJ65564 LWF65564 MGB65564 MPX65564 MZT65564 NJP65564 NTL65564 ODH65564 OND65564 OWZ65564 PGV65564 PQR65564 QAN65564 QKJ65564 QUF65564 REB65564 RNX65564 RXT65564 SHP65564 SRL65564 TBH65564 TLD65564 TUZ65564 UEV65564 UOR65564 UYN65564 VIJ65564 VSF65564 WCB65564 WLX65564 WVT65564 L131100 JH131100 TD131100 ACZ131100 AMV131100 AWR131100 BGN131100 BQJ131100 CAF131100 CKB131100 CTX131100 DDT131100 DNP131100 DXL131100 EHH131100 ERD131100 FAZ131100 FKV131100 FUR131100 GEN131100 GOJ131100 GYF131100 HIB131100 HRX131100 IBT131100 ILP131100 IVL131100 JFH131100 JPD131100 JYZ131100 KIV131100 KSR131100 LCN131100 LMJ131100 LWF131100 MGB131100 MPX131100 MZT131100 NJP131100 NTL131100 ODH131100 OND131100 OWZ131100 PGV131100 PQR131100 QAN131100 QKJ131100 QUF131100 REB131100 RNX131100 RXT131100 SHP131100 SRL131100 TBH131100 TLD131100 TUZ131100 UEV131100 UOR131100 UYN131100 VIJ131100 VSF131100 WCB131100 WLX131100 WVT131100 L196636 JH196636 TD196636 ACZ196636 AMV196636 AWR196636 BGN196636 BQJ196636 CAF196636 CKB196636 CTX196636 DDT196636 DNP196636 DXL196636 EHH196636 ERD196636 FAZ196636 FKV196636 FUR196636 GEN196636 GOJ196636 GYF196636 HIB196636 HRX196636 IBT196636 ILP196636 IVL196636 JFH196636 JPD196636 JYZ196636 KIV196636 KSR196636 LCN196636 LMJ196636 LWF196636 MGB196636 MPX196636 MZT196636 NJP196636 NTL196636 ODH196636 OND196636 OWZ196636 PGV196636 PQR196636 QAN196636 QKJ196636 QUF196636 REB196636 RNX196636 RXT196636 SHP196636 SRL196636 TBH196636 TLD196636 TUZ196636 UEV196636 UOR196636 UYN196636 VIJ196636 VSF196636 WCB196636 WLX196636 WVT196636 L262172 JH262172 TD262172 ACZ262172 AMV262172 AWR262172 BGN262172 BQJ262172 CAF262172 CKB262172 CTX262172 DDT262172 DNP262172 DXL262172 EHH262172 ERD262172 FAZ262172 FKV262172 FUR262172 GEN262172 GOJ262172 GYF262172 HIB262172 HRX262172 IBT262172 ILP262172 IVL262172 JFH262172 JPD262172 JYZ262172 KIV262172 KSR262172 LCN262172 LMJ262172 LWF262172 MGB262172 MPX262172 MZT262172 NJP262172 NTL262172 ODH262172 OND262172 OWZ262172 PGV262172 PQR262172 QAN262172 QKJ262172 QUF262172 REB262172 RNX262172 RXT262172 SHP262172 SRL262172 TBH262172 TLD262172 TUZ262172 UEV262172 UOR262172 UYN262172 VIJ262172 VSF262172 WCB262172 WLX262172 WVT262172 L327708 JH327708 TD327708 ACZ327708 AMV327708 AWR327708 BGN327708 BQJ327708 CAF327708 CKB327708 CTX327708 DDT327708 DNP327708 DXL327708 EHH327708 ERD327708 FAZ327708 FKV327708 FUR327708 GEN327708 GOJ327708 GYF327708 HIB327708 HRX327708 IBT327708 ILP327708 IVL327708 JFH327708 JPD327708 JYZ327708 KIV327708 KSR327708 LCN327708 LMJ327708 LWF327708 MGB327708 MPX327708 MZT327708 NJP327708 NTL327708 ODH327708 OND327708 OWZ327708 PGV327708 PQR327708 QAN327708 QKJ327708 QUF327708 REB327708 RNX327708 RXT327708 SHP327708 SRL327708 TBH327708 TLD327708 TUZ327708 UEV327708 UOR327708 UYN327708 VIJ327708 VSF327708 WCB327708 WLX327708 WVT327708 L393244 JH393244 TD393244 ACZ393244 AMV393244 AWR393244 BGN393244 BQJ393244 CAF393244 CKB393244 CTX393244 DDT393244 DNP393244 DXL393244 EHH393244 ERD393244 FAZ393244 FKV393244 FUR393244 GEN393244 GOJ393244 GYF393244 HIB393244 HRX393244 IBT393244 ILP393244 IVL393244 JFH393244 JPD393244 JYZ393244 KIV393244 KSR393244 LCN393244 LMJ393244 LWF393244 MGB393244 MPX393244 MZT393244 NJP393244 NTL393244 ODH393244 OND393244 OWZ393244 PGV393244 PQR393244 QAN393244 QKJ393244 QUF393244 REB393244 RNX393244 RXT393244 SHP393244 SRL393244 TBH393244 TLD393244 TUZ393244 UEV393244 UOR393244 UYN393244 VIJ393244 VSF393244 WCB393244 WLX393244 WVT393244 L458780 JH458780 TD458780 ACZ458780 AMV458780 AWR458780 BGN458780 BQJ458780 CAF458780 CKB458780 CTX458780 DDT458780 DNP458780 DXL458780 EHH458780 ERD458780 FAZ458780 FKV458780 FUR458780 GEN458780 GOJ458780 GYF458780 HIB458780 HRX458780 IBT458780 ILP458780 IVL458780 JFH458780 JPD458780 JYZ458780 KIV458780 KSR458780 LCN458780 LMJ458780 LWF458780 MGB458780 MPX458780 MZT458780 NJP458780 NTL458780 ODH458780 OND458780 OWZ458780 PGV458780 PQR458780 QAN458780 QKJ458780 QUF458780 REB458780 RNX458780 RXT458780 SHP458780 SRL458780 TBH458780 TLD458780 TUZ458780 UEV458780 UOR458780 UYN458780 VIJ458780 VSF458780 WCB458780 WLX458780 WVT458780 L524316 JH524316 TD524316 ACZ524316 AMV524316 AWR524316 BGN524316 BQJ524316 CAF524316 CKB524316 CTX524316 DDT524316 DNP524316 DXL524316 EHH524316 ERD524316 FAZ524316 FKV524316 FUR524316 GEN524316 GOJ524316 GYF524316 HIB524316 HRX524316 IBT524316 ILP524316 IVL524316 JFH524316 JPD524316 JYZ524316 KIV524316 KSR524316 LCN524316 LMJ524316 LWF524316 MGB524316 MPX524316 MZT524316 NJP524316 NTL524316 ODH524316 OND524316 OWZ524316 PGV524316 PQR524316 QAN524316 QKJ524316 QUF524316 REB524316 RNX524316 RXT524316 SHP524316 SRL524316 TBH524316 TLD524316 TUZ524316 UEV524316 UOR524316 UYN524316 VIJ524316 VSF524316 WCB524316 WLX524316 WVT524316 L589852 JH589852 TD589852 ACZ589852 AMV589852 AWR589852 BGN589852 BQJ589852 CAF589852 CKB589852 CTX589852 DDT589852 DNP589852 DXL589852 EHH589852 ERD589852 FAZ589852 FKV589852 FUR589852 GEN589852 GOJ589852 GYF589852 HIB589852 HRX589852 IBT589852 ILP589852 IVL589852 JFH589852 JPD589852 JYZ589852 KIV589852 KSR589852 LCN589852 LMJ589852 LWF589852 MGB589852 MPX589852 MZT589852 NJP589852 NTL589852 ODH589852 OND589852 OWZ589852 PGV589852 PQR589852 QAN589852 QKJ589852 QUF589852 REB589852 RNX589852 RXT589852 SHP589852 SRL589852 TBH589852 TLD589852 TUZ589852 UEV589852 UOR589852 UYN589852 VIJ589852 VSF589852 WCB589852 WLX589852 WVT589852 L655388 JH655388 TD655388 ACZ655388 AMV655388 AWR655388 BGN655388 BQJ655388 CAF655388 CKB655388 CTX655388 DDT655388 DNP655388 DXL655388 EHH655388 ERD655388 FAZ655388 FKV655388 FUR655388 GEN655388 GOJ655388 GYF655388 HIB655388 HRX655388 IBT655388 ILP655388 IVL655388 JFH655388 JPD655388 JYZ655388 KIV655388 KSR655388 LCN655388 LMJ655388 LWF655388 MGB655388 MPX655388 MZT655388 NJP655388 NTL655388 ODH655388 OND655388 OWZ655388 PGV655388 PQR655388 QAN655388 QKJ655388 QUF655388 REB655388 RNX655388 RXT655388 SHP655388 SRL655388 TBH655388 TLD655388 TUZ655388 UEV655388 UOR655388 UYN655388 VIJ655388 VSF655388 WCB655388 WLX655388 WVT655388 L720924 JH720924 TD720924 ACZ720924 AMV720924 AWR720924 BGN720924 BQJ720924 CAF720924 CKB720924 CTX720924 DDT720924 DNP720924 DXL720924 EHH720924 ERD720924 FAZ720924 FKV720924 FUR720924 GEN720924 GOJ720924 GYF720924 HIB720924 HRX720924 IBT720924 ILP720924 IVL720924 JFH720924 JPD720924 JYZ720924 KIV720924 KSR720924 LCN720924 LMJ720924 LWF720924 MGB720924 MPX720924 MZT720924 NJP720924 NTL720924 ODH720924 OND720924 OWZ720924 PGV720924 PQR720924 QAN720924 QKJ720924 QUF720924 REB720924 RNX720924 RXT720924 SHP720924 SRL720924 TBH720924 TLD720924 TUZ720924 UEV720924 UOR720924 UYN720924 VIJ720924 VSF720924 WCB720924 WLX720924 WVT720924 L786460 JH786460 TD786460 ACZ786460 AMV786460 AWR786460 BGN786460 BQJ786460 CAF786460 CKB786460 CTX786460 DDT786460 DNP786460 DXL786460 EHH786460 ERD786460 FAZ786460 FKV786460 FUR786460 GEN786460 GOJ786460 GYF786460 HIB786460 HRX786460 IBT786460 ILP786460 IVL786460 JFH786460 JPD786460 JYZ786460 KIV786460 KSR786460 LCN786460 LMJ786460 LWF786460 MGB786460 MPX786460 MZT786460 NJP786460 NTL786460 ODH786460 OND786460 OWZ786460 PGV786460 PQR786460 QAN786460 QKJ786460 QUF786460 REB786460 RNX786460 RXT786460 SHP786460 SRL786460 TBH786460 TLD786460 TUZ786460 UEV786460 UOR786460 UYN786460 VIJ786460 VSF786460 WCB786460 WLX786460 WVT786460 L851996 JH851996 TD851996 ACZ851996 AMV851996 AWR851996 BGN851996 BQJ851996 CAF851996 CKB851996 CTX851996 DDT851996 DNP851996 DXL851996 EHH851996 ERD851996 FAZ851996 FKV851996 FUR851996 GEN851996 GOJ851996 GYF851996 HIB851996 HRX851996 IBT851996 ILP851996 IVL851996 JFH851996 JPD851996 JYZ851996 KIV851996 KSR851996 LCN851996 LMJ851996 LWF851996 MGB851996 MPX851996 MZT851996 NJP851996 NTL851996 ODH851996 OND851996 OWZ851996 PGV851996 PQR851996 QAN851996 QKJ851996 QUF851996 REB851996 RNX851996 RXT851996 SHP851996 SRL851996 TBH851996 TLD851996 TUZ851996 UEV851996 UOR851996 UYN851996 VIJ851996 VSF851996 WCB851996 WLX851996 WVT851996 L917532 JH917532 TD917532 ACZ917532 AMV917532 AWR917532 BGN917532 BQJ917532 CAF917532 CKB917532 CTX917532 DDT917532 DNP917532 DXL917532 EHH917532 ERD917532 FAZ917532 FKV917532 FUR917532 GEN917532 GOJ917532 GYF917532 HIB917532 HRX917532 IBT917532 ILP917532 IVL917532 JFH917532 JPD917532 JYZ917532 KIV917532 KSR917532 LCN917532 LMJ917532 LWF917532 MGB917532 MPX917532 MZT917532 NJP917532 NTL917532 ODH917532 OND917532 OWZ917532 PGV917532 PQR917532 QAN917532 QKJ917532 QUF917532 REB917532 RNX917532 RXT917532 SHP917532 SRL917532 TBH917532 TLD917532 TUZ917532 UEV917532 UOR917532 UYN917532 VIJ917532 VSF917532 WCB917532 WLX917532 WVT917532 L983068 JH983068 TD983068 ACZ983068 AMV983068 AWR983068 BGN983068 BQJ983068 CAF983068 CKB983068 CTX983068 DDT983068 DNP983068 DXL983068 EHH983068 ERD983068 FAZ983068 FKV983068 FUR983068 GEN983068 GOJ983068 GYF983068 HIB983068 HRX983068 IBT983068 ILP983068 IVL983068 JFH983068 JPD983068 JYZ983068 KIV983068 KSR983068 LCN983068 LMJ983068 LWF983068 MGB983068 MPX983068 MZT983068 NJP983068 NTL983068 ODH983068 OND983068 OWZ983068 PGV983068 PQR983068 QAN983068 QKJ983068 QUF983068 REB983068 RNX983068 RXT983068 SHP983068 SRL983068 TBH983068 TLD983068 TUZ983068 UEV983068 UOR983068 UYN983068 VIJ983068 VSF983068 WCB983068 WLX983068">
      <formula1>$BY$5:$BY$12</formula1>
    </dataValidation>
    <dataValidation type="list" allowBlank="1" showInputMessage="1" showErrorMessage="1" sqref="WVT983067 JH27 TD27 ACZ27 AMV27 AWR27 BGN27 BQJ27 CAF27 CKB27 CTX27 DDT27 DNP27 DXL27 EHH27 ERD27 FAZ27 FKV27 FUR27 GEN27 GOJ27 GYF27 HIB27 HRX27 IBT27 ILP27 IVL27 JFH27 JPD27 JYZ27 KIV27 KSR27 LCN27 LMJ27 LWF27 MGB27 MPX27 MZT27 NJP27 NTL27 ODH27 OND27 OWZ27 PGV27 PQR27 QAN27 QKJ27 QUF27 REB27 RNX27 RXT27 SHP27 SRL27 TBH27 TLD27 TUZ27 UEV27 UOR27 UYN27 VIJ27 VSF27 WCB27 WLX27 WVT27 L65563 JH65563 TD65563 ACZ65563 AMV65563 AWR65563 BGN65563 BQJ65563 CAF65563 CKB65563 CTX65563 DDT65563 DNP65563 DXL65563 EHH65563 ERD65563 FAZ65563 FKV65563 FUR65563 GEN65563 GOJ65563 GYF65563 HIB65563 HRX65563 IBT65563 ILP65563 IVL65563 JFH65563 JPD65563 JYZ65563 KIV65563 KSR65563 LCN65563 LMJ65563 LWF65563 MGB65563 MPX65563 MZT65563 NJP65563 NTL65563 ODH65563 OND65563 OWZ65563 PGV65563 PQR65563 QAN65563 QKJ65563 QUF65563 REB65563 RNX65563 RXT65563 SHP65563 SRL65563 TBH65563 TLD65563 TUZ65563 UEV65563 UOR65563 UYN65563 VIJ65563 VSF65563 WCB65563 WLX65563 WVT65563 L131099 JH131099 TD131099 ACZ131099 AMV131099 AWR131099 BGN131099 BQJ131099 CAF131099 CKB131099 CTX131099 DDT131099 DNP131099 DXL131099 EHH131099 ERD131099 FAZ131099 FKV131099 FUR131099 GEN131099 GOJ131099 GYF131099 HIB131099 HRX131099 IBT131099 ILP131099 IVL131099 JFH131099 JPD131099 JYZ131099 KIV131099 KSR131099 LCN131099 LMJ131099 LWF131099 MGB131099 MPX131099 MZT131099 NJP131099 NTL131099 ODH131099 OND131099 OWZ131099 PGV131099 PQR131099 QAN131099 QKJ131099 QUF131099 REB131099 RNX131099 RXT131099 SHP131099 SRL131099 TBH131099 TLD131099 TUZ131099 UEV131099 UOR131099 UYN131099 VIJ131099 VSF131099 WCB131099 WLX131099 WVT131099 L196635 JH196635 TD196635 ACZ196635 AMV196635 AWR196635 BGN196635 BQJ196635 CAF196635 CKB196635 CTX196635 DDT196635 DNP196635 DXL196635 EHH196635 ERD196635 FAZ196635 FKV196635 FUR196635 GEN196635 GOJ196635 GYF196635 HIB196635 HRX196635 IBT196635 ILP196635 IVL196635 JFH196635 JPD196635 JYZ196635 KIV196635 KSR196635 LCN196635 LMJ196635 LWF196635 MGB196635 MPX196635 MZT196635 NJP196635 NTL196635 ODH196635 OND196635 OWZ196635 PGV196635 PQR196635 QAN196635 QKJ196635 QUF196635 REB196635 RNX196635 RXT196635 SHP196635 SRL196635 TBH196635 TLD196635 TUZ196635 UEV196635 UOR196635 UYN196635 VIJ196635 VSF196635 WCB196635 WLX196635 WVT196635 L262171 JH262171 TD262171 ACZ262171 AMV262171 AWR262171 BGN262171 BQJ262171 CAF262171 CKB262171 CTX262171 DDT262171 DNP262171 DXL262171 EHH262171 ERD262171 FAZ262171 FKV262171 FUR262171 GEN262171 GOJ262171 GYF262171 HIB262171 HRX262171 IBT262171 ILP262171 IVL262171 JFH262171 JPD262171 JYZ262171 KIV262171 KSR262171 LCN262171 LMJ262171 LWF262171 MGB262171 MPX262171 MZT262171 NJP262171 NTL262171 ODH262171 OND262171 OWZ262171 PGV262171 PQR262171 QAN262171 QKJ262171 QUF262171 REB262171 RNX262171 RXT262171 SHP262171 SRL262171 TBH262171 TLD262171 TUZ262171 UEV262171 UOR262171 UYN262171 VIJ262171 VSF262171 WCB262171 WLX262171 WVT262171 L327707 JH327707 TD327707 ACZ327707 AMV327707 AWR327707 BGN327707 BQJ327707 CAF327707 CKB327707 CTX327707 DDT327707 DNP327707 DXL327707 EHH327707 ERD327707 FAZ327707 FKV327707 FUR327707 GEN327707 GOJ327707 GYF327707 HIB327707 HRX327707 IBT327707 ILP327707 IVL327707 JFH327707 JPD327707 JYZ327707 KIV327707 KSR327707 LCN327707 LMJ327707 LWF327707 MGB327707 MPX327707 MZT327707 NJP327707 NTL327707 ODH327707 OND327707 OWZ327707 PGV327707 PQR327707 QAN327707 QKJ327707 QUF327707 REB327707 RNX327707 RXT327707 SHP327707 SRL327707 TBH327707 TLD327707 TUZ327707 UEV327707 UOR327707 UYN327707 VIJ327707 VSF327707 WCB327707 WLX327707 WVT327707 L393243 JH393243 TD393243 ACZ393243 AMV393243 AWR393243 BGN393243 BQJ393243 CAF393243 CKB393243 CTX393243 DDT393243 DNP393243 DXL393243 EHH393243 ERD393243 FAZ393243 FKV393243 FUR393243 GEN393243 GOJ393243 GYF393243 HIB393243 HRX393243 IBT393243 ILP393243 IVL393243 JFH393243 JPD393243 JYZ393243 KIV393243 KSR393243 LCN393243 LMJ393243 LWF393243 MGB393243 MPX393243 MZT393243 NJP393243 NTL393243 ODH393243 OND393243 OWZ393243 PGV393243 PQR393243 QAN393243 QKJ393243 QUF393243 REB393243 RNX393243 RXT393243 SHP393243 SRL393243 TBH393243 TLD393243 TUZ393243 UEV393243 UOR393243 UYN393243 VIJ393243 VSF393243 WCB393243 WLX393243 WVT393243 L458779 JH458779 TD458779 ACZ458779 AMV458779 AWR458779 BGN458779 BQJ458779 CAF458779 CKB458779 CTX458779 DDT458779 DNP458779 DXL458779 EHH458779 ERD458779 FAZ458779 FKV458779 FUR458779 GEN458779 GOJ458779 GYF458779 HIB458779 HRX458779 IBT458779 ILP458779 IVL458779 JFH458779 JPD458779 JYZ458779 KIV458779 KSR458779 LCN458779 LMJ458779 LWF458779 MGB458779 MPX458779 MZT458779 NJP458779 NTL458779 ODH458779 OND458779 OWZ458779 PGV458779 PQR458779 QAN458779 QKJ458779 QUF458779 REB458779 RNX458779 RXT458779 SHP458779 SRL458779 TBH458779 TLD458779 TUZ458779 UEV458779 UOR458779 UYN458779 VIJ458779 VSF458779 WCB458779 WLX458779 WVT458779 L524315 JH524315 TD524315 ACZ524315 AMV524315 AWR524315 BGN524315 BQJ524315 CAF524315 CKB524315 CTX524315 DDT524315 DNP524315 DXL524315 EHH524315 ERD524315 FAZ524315 FKV524315 FUR524315 GEN524315 GOJ524315 GYF524315 HIB524315 HRX524315 IBT524315 ILP524315 IVL524315 JFH524315 JPD524315 JYZ524315 KIV524315 KSR524315 LCN524315 LMJ524315 LWF524315 MGB524315 MPX524315 MZT524315 NJP524315 NTL524315 ODH524315 OND524315 OWZ524315 PGV524315 PQR524315 QAN524315 QKJ524315 QUF524315 REB524315 RNX524315 RXT524315 SHP524315 SRL524315 TBH524315 TLD524315 TUZ524315 UEV524315 UOR524315 UYN524315 VIJ524315 VSF524315 WCB524315 WLX524315 WVT524315 L589851 JH589851 TD589851 ACZ589851 AMV589851 AWR589851 BGN589851 BQJ589851 CAF589851 CKB589851 CTX589851 DDT589851 DNP589851 DXL589851 EHH589851 ERD589851 FAZ589851 FKV589851 FUR589851 GEN589851 GOJ589851 GYF589851 HIB589851 HRX589851 IBT589851 ILP589851 IVL589851 JFH589851 JPD589851 JYZ589851 KIV589851 KSR589851 LCN589851 LMJ589851 LWF589851 MGB589851 MPX589851 MZT589851 NJP589851 NTL589851 ODH589851 OND589851 OWZ589851 PGV589851 PQR589851 QAN589851 QKJ589851 QUF589851 REB589851 RNX589851 RXT589851 SHP589851 SRL589851 TBH589851 TLD589851 TUZ589851 UEV589851 UOR589851 UYN589851 VIJ589851 VSF589851 WCB589851 WLX589851 WVT589851 L655387 JH655387 TD655387 ACZ655387 AMV655387 AWR655387 BGN655387 BQJ655387 CAF655387 CKB655387 CTX655387 DDT655387 DNP655387 DXL655387 EHH655387 ERD655387 FAZ655387 FKV655387 FUR655387 GEN655387 GOJ655387 GYF655387 HIB655387 HRX655387 IBT655387 ILP655387 IVL655387 JFH655387 JPD655387 JYZ655387 KIV655387 KSR655387 LCN655387 LMJ655387 LWF655387 MGB655387 MPX655387 MZT655387 NJP655387 NTL655387 ODH655387 OND655387 OWZ655387 PGV655387 PQR655387 QAN655387 QKJ655387 QUF655387 REB655387 RNX655387 RXT655387 SHP655387 SRL655387 TBH655387 TLD655387 TUZ655387 UEV655387 UOR655387 UYN655387 VIJ655387 VSF655387 WCB655387 WLX655387 WVT655387 L720923 JH720923 TD720923 ACZ720923 AMV720923 AWR720923 BGN720923 BQJ720923 CAF720923 CKB720923 CTX720923 DDT720923 DNP720923 DXL720923 EHH720923 ERD720923 FAZ720923 FKV720923 FUR720923 GEN720923 GOJ720923 GYF720923 HIB720923 HRX720923 IBT720923 ILP720923 IVL720923 JFH720923 JPD720923 JYZ720923 KIV720923 KSR720923 LCN720923 LMJ720923 LWF720923 MGB720923 MPX720923 MZT720923 NJP720923 NTL720923 ODH720923 OND720923 OWZ720923 PGV720923 PQR720923 QAN720923 QKJ720923 QUF720923 REB720923 RNX720923 RXT720923 SHP720923 SRL720923 TBH720923 TLD720923 TUZ720923 UEV720923 UOR720923 UYN720923 VIJ720923 VSF720923 WCB720923 WLX720923 WVT720923 L786459 JH786459 TD786459 ACZ786459 AMV786459 AWR786459 BGN786459 BQJ786459 CAF786459 CKB786459 CTX786459 DDT786459 DNP786459 DXL786459 EHH786459 ERD786459 FAZ786459 FKV786459 FUR786459 GEN786459 GOJ786459 GYF786459 HIB786459 HRX786459 IBT786459 ILP786459 IVL786459 JFH786459 JPD786459 JYZ786459 KIV786459 KSR786459 LCN786459 LMJ786459 LWF786459 MGB786459 MPX786459 MZT786459 NJP786459 NTL786459 ODH786459 OND786459 OWZ786459 PGV786459 PQR786459 QAN786459 QKJ786459 QUF786459 REB786459 RNX786459 RXT786459 SHP786459 SRL786459 TBH786459 TLD786459 TUZ786459 UEV786459 UOR786459 UYN786459 VIJ786459 VSF786459 WCB786459 WLX786459 WVT786459 L851995 JH851995 TD851995 ACZ851995 AMV851995 AWR851995 BGN851995 BQJ851995 CAF851995 CKB851995 CTX851995 DDT851995 DNP851995 DXL851995 EHH851995 ERD851995 FAZ851995 FKV851995 FUR851995 GEN851995 GOJ851995 GYF851995 HIB851995 HRX851995 IBT851995 ILP851995 IVL851995 JFH851995 JPD851995 JYZ851995 KIV851995 KSR851995 LCN851995 LMJ851995 LWF851995 MGB851995 MPX851995 MZT851995 NJP851995 NTL851995 ODH851995 OND851995 OWZ851995 PGV851995 PQR851995 QAN851995 QKJ851995 QUF851995 REB851995 RNX851995 RXT851995 SHP851995 SRL851995 TBH851995 TLD851995 TUZ851995 UEV851995 UOR851995 UYN851995 VIJ851995 VSF851995 WCB851995 WLX851995 WVT851995 L917531 JH917531 TD917531 ACZ917531 AMV917531 AWR917531 BGN917531 BQJ917531 CAF917531 CKB917531 CTX917531 DDT917531 DNP917531 DXL917531 EHH917531 ERD917531 FAZ917531 FKV917531 FUR917531 GEN917531 GOJ917531 GYF917531 HIB917531 HRX917531 IBT917531 ILP917531 IVL917531 JFH917531 JPD917531 JYZ917531 KIV917531 KSR917531 LCN917531 LMJ917531 LWF917531 MGB917531 MPX917531 MZT917531 NJP917531 NTL917531 ODH917531 OND917531 OWZ917531 PGV917531 PQR917531 QAN917531 QKJ917531 QUF917531 REB917531 RNX917531 RXT917531 SHP917531 SRL917531 TBH917531 TLD917531 TUZ917531 UEV917531 UOR917531 UYN917531 VIJ917531 VSF917531 WCB917531 WLX917531 WVT917531 L983067 JH983067 TD983067 ACZ983067 AMV983067 AWR983067 BGN983067 BQJ983067 CAF983067 CKB983067 CTX983067 DDT983067 DNP983067 DXL983067 EHH983067 ERD983067 FAZ983067 FKV983067 FUR983067 GEN983067 GOJ983067 GYF983067 HIB983067 HRX983067 IBT983067 ILP983067 IVL983067 JFH983067 JPD983067 JYZ983067 KIV983067 KSR983067 LCN983067 LMJ983067 LWF983067 MGB983067 MPX983067 MZT983067 NJP983067 NTL983067 ODH983067 OND983067 OWZ983067 PGV983067 PQR983067 QAN983067 QKJ983067 QUF983067 REB983067 RNX983067 RXT983067 SHP983067 SRL983067 TBH983067 TLD983067 TUZ983067 UEV983067 UOR983067 UYN983067 VIJ983067 VSF983067 WCB983067 WLX983067">
      <formula1>$BS$5:$BS$12</formula1>
    </dataValidation>
    <dataValidation type="list" allowBlank="1" showInputMessage="1" showErrorMessage="1" sqref="WVT983066 JH26 TD26 ACZ26 AMV26 AWR26 BGN26 BQJ26 CAF26 CKB26 CTX26 DDT26 DNP26 DXL26 EHH26 ERD26 FAZ26 FKV26 FUR26 GEN26 GOJ26 GYF26 HIB26 HRX26 IBT26 ILP26 IVL26 JFH26 JPD26 JYZ26 KIV26 KSR26 LCN26 LMJ26 LWF26 MGB26 MPX26 MZT26 NJP26 NTL26 ODH26 OND26 OWZ26 PGV26 PQR26 QAN26 QKJ26 QUF26 REB26 RNX26 RXT26 SHP26 SRL26 TBH26 TLD26 TUZ26 UEV26 UOR26 UYN26 VIJ26 VSF26 WCB26 WLX26 WVT26 L65562 JH65562 TD65562 ACZ65562 AMV65562 AWR65562 BGN65562 BQJ65562 CAF65562 CKB65562 CTX65562 DDT65562 DNP65562 DXL65562 EHH65562 ERD65562 FAZ65562 FKV65562 FUR65562 GEN65562 GOJ65562 GYF65562 HIB65562 HRX65562 IBT65562 ILP65562 IVL65562 JFH65562 JPD65562 JYZ65562 KIV65562 KSR65562 LCN65562 LMJ65562 LWF65562 MGB65562 MPX65562 MZT65562 NJP65562 NTL65562 ODH65562 OND65562 OWZ65562 PGV65562 PQR65562 QAN65562 QKJ65562 QUF65562 REB65562 RNX65562 RXT65562 SHP65562 SRL65562 TBH65562 TLD65562 TUZ65562 UEV65562 UOR65562 UYN65562 VIJ65562 VSF65562 WCB65562 WLX65562 WVT65562 L131098 JH131098 TD131098 ACZ131098 AMV131098 AWR131098 BGN131098 BQJ131098 CAF131098 CKB131098 CTX131098 DDT131098 DNP131098 DXL131098 EHH131098 ERD131098 FAZ131098 FKV131098 FUR131098 GEN131098 GOJ131098 GYF131098 HIB131098 HRX131098 IBT131098 ILP131098 IVL131098 JFH131098 JPD131098 JYZ131098 KIV131098 KSR131098 LCN131098 LMJ131098 LWF131098 MGB131098 MPX131098 MZT131098 NJP131098 NTL131098 ODH131098 OND131098 OWZ131098 PGV131098 PQR131098 QAN131098 QKJ131098 QUF131098 REB131098 RNX131098 RXT131098 SHP131098 SRL131098 TBH131098 TLD131098 TUZ131098 UEV131098 UOR131098 UYN131098 VIJ131098 VSF131098 WCB131098 WLX131098 WVT131098 L196634 JH196634 TD196634 ACZ196634 AMV196634 AWR196634 BGN196634 BQJ196634 CAF196634 CKB196634 CTX196634 DDT196634 DNP196634 DXL196634 EHH196634 ERD196634 FAZ196634 FKV196634 FUR196634 GEN196634 GOJ196634 GYF196634 HIB196634 HRX196634 IBT196634 ILP196634 IVL196634 JFH196634 JPD196634 JYZ196634 KIV196634 KSR196634 LCN196634 LMJ196634 LWF196634 MGB196634 MPX196634 MZT196634 NJP196634 NTL196634 ODH196634 OND196634 OWZ196634 PGV196634 PQR196634 QAN196634 QKJ196634 QUF196634 REB196634 RNX196634 RXT196634 SHP196634 SRL196634 TBH196634 TLD196634 TUZ196634 UEV196634 UOR196634 UYN196634 VIJ196634 VSF196634 WCB196634 WLX196634 WVT196634 L262170 JH262170 TD262170 ACZ262170 AMV262170 AWR262170 BGN262170 BQJ262170 CAF262170 CKB262170 CTX262170 DDT262170 DNP262170 DXL262170 EHH262170 ERD262170 FAZ262170 FKV262170 FUR262170 GEN262170 GOJ262170 GYF262170 HIB262170 HRX262170 IBT262170 ILP262170 IVL262170 JFH262170 JPD262170 JYZ262170 KIV262170 KSR262170 LCN262170 LMJ262170 LWF262170 MGB262170 MPX262170 MZT262170 NJP262170 NTL262170 ODH262170 OND262170 OWZ262170 PGV262170 PQR262170 QAN262170 QKJ262170 QUF262170 REB262170 RNX262170 RXT262170 SHP262170 SRL262170 TBH262170 TLD262170 TUZ262170 UEV262170 UOR262170 UYN262170 VIJ262170 VSF262170 WCB262170 WLX262170 WVT262170 L327706 JH327706 TD327706 ACZ327706 AMV327706 AWR327706 BGN327706 BQJ327706 CAF327706 CKB327706 CTX327706 DDT327706 DNP327706 DXL327706 EHH327706 ERD327706 FAZ327706 FKV327706 FUR327706 GEN327706 GOJ327706 GYF327706 HIB327706 HRX327706 IBT327706 ILP327706 IVL327706 JFH327706 JPD327706 JYZ327706 KIV327706 KSR327706 LCN327706 LMJ327706 LWF327706 MGB327706 MPX327706 MZT327706 NJP327706 NTL327706 ODH327706 OND327706 OWZ327706 PGV327706 PQR327706 QAN327706 QKJ327706 QUF327706 REB327706 RNX327706 RXT327706 SHP327706 SRL327706 TBH327706 TLD327706 TUZ327706 UEV327706 UOR327706 UYN327706 VIJ327706 VSF327706 WCB327706 WLX327706 WVT327706 L393242 JH393242 TD393242 ACZ393242 AMV393242 AWR393242 BGN393242 BQJ393242 CAF393242 CKB393242 CTX393242 DDT393242 DNP393242 DXL393242 EHH393242 ERD393242 FAZ393242 FKV393242 FUR393242 GEN393242 GOJ393242 GYF393242 HIB393242 HRX393242 IBT393242 ILP393242 IVL393242 JFH393242 JPD393242 JYZ393242 KIV393242 KSR393242 LCN393242 LMJ393242 LWF393242 MGB393242 MPX393242 MZT393242 NJP393242 NTL393242 ODH393242 OND393242 OWZ393242 PGV393242 PQR393242 QAN393242 QKJ393242 QUF393242 REB393242 RNX393242 RXT393242 SHP393242 SRL393242 TBH393242 TLD393242 TUZ393242 UEV393242 UOR393242 UYN393242 VIJ393242 VSF393242 WCB393242 WLX393242 WVT393242 L458778 JH458778 TD458778 ACZ458778 AMV458778 AWR458778 BGN458778 BQJ458778 CAF458778 CKB458778 CTX458778 DDT458778 DNP458778 DXL458778 EHH458778 ERD458778 FAZ458778 FKV458778 FUR458778 GEN458778 GOJ458778 GYF458778 HIB458778 HRX458778 IBT458778 ILP458778 IVL458778 JFH458778 JPD458778 JYZ458778 KIV458778 KSR458778 LCN458778 LMJ458778 LWF458778 MGB458778 MPX458778 MZT458778 NJP458778 NTL458778 ODH458778 OND458778 OWZ458778 PGV458778 PQR458778 QAN458778 QKJ458778 QUF458778 REB458778 RNX458778 RXT458778 SHP458778 SRL458778 TBH458778 TLD458778 TUZ458778 UEV458778 UOR458778 UYN458778 VIJ458778 VSF458778 WCB458778 WLX458778 WVT458778 L524314 JH524314 TD524314 ACZ524314 AMV524314 AWR524314 BGN524314 BQJ524314 CAF524314 CKB524314 CTX524314 DDT524314 DNP524314 DXL524314 EHH524314 ERD524314 FAZ524314 FKV524314 FUR524314 GEN524314 GOJ524314 GYF524314 HIB524314 HRX524314 IBT524314 ILP524314 IVL524314 JFH524314 JPD524314 JYZ524314 KIV524314 KSR524314 LCN524314 LMJ524314 LWF524314 MGB524314 MPX524314 MZT524314 NJP524314 NTL524314 ODH524314 OND524314 OWZ524314 PGV524314 PQR524314 QAN524314 QKJ524314 QUF524314 REB524314 RNX524314 RXT524314 SHP524314 SRL524314 TBH524314 TLD524314 TUZ524314 UEV524314 UOR524314 UYN524314 VIJ524314 VSF524314 WCB524314 WLX524314 WVT524314 L589850 JH589850 TD589850 ACZ589850 AMV589850 AWR589850 BGN589850 BQJ589850 CAF589850 CKB589850 CTX589850 DDT589850 DNP589850 DXL589850 EHH589850 ERD589850 FAZ589850 FKV589850 FUR589850 GEN589850 GOJ589850 GYF589850 HIB589850 HRX589850 IBT589850 ILP589850 IVL589850 JFH589850 JPD589850 JYZ589850 KIV589850 KSR589850 LCN589850 LMJ589850 LWF589850 MGB589850 MPX589850 MZT589850 NJP589850 NTL589850 ODH589850 OND589850 OWZ589850 PGV589850 PQR589850 QAN589850 QKJ589850 QUF589850 REB589850 RNX589850 RXT589850 SHP589850 SRL589850 TBH589850 TLD589850 TUZ589850 UEV589850 UOR589850 UYN589850 VIJ589850 VSF589850 WCB589850 WLX589850 WVT589850 L655386 JH655386 TD655386 ACZ655386 AMV655386 AWR655386 BGN655386 BQJ655386 CAF655386 CKB655386 CTX655386 DDT655386 DNP655386 DXL655386 EHH655386 ERD655386 FAZ655386 FKV655386 FUR655386 GEN655386 GOJ655386 GYF655386 HIB655386 HRX655386 IBT655386 ILP655386 IVL655386 JFH655386 JPD655386 JYZ655386 KIV655386 KSR655386 LCN655386 LMJ655386 LWF655386 MGB655386 MPX655386 MZT655386 NJP655386 NTL655386 ODH655386 OND655386 OWZ655386 PGV655386 PQR655386 QAN655386 QKJ655386 QUF655386 REB655386 RNX655386 RXT655386 SHP655386 SRL655386 TBH655386 TLD655386 TUZ655386 UEV655386 UOR655386 UYN655386 VIJ655386 VSF655386 WCB655386 WLX655386 WVT655386 L720922 JH720922 TD720922 ACZ720922 AMV720922 AWR720922 BGN720922 BQJ720922 CAF720922 CKB720922 CTX720922 DDT720922 DNP720922 DXL720922 EHH720922 ERD720922 FAZ720922 FKV720922 FUR720922 GEN720922 GOJ720922 GYF720922 HIB720922 HRX720922 IBT720922 ILP720922 IVL720922 JFH720922 JPD720922 JYZ720922 KIV720922 KSR720922 LCN720922 LMJ720922 LWF720922 MGB720922 MPX720922 MZT720922 NJP720922 NTL720922 ODH720922 OND720922 OWZ720922 PGV720922 PQR720922 QAN720922 QKJ720922 QUF720922 REB720922 RNX720922 RXT720922 SHP720922 SRL720922 TBH720922 TLD720922 TUZ720922 UEV720922 UOR720922 UYN720922 VIJ720922 VSF720922 WCB720922 WLX720922 WVT720922 L786458 JH786458 TD786458 ACZ786458 AMV786458 AWR786458 BGN786458 BQJ786458 CAF786458 CKB786458 CTX786458 DDT786458 DNP786458 DXL786458 EHH786458 ERD786458 FAZ786458 FKV786458 FUR786458 GEN786458 GOJ786458 GYF786458 HIB786458 HRX786458 IBT786458 ILP786458 IVL786458 JFH786458 JPD786458 JYZ786458 KIV786458 KSR786458 LCN786458 LMJ786458 LWF786458 MGB786458 MPX786458 MZT786458 NJP786458 NTL786458 ODH786458 OND786458 OWZ786458 PGV786458 PQR786458 QAN786458 QKJ786458 QUF786458 REB786458 RNX786458 RXT786458 SHP786458 SRL786458 TBH786458 TLD786458 TUZ786458 UEV786458 UOR786458 UYN786458 VIJ786458 VSF786458 WCB786458 WLX786458 WVT786458 L851994 JH851994 TD851994 ACZ851994 AMV851994 AWR851994 BGN851994 BQJ851994 CAF851994 CKB851994 CTX851994 DDT851994 DNP851994 DXL851994 EHH851994 ERD851994 FAZ851994 FKV851994 FUR851994 GEN851994 GOJ851994 GYF851994 HIB851994 HRX851994 IBT851994 ILP851994 IVL851994 JFH851994 JPD851994 JYZ851994 KIV851994 KSR851994 LCN851994 LMJ851994 LWF851994 MGB851994 MPX851994 MZT851994 NJP851994 NTL851994 ODH851994 OND851994 OWZ851994 PGV851994 PQR851994 QAN851994 QKJ851994 QUF851994 REB851994 RNX851994 RXT851994 SHP851994 SRL851994 TBH851994 TLD851994 TUZ851994 UEV851994 UOR851994 UYN851994 VIJ851994 VSF851994 WCB851994 WLX851994 WVT851994 L917530 JH917530 TD917530 ACZ917530 AMV917530 AWR917530 BGN917530 BQJ917530 CAF917530 CKB917530 CTX917530 DDT917530 DNP917530 DXL917530 EHH917530 ERD917530 FAZ917530 FKV917530 FUR917530 GEN917530 GOJ917530 GYF917530 HIB917530 HRX917530 IBT917530 ILP917530 IVL917530 JFH917530 JPD917530 JYZ917530 KIV917530 KSR917530 LCN917530 LMJ917530 LWF917530 MGB917530 MPX917530 MZT917530 NJP917530 NTL917530 ODH917530 OND917530 OWZ917530 PGV917530 PQR917530 QAN917530 QKJ917530 QUF917530 REB917530 RNX917530 RXT917530 SHP917530 SRL917530 TBH917530 TLD917530 TUZ917530 UEV917530 UOR917530 UYN917530 VIJ917530 VSF917530 WCB917530 WLX917530 WVT917530 L983066 JH983066 TD983066 ACZ983066 AMV983066 AWR983066 BGN983066 BQJ983066 CAF983066 CKB983066 CTX983066 DDT983066 DNP983066 DXL983066 EHH983066 ERD983066 FAZ983066 FKV983066 FUR983066 GEN983066 GOJ983066 GYF983066 HIB983066 HRX983066 IBT983066 ILP983066 IVL983066 JFH983066 JPD983066 JYZ983066 KIV983066 KSR983066 LCN983066 LMJ983066 LWF983066 MGB983066 MPX983066 MZT983066 NJP983066 NTL983066 ODH983066 OND983066 OWZ983066 PGV983066 PQR983066 QAN983066 QKJ983066 QUF983066 REB983066 RNX983066 RXT983066 SHP983066 SRL983066 TBH983066 TLD983066 TUZ983066 UEV983066 UOR983066 UYN983066 VIJ983066 VSF983066 WCB983066 WLX983066">
      <formula1>$BO$5:$BO$12</formula1>
    </dataValidation>
    <dataValidation type="list" allowBlank="1" showInputMessage="1" showErrorMessage="1" sqref="WVT983065 JH25 TD25 ACZ25 AMV25 AWR25 BGN25 BQJ25 CAF25 CKB25 CTX25 DDT25 DNP25 DXL25 EHH25 ERD25 FAZ25 FKV25 FUR25 GEN25 GOJ25 GYF25 HIB25 HRX25 IBT25 ILP25 IVL25 JFH25 JPD25 JYZ25 KIV25 KSR25 LCN25 LMJ25 LWF25 MGB25 MPX25 MZT25 NJP25 NTL25 ODH25 OND25 OWZ25 PGV25 PQR25 QAN25 QKJ25 QUF25 REB25 RNX25 RXT25 SHP25 SRL25 TBH25 TLD25 TUZ25 UEV25 UOR25 UYN25 VIJ25 VSF25 WCB25 WLX25 WVT25 L65561 JH65561 TD65561 ACZ65561 AMV65561 AWR65561 BGN65561 BQJ65561 CAF65561 CKB65561 CTX65561 DDT65561 DNP65561 DXL65561 EHH65561 ERD65561 FAZ65561 FKV65561 FUR65561 GEN65561 GOJ65561 GYF65561 HIB65561 HRX65561 IBT65561 ILP65561 IVL65561 JFH65561 JPD65561 JYZ65561 KIV65561 KSR65561 LCN65561 LMJ65561 LWF65561 MGB65561 MPX65561 MZT65561 NJP65561 NTL65561 ODH65561 OND65561 OWZ65561 PGV65561 PQR65561 QAN65561 QKJ65561 QUF65561 REB65561 RNX65561 RXT65561 SHP65561 SRL65561 TBH65561 TLD65561 TUZ65561 UEV65561 UOR65561 UYN65561 VIJ65561 VSF65561 WCB65561 WLX65561 WVT65561 L131097 JH131097 TD131097 ACZ131097 AMV131097 AWR131097 BGN131097 BQJ131097 CAF131097 CKB131097 CTX131097 DDT131097 DNP131097 DXL131097 EHH131097 ERD131097 FAZ131097 FKV131097 FUR131097 GEN131097 GOJ131097 GYF131097 HIB131097 HRX131097 IBT131097 ILP131097 IVL131097 JFH131097 JPD131097 JYZ131097 KIV131097 KSR131097 LCN131097 LMJ131097 LWF131097 MGB131097 MPX131097 MZT131097 NJP131097 NTL131097 ODH131097 OND131097 OWZ131097 PGV131097 PQR131097 QAN131097 QKJ131097 QUF131097 REB131097 RNX131097 RXT131097 SHP131097 SRL131097 TBH131097 TLD131097 TUZ131097 UEV131097 UOR131097 UYN131097 VIJ131097 VSF131097 WCB131097 WLX131097 WVT131097 L196633 JH196633 TD196633 ACZ196633 AMV196633 AWR196633 BGN196633 BQJ196633 CAF196633 CKB196633 CTX196633 DDT196633 DNP196633 DXL196633 EHH196633 ERD196633 FAZ196633 FKV196633 FUR196633 GEN196633 GOJ196633 GYF196633 HIB196633 HRX196633 IBT196633 ILP196633 IVL196633 JFH196633 JPD196633 JYZ196633 KIV196633 KSR196633 LCN196633 LMJ196633 LWF196633 MGB196633 MPX196633 MZT196633 NJP196633 NTL196633 ODH196633 OND196633 OWZ196633 PGV196633 PQR196633 QAN196633 QKJ196633 QUF196633 REB196633 RNX196633 RXT196633 SHP196633 SRL196633 TBH196633 TLD196633 TUZ196633 UEV196633 UOR196633 UYN196633 VIJ196633 VSF196633 WCB196633 WLX196633 WVT196633 L262169 JH262169 TD262169 ACZ262169 AMV262169 AWR262169 BGN262169 BQJ262169 CAF262169 CKB262169 CTX262169 DDT262169 DNP262169 DXL262169 EHH262169 ERD262169 FAZ262169 FKV262169 FUR262169 GEN262169 GOJ262169 GYF262169 HIB262169 HRX262169 IBT262169 ILP262169 IVL262169 JFH262169 JPD262169 JYZ262169 KIV262169 KSR262169 LCN262169 LMJ262169 LWF262169 MGB262169 MPX262169 MZT262169 NJP262169 NTL262169 ODH262169 OND262169 OWZ262169 PGV262169 PQR262169 QAN262169 QKJ262169 QUF262169 REB262169 RNX262169 RXT262169 SHP262169 SRL262169 TBH262169 TLD262169 TUZ262169 UEV262169 UOR262169 UYN262169 VIJ262169 VSF262169 WCB262169 WLX262169 WVT262169 L327705 JH327705 TD327705 ACZ327705 AMV327705 AWR327705 BGN327705 BQJ327705 CAF327705 CKB327705 CTX327705 DDT327705 DNP327705 DXL327705 EHH327705 ERD327705 FAZ327705 FKV327705 FUR327705 GEN327705 GOJ327705 GYF327705 HIB327705 HRX327705 IBT327705 ILP327705 IVL327705 JFH327705 JPD327705 JYZ327705 KIV327705 KSR327705 LCN327705 LMJ327705 LWF327705 MGB327705 MPX327705 MZT327705 NJP327705 NTL327705 ODH327705 OND327705 OWZ327705 PGV327705 PQR327705 QAN327705 QKJ327705 QUF327705 REB327705 RNX327705 RXT327705 SHP327705 SRL327705 TBH327705 TLD327705 TUZ327705 UEV327705 UOR327705 UYN327705 VIJ327705 VSF327705 WCB327705 WLX327705 WVT327705 L393241 JH393241 TD393241 ACZ393241 AMV393241 AWR393241 BGN393241 BQJ393241 CAF393241 CKB393241 CTX393241 DDT393241 DNP393241 DXL393241 EHH393241 ERD393241 FAZ393241 FKV393241 FUR393241 GEN393241 GOJ393241 GYF393241 HIB393241 HRX393241 IBT393241 ILP393241 IVL393241 JFH393241 JPD393241 JYZ393241 KIV393241 KSR393241 LCN393241 LMJ393241 LWF393241 MGB393241 MPX393241 MZT393241 NJP393241 NTL393241 ODH393241 OND393241 OWZ393241 PGV393241 PQR393241 QAN393241 QKJ393241 QUF393241 REB393241 RNX393241 RXT393241 SHP393241 SRL393241 TBH393241 TLD393241 TUZ393241 UEV393241 UOR393241 UYN393241 VIJ393241 VSF393241 WCB393241 WLX393241 WVT393241 L458777 JH458777 TD458777 ACZ458777 AMV458777 AWR458777 BGN458777 BQJ458777 CAF458777 CKB458777 CTX458777 DDT458777 DNP458777 DXL458777 EHH458777 ERD458777 FAZ458777 FKV458777 FUR458777 GEN458777 GOJ458777 GYF458777 HIB458777 HRX458777 IBT458777 ILP458777 IVL458777 JFH458777 JPD458777 JYZ458777 KIV458777 KSR458777 LCN458777 LMJ458777 LWF458777 MGB458777 MPX458777 MZT458777 NJP458777 NTL458777 ODH458777 OND458777 OWZ458777 PGV458777 PQR458777 QAN458777 QKJ458777 QUF458777 REB458777 RNX458777 RXT458777 SHP458777 SRL458777 TBH458777 TLD458777 TUZ458777 UEV458777 UOR458777 UYN458777 VIJ458777 VSF458777 WCB458777 WLX458777 WVT458777 L524313 JH524313 TD524313 ACZ524313 AMV524313 AWR524313 BGN524313 BQJ524313 CAF524313 CKB524313 CTX524313 DDT524313 DNP524313 DXL524313 EHH524313 ERD524313 FAZ524313 FKV524313 FUR524313 GEN524313 GOJ524313 GYF524313 HIB524313 HRX524313 IBT524313 ILP524313 IVL524313 JFH524313 JPD524313 JYZ524313 KIV524313 KSR524313 LCN524313 LMJ524313 LWF524313 MGB524313 MPX524313 MZT524313 NJP524313 NTL524313 ODH524313 OND524313 OWZ524313 PGV524313 PQR524313 QAN524313 QKJ524313 QUF524313 REB524313 RNX524313 RXT524313 SHP524313 SRL524313 TBH524313 TLD524313 TUZ524313 UEV524313 UOR524313 UYN524313 VIJ524313 VSF524313 WCB524313 WLX524313 WVT524313 L589849 JH589849 TD589849 ACZ589849 AMV589849 AWR589849 BGN589849 BQJ589849 CAF589849 CKB589849 CTX589849 DDT589849 DNP589849 DXL589849 EHH589849 ERD589849 FAZ589849 FKV589849 FUR589849 GEN589849 GOJ589849 GYF589849 HIB589849 HRX589849 IBT589849 ILP589849 IVL589849 JFH589849 JPD589849 JYZ589849 KIV589849 KSR589849 LCN589849 LMJ589849 LWF589849 MGB589849 MPX589849 MZT589849 NJP589849 NTL589849 ODH589849 OND589849 OWZ589849 PGV589849 PQR589849 QAN589849 QKJ589849 QUF589849 REB589849 RNX589849 RXT589849 SHP589849 SRL589849 TBH589849 TLD589849 TUZ589849 UEV589849 UOR589849 UYN589849 VIJ589849 VSF589849 WCB589849 WLX589849 WVT589849 L655385 JH655385 TD655385 ACZ655385 AMV655385 AWR655385 BGN655385 BQJ655385 CAF655385 CKB655385 CTX655385 DDT655385 DNP655385 DXL655385 EHH655385 ERD655385 FAZ655385 FKV655385 FUR655385 GEN655385 GOJ655385 GYF655385 HIB655385 HRX655385 IBT655385 ILP655385 IVL655385 JFH655385 JPD655385 JYZ655385 KIV655385 KSR655385 LCN655385 LMJ655385 LWF655385 MGB655385 MPX655385 MZT655385 NJP655385 NTL655385 ODH655385 OND655385 OWZ655385 PGV655385 PQR655385 QAN655385 QKJ655385 QUF655385 REB655385 RNX655385 RXT655385 SHP655385 SRL655385 TBH655385 TLD655385 TUZ655385 UEV655385 UOR655385 UYN655385 VIJ655385 VSF655385 WCB655385 WLX655385 WVT655385 L720921 JH720921 TD720921 ACZ720921 AMV720921 AWR720921 BGN720921 BQJ720921 CAF720921 CKB720921 CTX720921 DDT720921 DNP720921 DXL720921 EHH720921 ERD720921 FAZ720921 FKV720921 FUR720921 GEN720921 GOJ720921 GYF720921 HIB720921 HRX720921 IBT720921 ILP720921 IVL720921 JFH720921 JPD720921 JYZ720921 KIV720921 KSR720921 LCN720921 LMJ720921 LWF720921 MGB720921 MPX720921 MZT720921 NJP720921 NTL720921 ODH720921 OND720921 OWZ720921 PGV720921 PQR720921 QAN720921 QKJ720921 QUF720921 REB720921 RNX720921 RXT720921 SHP720921 SRL720921 TBH720921 TLD720921 TUZ720921 UEV720921 UOR720921 UYN720921 VIJ720921 VSF720921 WCB720921 WLX720921 WVT720921 L786457 JH786457 TD786457 ACZ786457 AMV786457 AWR786457 BGN786457 BQJ786457 CAF786457 CKB786457 CTX786457 DDT786457 DNP786457 DXL786457 EHH786457 ERD786457 FAZ786457 FKV786457 FUR786457 GEN786457 GOJ786457 GYF786457 HIB786457 HRX786457 IBT786457 ILP786457 IVL786457 JFH786457 JPD786457 JYZ786457 KIV786457 KSR786457 LCN786457 LMJ786457 LWF786457 MGB786457 MPX786457 MZT786457 NJP786457 NTL786457 ODH786457 OND786457 OWZ786457 PGV786457 PQR786457 QAN786457 QKJ786457 QUF786457 REB786457 RNX786457 RXT786457 SHP786457 SRL786457 TBH786457 TLD786457 TUZ786457 UEV786457 UOR786457 UYN786457 VIJ786457 VSF786457 WCB786457 WLX786457 WVT786457 L851993 JH851993 TD851993 ACZ851993 AMV851993 AWR851993 BGN851993 BQJ851993 CAF851993 CKB851993 CTX851993 DDT851993 DNP851993 DXL851993 EHH851993 ERD851993 FAZ851993 FKV851993 FUR851993 GEN851993 GOJ851993 GYF851993 HIB851993 HRX851993 IBT851993 ILP851993 IVL851993 JFH851993 JPD851993 JYZ851993 KIV851993 KSR851993 LCN851993 LMJ851993 LWF851993 MGB851993 MPX851993 MZT851993 NJP851993 NTL851993 ODH851993 OND851993 OWZ851993 PGV851993 PQR851993 QAN851993 QKJ851993 QUF851993 REB851993 RNX851993 RXT851993 SHP851993 SRL851993 TBH851993 TLD851993 TUZ851993 UEV851993 UOR851993 UYN851993 VIJ851993 VSF851993 WCB851993 WLX851993 WVT851993 L917529 JH917529 TD917529 ACZ917529 AMV917529 AWR917529 BGN917529 BQJ917529 CAF917529 CKB917529 CTX917529 DDT917529 DNP917529 DXL917529 EHH917529 ERD917529 FAZ917529 FKV917529 FUR917529 GEN917529 GOJ917529 GYF917529 HIB917529 HRX917529 IBT917529 ILP917529 IVL917529 JFH917529 JPD917529 JYZ917529 KIV917529 KSR917529 LCN917529 LMJ917529 LWF917529 MGB917529 MPX917529 MZT917529 NJP917529 NTL917529 ODH917529 OND917529 OWZ917529 PGV917529 PQR917529 QAN917529 QKJ917529 QUF917529 REB917529 RNX917529 RXT917529 SHP917529 SRL917529 TBH917529 TLD917529 TUZ917529 UEV917529 UOR917529 UYN917529 VIJ917529 VSF917529 WCB917529 WLX917529 WVT917529 L983065 JH983065 TD983065 ACZ983065 AMV983065 AWR983065 BGN983065 BQJ983065 CAF983065 CKB983065 CTX983065 DDT983065 DNP983065 DXL983065 EHH983065 ERD983065 FAZ983065 FKV983065 FUR983065 GEN983065 GOJ983065 GYF983065 HIB983065 HRX983065 IBT983065 ILP983065 IVL983065 JFH983065 JPD983065 JYZ983065 KIV983065 KSR983065 LCN983065 LMJ983065 LWF983065 MGB983065 MPX983065 MZT983065 NJP983065 NTL983065 ODH983065 OND983065 OWZ983065 PGV983065 PQR983065 QAN983065 QKJ983065 QUF983065 REB983065 RNX983065 RXT983065 SHP983065 SRL983065 TBH983065 TLD983065 TUZ983065 UEV983065 UOR983065 UYN983065 VIJ983065 VSF983065 WCB983065 WLX983065">
      <formula1>$BM$5:$BM$12</formula1>
    </dataValidation>
    <dataValidation type="list" allowBlank="1" showInputMessage="1" showErrorMessage="1" sqref="WVT983064 JH24 TD24 ACZ24 AMV24 AWR24 BGN24 BQJ24 CAF24 CKB24 CTX24 DDT24 DNP24 DXL24 EHH24 ERD24 FAZ24 FKV24 FUR24 GEN24 GOJ24 GYF24 HIB24 HRX24 IBT24 ILP24 IVL24 JFH24 JPD24 JYZ24 KIV24 KSR24 LCN24 LMJ24 LWF24 MGB24 MPX24 MZT24 NJP24 NTL24 ODH24 OND24 OWZ24 PGV24 PQR24 QAN24 QKJ24 QUF24 REB24 RNX24 RXT24 SHP24 SRL24 TBH24 TLD24 TUZ24 UEV24 UOR24 UYN24 VIJ24 VSF24 WCB24 WLX24 WVT24 L65560 JH65560 TD65560 ACZ65560 AMV65560 AWR65560 BGN65560 BQJ65560 CAF65560 CKB65560 CTX65560 DDT65560 DNP65560 DXL65560 EHH65560 ERD65560 FAZ65560 FKV65560 FUR65560 GEN65560 GOJ65560 GYF65560 HIB65560 HRX65560 IBT65560 ILP65560 IVL65560 JFH65560 JPD65560 JYZ65560 KIV65560 KSR65560 LCN65560 LMJ65560 LWF65560 MGB65560 MPX65560 MZT65560 NJP65560 NTL65560 ODH65560 OND65560 OWZ65560 PGV65560 PQR65560 QAN65560 QKJ65560 QUF65560 REB65560 RNX65560 RXT65560 SHP65560 SRL65560 TBH65560 TLD65560 TUZ65560 UEV65560 UOR65560 UYN65560 VIJ65560 VSF65560 WCB65560 WLX65560 WVT65560 L131096 JH131096 TD131096 ACZ131096 AMV131096 AWR131096 BGN131096 BQJ131096 CAF131096 CKB131096 CTX131096 DDT131096 DNP131096 DXL131096 EHH131096 ERD131096 FAZ131096 FKV131096 FUR131096 GEN131096 GOJ131096 GYF131096 HIB131096 HRX131096 IBT131096 ILP131096 IVL131096 JFH131096 JPD131096 JYZ131096 KIV131096 KSR131096 LCN131096 LMJ131096 LWF131096 MGB131096 MPX131096 MZT131096 NJP131096 NTL131096 ODH131096 OND131096 OWZ131096 PGV131096 PQR131096 QAN131096 QKJ131096 QUF131096 REB131096 RNX131096 RXT131096 SHP131096 SRL131096 TBH131096 TLD131096 TUZ131096 UEV131096 UOR131096 UYN131096 VIJ131096 VSF131096 WCB131096 WLX131096 WVT131096 L196632 JH196632 TD196632 ACZ196632 AMV196632 AWR196632 BGN196632 BQJ196632 CAF196632 CKB196632 CTX196632 DDT196632 DNP196632 DXL196632 EHH196632 ERD196632 FAZ196632 FKV196632 FUR196632 GEN196632 GOJ196632 GYF196632 HIB196632 HRX196632 IBT196632 ILP196632 IVL196632 JFH196632 JPD196632 JYZ196632 KIV196632 KSR196632 LCN196632 LMJ196632 LWF196632 MGB196632 MPX196632 MZT196632 NJP196632 NTL196632 ODH196632 OND196632 OWZ196632 PGV196632 PQR196632 QAN196632 QKJ196632 QUF196632 REB196632 RNX196632 RXT196632 SHP196632 SRL196632 TBH196632 TLD196632 TUZ196632 UEV196632 UOR196632 UYN196632 VIJ196632 VSF196632 WCB196632 WLX196632 WVT196632 L262168 JH262168 TD262168 ACZ262168 AMV262168 AWR262168 BGN262168 BQJ262168 CAF262168 CKB262168 CTX262168 DDT262168 DNP262168 DXL262168 EHH262168 ERD262168 FAZ262168 FKV262168 FUR262168 GEN262168 GOJ262168 GYF262168 HIB262168 HRX262168 IBT262168 ILP262168 IVL262168 JFH262168 JPD262168 JYZ262168 KIV262168 KSR262168 LCN262168 LMJ262168 LWF262168 MGB262168 MPX262168 MZT262168 NJP262168 NTL262168 ODH262168 OND262168 OWZ262168 PGV262168 PQR262168 QAN262168 QKJ262168 QUF262168 REB262168 RNX262168 RXT262168 SHP262168 SRL262168 TBH262168 TLD262168 TUZ262168 UEV262168 UOR262168 UYN262168 VIJ262168 VSF262168 WCB262168 WLX262168 WVT262168 L327704 JH327704 TD327704 ACZ327704 AMV327704 AWR327704 BGN327704 BQJ327704 CAF327704 CKB327704 CTX327704 DDT327704 DNP327704 DXL327704 EHH327704 ERD327704 FAZ327704 FKV327704 FUR327704 GEN327704 GOJ327704 GYF327704 HIB327704 HRX327704 IBT327704 ILP327704 IVL327704 JFH327704 JPD327704 JYZ327704 KIV327704 KSR327704 LCN327704 LMJ327704 LWF327704 MGB327704 MPX327704 MZT327704 NJP327704 NTL327704 ODH327704 OND327704 OWZ327704 PGV327704 PQR327704 QAN327704 QKJ327704 QUF327704 REB327704 RNX327704 RXT327704 SHP327704 SRL327704 TBH327704 TLD327704 TUZ327704 UEV327704 UOR327704 UYN327704 VIJ327704 VSF327704 WCB327704 WLX327704 WVT327704 L393240 JH393240 TD393240 ACZ393240 AMV393240 AWR393240 BGN393240 BQJ393240 CAF393240 CKB393240 CTX393240 DDT393240 DNP393240 DXL393240 EHH393240 ERD393240 FAZ393240 FKV393240 FUR393240 GEN393240 GOJ393240 GYF393240 HIB393240 HRX393240 IBT393240 ILP393240 IVL393240 JFH393240 JPD393240 JYZ393240 KIV393240 KSR393240 LCN393240 LMJ393240 LWF393240 MGB393240 MPX393240 MZT393240 NJP393240 NTL393240 ODH393240 OND393240 OWZ393240 PGV393240 PQR393240 QAN393240 QKJ393240 QUF393240 REB393240 RNX393240 RXT393240 SHP393240 SRL393240 TBH393240 TLD393240 TUZ393240 UEV393240 UOR393240 UYN393240 VIJ393240 VSF393240 WCB393240 WLX393240 WVT393240 L458776 JH458776 TD458776 ACZ458776 AMV458776 AWR458776 BGN458776 BQJ458776 CAF458776 CKB458776 CTX458776 DDT458776 DNP458776 DXL458776 EHH458776 ERD458776 FAZ458776 FKV458776 FUR458776 GEN458776 GOJ458776 GYF458776 HIB458776 HRX458776 IBT458776 ILP458776 IVL458776 JFH458776 JPD458776 JYZ458776 KIV458776 KSR458776 LCN458776 LMJ458776 LWF458776 MGB458776 MPX458776 MZT458776 NJP458776 NTL458776 ODH458776 OND458776 OWZ458776 PGV458776 PQR458776 QAN458776 QKJ458776 QUF458776 REB458776 RNX458776 RXT458776 SHP458776 SRL458776 TBH458776 TLD458776 TUZ458776 UEV458776 UOR458776 UYN458776 VIJ458776 VSF458776 WCB458776 WLX458776 WVT458776 L524312 JH524312 TD524312 ACZ524312 AMV524312 AWR524312 BGN524312 BQJ524312 CAF524312 CKB524312 CTX524312 DDT524312 DNP524312 DXL524312 EHH524312 ERD524312 FAZ524312 FKV524312 FUR524312 GEN524312 GOJ524312 GYF524312 HIB524312 HRX524312 IBT524312 ILP524312 IVL524312 JFH524312 JPD524312 JYZ524312 KIV524312 KSR524312 LCN524312 LMJ524312 LWF524312 MGB524312 MPX524312 MZT524312 NJP524312 NTL524312 ODH524312 OND524312 OWZ524312 PGV524312 PQR524312 QAN524312 QKJ524312 QUF524312 REB524312 RNX524312 RXT524312 SHP524312 SRL524312 TBH524312 TLD524312 TUZ524312 UEV524312 UOR524312 UYN524312 VIJ524312 VSF524312 WCB524312 WLX524312 WVT524312 L589848 JH589848 TD589848 ACZ589848 AMV589848 AWR589848 BGN589848 BQJ589848 CAF589848 CKB589848 CTX589848 DDT589848 DNP589848 DXL589848 EHH589848 ERD589848 FAZ589848 FKV589848 FUR589848 GEN589848 GOJ589848 GYF589848 HIB589848 HRX589848 IBT589848 ILP589848 IVL589848 JFH589848 JPD589848 JYZ589848 KIV589848 KSR589848 LCN589848 LMJ589848 LWF589848 MGB589848 MPX589848 MZT589848 NJP589848 NTL589848 ODH589848 OND589848 OWZ589848 PGV589848 PQR589848 QAN589848 QKJ589848 QUF589848 REB589848 RNX589848 RXT589848 SHP589848 SRL589848 TBH589848 TLD589848 TUZ589848 UEV589848 UOR589848 UYN589848 VIJ589848 VSF589848 WCB589848 WLX589848 WVT589848 L655384 JH655384 TD655384 ACZ655384 AMV655384 AWR655384 BGN655384 BQJ655384 CAF655384 CKB655384 CTX655384 DDT655384 DNP655384 DXL655384 EHH655384 ERD655384 FAZ655384 FKV655384 FUR655384 GEN655384 GOJ655384 GYF655384 HIB655384 HRX655384 IBT655384 ILP655384 IVL655384 JFH655384 JPD655384 JYZ655384 KIV655384 KSR655384 LCN655384 LMJ655384 LWF655384 MGB655384 MPX655384 MZT655384 NJP655384 NTL655384 ODH655384 OND655384 OWZ655384 PGV655384 PQR655384 QAN655384 QKJ655384 QUF655384 REB655384 RNX655384 RXT655384 SHP655384 SRL655384 TBH655384 TLD655384 TUZ655384 UEV655384 UOR655384 UYN655384 VIJ655384 VSF655384 WCB655384 WLX655384 WVT655384 L720920 JH720920 TD720920 ACZ720920 AMV720920 AWR720920 BGN720920 BQJ720920 CAF720920 CKB720920 CTX720920 DDT720920 DNP720920 DXL720920 EHH720920 ERD720920 FAZ720920 FKV720920 FUR720920 GEN720920 GOJ720920 GYF720920 HIB720920 HRX720920 IBT720920 ILP720920 IVL720920 JFH720920 JPD720920 JYZ720920 KIV720920 KSR720920 LCN720920 LMJ720920 LWF720920 MGB720920 MPX720920 MZT720920 NJP720920 NTL720920 ODH720920 OND720920 OWZ720920 PGV720920 PQR720920 QAN720920 QKJ720920 QUF720920 REB720920 RNX720920 RXT720920 SHP720920 SRL720920 TBH720920 TLD720920 TUZ720920 UEV720920 UOR720920 UYN720920 VIJ720920 VSF720920 WCB720920 WLX720920 WVT720920 L786456 JH786456 TD786456 ACZ786456 AMV786456 AWR786456 BGN786456 BQJ786456 CAF786456 CKB786456 CTX786456 DDT786456 DNP786456 DXL786456 EHH786456 ERD786456 FAZ786456 FKV786456 FUR786456 GEN786456 GOJ786456 GYF786456 HIB786456 HRX786456 IBT786456 ILP786456 IVL786456 JFH786456 JPD786456 JYZ786456 KIV786456 KSR786456 LCN786456 LMJ786456 LWF786456 MGB786456 MPX786456 MZT786456 NJP786456 NTL786456 ODH786456 OND786456 OWZ786456 PGV786456 PQR786456 QAN786456 QKJ786456 QUF786456 REB786456 RNX786456 RXT786456 SHP786456 SRL786456 TBH786456 TLD786456 TUZ786456 UEV786456 UOR786456 UYN786456 VIJ786456 VSF786456 WCB786456 WLX786456 WVT786456 L851992 JH851992 TD851992 ACZ851992 AMV851992 AWR851992 BGN851992 BQJ851992 CAF851992 CKB851992 CTX851992 DDT851992 DNP851992 DXL851992 EHH851992 ERD851992 FAZ851992 FKV851992 FUR851992 GEN851992 GOJ851992 GYF851992 HIB851992 HRX851992 IBT851992 ILP851992 IVL851992 JFH851992 JPD851992 JYZ851992 KIV851992 KSR851992 LCN851992 LMJ851992 LWF851992 MGB851992 MPX851992 MZT851992 NJP851992 NTL851992 ODH851992 OND851992 OWZ851992 PGV851992 PQR851992 QAN851992 QKJ851992 QUF851992 REB851992 RNX851992 RXT851992 SHP851992 SRL851992 TBH851992 TLD851992 TUZ851992 UEV851992 UOR851992 UYN851992 VIJ851992 VSF851992 WCB851992 WLX851992 WVT851992 L917528 JH917528 TD917528 ACZ917528 AMV917528 AWR917528 BGN917528 BQJ917528 CAF917528 CKB917528 CTX917528 DDT917528 DNP917528 DXL917528 EHH917528 ERD917528 FAZ917528 FKV917528 FUR917528 GEN917528 GOJ917528 GYF917528 HIB917528 HRX917528 IBT917528 ILP917528 IVL917528 JFH917528 JPD917528 JYZ917528 KIV917528 KSR917528 LCN917528 LMJ917528 LWF917528 MGB917528 MPX917528 MZT917528 NJP917528 NTL917528 ODH917528 OND917528 OWZ917528 PGV917528 PQR917528 QAN917528 QKJ917528 QUF917528 REB917528 RNX917528 RXT917528 SHP917528 SRL917528 TBH917528 TLD917528 TUZ917528 UEV917528 UOR917528 UYN917528 VIJ917528 VSF917528 WCB917528 WLX917528 WVT917528 L983064 JH983064 TD983064 ACZ983064 AMV983064 AWR983064 BGN983064 BQJ983064 CAF983064 CKB983064 CTX983064 DDT983064 DNP983064 DXL983064 EHH983064 ERD983064 FAZ983064 FKV983064 FUR983064 GEN983064 GOJ983064 GYF983064 HIB983064 HRX983064 IBT983064 ILP983064 IVL983064 JFH983064 JPD983064 JYZ983064 KIV983064 KSR983064 LCN983064 LMJ983064 LWF983064 MGB983064 MPX983064 MZT983064 NJP983064 NTL983064 ODH983064 OND983064 OWZ983064 PGV983064 PQR983064 QAN983064 QKJ983064 QUF983064 REB983064 RNX983064 RXT983064 SHP983064 SRL983064 TBH983064 TLD983064 TUZ983064 UEV983064 UOR983064 UYN983064 VIJ983064 VSF983064 WCB983064 WLX983064">
      <formula1>$BK$5:$BK$12</formula1>
    </dataValidation>
    <dataValidation type="list" allowBlank="1" showInputMessage="1" showErrorMessage="1" sqref="WVT983063 JH23 TD23 ACZ23 AMV23 AWR23 BGN23 BQJ23 CAF23 CKB23 CTX23 DDT23 DNP23 DXL23 EHH23 ERD23 FAZ23 FKV23 FUR23 GEN23 GOJ23 GYF23 HIB23 HRX23 IBT23 ILP23 IVL23 JFH23 JPD23 JYZ23 KIV23 KSR23 LCN23 LMJ23 LWF23 MGB23 MPX23 MZT23 NJP23 NTL23 ODH23 OND23 OWZ23 PGV23 PQR23 QAN23 QKJ23 QUF23 REB23 RNX23 RXT23 SHP23 SRL23 TBH23 TLD23 TUZ23 UEV23 UOR23 UYN23 VIJ23 VSF23 WCB23 WLX23 WVT23 L65559 JH65559 TD65559 ACZ65559 AMV65559 AWR65559 BGN65559 BQJ65559 CAF65559 CKB65559 CTX65559 DDT65559 DNP65559 DXL65559 EHH65559 ERD65559 FAZ65559 FKV65559 FUR65559 GEN65559 GOJ65559 GYF65559 HIB65559 HRX65559 IBT65559 ILP65559 IVL65559 JFH65559 JPD65559 JYZ65559 KIV65559 KSR65559 LCN65559 LMJ65559 LWF65559 MGB65559 MPX65559 MZT65559 NJP65559 NTL65559 ODH65559 OND65559 OWZ65559 PGV65559 PQR65559 QAN65559 QKJ65559 QUF65559 REB65559 RNX65559 RXT65559 SHP65559 SRL65559 TBH65559 TLD65559 TUZ65559 UEV65559 UOR65559 UYN65559 VIJ65559 VSF65559 WCB65559 WLX65559 WVT65559 L131095 JH131095 TD131095 ACZ131095 AMV131095 AWR131095 BGN131095 BQJ131095 CAF131095 CKB131095 CTX131095 DDT131095 DNP131095 DXL131095 EHH131095 ERD131095 FAZ131095 FKV131095 FUR131095 GEN131095 GOJ131095 GYF131095 HIB131095 HRX131095 IBT131095 ILP131095 IVL131095 JFH131095 JPD131095 JYZ131095 KIV131095 KSR131095 LCN131095 LMJ131095 LWF131095 MGB131095 MPX131095 MZT131095 NJP131095 NTL131095 ODH131095 OND131095 OWZ131095 PGV131095 PQR131095 QAN131095 QKJ131095 QUF131095 REB131095 RNX131095 RXT131095 SHP131095 SRL131095 TBH131095 TLD131095 TUZ131095 UEV131095 UOR131095 UYN131095 VIJ131095 VSF131095 WCB131095 WLX131095 WVT131095 L196631 JH196631 TD196631 ACZ196631 AMV196631 AWR196631 BGN196631 BQJ196631 CAF196631 CKB196631 CTX196631 DDT196631 DNP196631 DXL196631 EHH196631 ERD196631 FAZ196631 FKV196631 FUR196631 GEN196631 GOJ196631 GYF196631 HIB196631 HRX196631 IBT196631 ILP196631 IVL196631 JFH196631 JPD196631 JYZ196631 KIV196631 KSR196631 LCN196631 LMJ196631 LWF196631 MGB196631 MPX196631 MZT196631 NJP196631 NTL196631 ODH196631 OND196631 OWZ196631 PGV196631 PQR196631 QAN196631 QKJ196631 QUF196631 REB196631 RNX196631 RXT196631 SHP196631 SRL196631 TBH196631 TLD196631 TUZ196631 UEV196631 UOR196631 UYN196631 VIJ196631 VSF196631 WCB196631 WLX196631 WVT196631 L262167 JH262167 TD262167 ACZ262167 AMV262167 AWR262167 BGN262167 BQJ262167 CAF262167 CKB262167 CTX262167 DDT262167 DNP262167 DXL262167 EHH262167 ERD262167 FAZ262167 FKV262167 FUR262167 GEN262167 GOJ262167 GYF262167 HIB262167 HRX262167 IBT262167 ILP262167 IVL262167 JFH262167 JPD262167 JYZ262167 KIV262167 KSR262167 LCN262167 LMJ262167 LWF262167 MGB262167 MPX262167 MZT262167 NJP262167 NTL262167 ODH262167 OND262167 OWZ262167 PGV262167 PQR262167 QAN262167 QKJ262167 QUF262167 REB262167 RNX262167 RXT262167 SHP262167 SRL262167 TBH262167 TLD262167 TUZ262167 UEV262167 UOR262167 UYN262167 VIJ262167 VSF262167 WCB262167 WLX262167 WVT262167 L327703 JH327703 TD327703 ACZ327703 AMV327703 AWR327703 BGN327703 BQJ327703 CAF327703 CKB327703 CTX327703 DDT327703 DNP327703 DXL327703 EHH327703 ERD327703 FAZ327703 FKV327703 FUR327703 GEN327703 GOJ327703 GYF327703 HIB327703 HRX327703 IBT327703 ILP327703 IVL327703 JFH327703 JPD327703 JYZ327703 KIV327703 KSR327703 LCN327703 LMJ327703 LWF327703 MGB327703 MPX327703 MZT327703 NJP327703 NTL327703 ODH327703 OND327703 OWZ327703 PGV327703 PQR327703 QAN327703 QKJ327703 QUF327703 REB327703 RNX327703 RXT327703 SHP327703 SRL327703 TBH327703 TLD327703 TUZ327703 UEV327703 UOR327703 UYN327703 VIJ327703 VSF327703 WCB327703 WLX327703 WVT327703 L393239 JH393239 TD393239 ACZ393239 AMV393239 AWR393239 BGN393239 BQJ393239 CAF393239 CKB393239 CTX393239 DDT393239 DNP393239 DXL393239 EHH393239 ERD393239 FAZ393239 FKV393239 FUR393239 GEN393239 GOJ393239 GYF393239 HIB393239 HRX393239 IBT393239 ILP393239 IVL393239 JFH393239 JPD393239 JYZ393239 KIV393239 KSR393239 LCN393239 LMJ393239 LWF393239 MGB393239 MPX393239 MZT393239 NJP393239 NTL393239 ODH393239 OND393239 OWZ393239 PGV393239 PQR393239 QAN393239 QKJ393239 QUF393239 REB393239 RNX393239 RXT393239 SHP393239 SRL393239 TBH393239 TLD393239 TUZ393239 UEV393239 UOR393239 UYN393239 VIJ393239 VSF393239 WCB393239 WLX393239 WVT393239 L458775 JH458775 TD458775 ACZ458775 AMV458775 AWR458775 BGN458775 BQJ458775 CAF458775 CKB458775 CTX458775 DDT458775 DNP458775 DXL458775 EHH458775 ERD458775 FAZ458775 FKV458775 FUR458775 GEN458775 GOJ458775 GYF458775 HIB458775 HRX458775 IBT458775 ILP458775 IVL458775 JFH458775 JPD458775 JYZ458775 KIV458775 KSR458775 LCN458775 LMJ458775 LWF458775 MGB458775 MPX458775 MZT458775 NJP458775 NTL458775 ODH458775 OND458775 OWZ458775 PGV458775 PQR458775 QAN458775 QKJ458775 QUF458775 REB458775 RNX458775 RXT458775 SHP458775 SRL458775 TBH458775 TLD458775 TUZ458775 UEV458775 UOR458775 UYN458775 VIJ458775 VSF458775 WCB458775 WLX458775 WVT458775 L524311 JH524311 TD524311 ACZ524311 AMV524311 AWR524311 BGN524311 BQJ524311 CAF524311 CKB524311 CTX524311 DDT524311 DNP524311 DXL524311 EHH524311 ERD524311 FAZ524311 FKV524311 FUR524311 GEN524311 GOJ524311 GYF524311 HIB524311 HRX524311 IBT524311 ILP524311 IVL524311 JFH524311 JPD524311 JYZ524311 KIV524311 KSR524311 LCN524311 LMJ524311 LWF524311 MGB524311 MPX524311 MZT524311 NJP524311 NTL524311 ODH524311 OND524311 OWZ524311 PGV524311 PQR524311 QAN524311 QKJ524311 QUF524311 REB524311 RNX524311 RXT524311 SHP524311 SRL524311 TBH524311 TLD524311 TUZ524311 UEV524311 UOR524311 UYN524311 VIJ524311 VSF524311 WCB524311 WLX524311 WVT524311 L589847 JH589847 TD589847 ACZ589847 AMV589847 AWR589847 BGN589847 BQJ589847 CAF589847 CKB589847 CTX589847 DDT589847 DNP589847 DXL589847 EHH589847 ERD589847 FAZ589847 FKV589847 FUR589847 GEN589847 GOJ589847 GYF589847 HIB589847 HRX589847 IBT589847 ILP589847 IVL589847 JFH589847 JPD589847 JYZ589847 KIV589847 KSR589847 LCN589847 LMJ589847 LWF589847 MGB589847 MPX589847 MZT589847 NJP589847 NTL589847 ODH589847 OND589847 OWZ589847 PGV589847 PQR589847 QAN589847 QKJ589847 QUF589847 REB589847 RNX589847 RXT589847 SHP589847 SRL589847 TBH589847 TLD589847 TUZ589847 UEV589847 UOR589847 UYN589847 VIJ589847 VSF589847 WCB589847 WLX589847 WVT589847 L655383 JH655383 TD655383 ACZ655383 AMV655383 AWR655383 BGN655383 BQJ655383 CAF655383 CKB655383 CTX655383 DDT655383 DNP655383 DXL655383 EHH655383 ERD655383 FAZ655383 FKV655383 FUR655383 GEN655383 GOJ655383 GYF655383 HIB655383 HRX655383 IBT655383 ILP655383 IVL655383 JFH655383 JPD655383 JYZ655383 KIV655383 KSR655383 LCN655383 LMJ655383 LWF655383 MGB655383 MPX655383 MZT655383 NJP655383 NTL655383 ODH655383 OND655383 OWZ655383 PGV655383 PQR655383 QAN655383 QKJ655383 QUF655383 REB655383 RNX655383 RXT655383 SHP655383 SRL655383 TBH655383 TLD655383 TUZ655383 UEV655383 UOR655383 UYN655383 VIJ655383 VSF655383 WCB655383 WLX655383 WVT655383 L720919 JH720919 TD720919 ACZ720919 AMV720919 AWR720919 BGN720919 BQJ720919 CAF720919 CKB720919 CTX720919 DDT720919 DNP720919 DXL720919 EHH720919 ERD720919 FAZ720919 FKV720919 FUR720919 GEN720919 GOJ720919 GYF720919 HIB720919 HRX720919 IBT720919 ILP720919 IVL720919 JFH720919 JPD720919 JYZ720919 KIV720919 KSR720919 LCN720919 LMJ720919 LWF720919 MGB720919 MPX720919 MZT720919 NJP720919 NTL720919 ODH720919 OND720919 OWZ720919 PGV720919 PQR720919 QAN720919 QKJ720919 QUF720919 REB720919 RNX720919 RXT720919 SHP720919 SRL720919 TBH720919 TLD720919 TUZ720919 UEV720919 UOR720919 UYN720919 VIJ720919 VSF720919 WCB720919 WLX720919 WVT720919 L786455 JH786455 TD786455 ACZ786455 AMV786455 AWR786455 BGN786455 BQJ786455 CAF786455 CKB786455 CTX786455 DDT786455 DNP786455 DXL786455 EHH786455 ERD786455 FAZ786455 FKV786455 FUR786455 GEN786455 GOJ786455 GYF786455 HIB786455 HRX786455 IBT786455 ILP786455 IVL786455 JFH786455 JPD786455 JYZ786455 KIV786455 KSR786455 LCN786455 LMJ786455 LWF786455 MGB786455 MPX786455 MZT786455 NJP786455 NTL786455 ODH786455 OND786455 OWZ786455 PGV786455 PQR786455 QAN786455 QKJ786455 QUF786455 REB786455 RNX786455 RXT786455 SHP786455 SRL786455 TBH786455 TLD786455 TUZ786455 UEV786455 UOR786455 UYN786455 VIJ786455 VSF786455 WCB786455 WLX786455 WVT786455 L851991 JH851991 TD851991 ACZ851991 AMV851991 AWR851991 BGN851991 BQJ851991 CAF851991 CKB851991 CTX851991 DDT851991 DNP851991 DXL851991 EHH851991 ERD851991 FAZ851991 FKV851991 FUR851991 GEN851991 GOJ851991 GYF851991 HIB851991 HRX851991 IBT851991 ILP851991 IVL851991 JFH851991 JPD851991 JYZ851991 KIV851991 KSR851991 LCN851991 LMJ851991 LWF851991 MGB851991 MPX851991 MZT851991 NJP851991 NTL851991 ODH851991 OND851991 OWZ851991 PGV851991 PQR851991 QAN851991 QKJ851991 QUF851991 REB851991 RNX851991 RXT851991 SHP851991 SRL851991 TBH851991 TLD851991 TUZ851991 UEV851991 UOR851991 UYN851991 VIJ851991 VSF851991 WCB851991 WLX851991 WVT851991 L917527 JH917527 TD917527 ACZ917527 AMV917527 AWR917527 BGN917527 BQJ917527 CAF917527 CKB917527 CTX917527 DDT917527 DNP917527 DXL917527 EHH917527 ERD917527 FAZ917527 FKV917527 FUR917527 GEN917527 GOJ917527 GYF917527 HIB917527 HRX917527 IBT917527 ILP917527 IVL917527 JFH917527 JPD917527 JYZ917527 KIV917527 KSR917527 LCN917527 LMJ917527 LWF917527 MGB917527 MPX917527 MZT917527 NJP917527 NTL917527 ODH917527 OND917527 OWZ917527 PGV917527 PQR917527 QAN917527 QKJ917527 QUF917527 REB917527 RNX917527 RXT917527 SHP917527 SRL917527 TBH917527 TLD917527 TUZ917527 UEV917527 UOR917527 UYN917527 VIJ917527 VSF917527 WCB917527 WLX917527 WVT917527 L983063 JH983063 TD983063 ACZ983063 AMV983063 AWR983063 BGN983063 BQJ983063 CAF983063 CKB983063 CTX983063 DDT983063 DNP983063 DXL983063 EHH983063 ERD983063 FAZ983063 FKV983063 FUR983063 GEN983063 GOJ983063 GYF983063 HIB983063 HRX983063 IBT983063 ILP983063 IVL983063 JFH983063 JPD983063 JYZ983063 KIV983063 KSR983063 LCN983063 LMJ983063 LWF983063 MGB983063 MPX983063 MZT983063 NJP983063 NTL983063 ODH983063 OND983063 OWZ983063 PGV983063 PQR983063 QAN983063 QKJ983063 QUF983063 REB983063 RNX983063 RXT983063 SHP983063 SRL983063 TBH983063 TLD983063 TUZ983063 UEV983063 UOR983063 UYN983063 VIJ983063 VSF983063 WCB983063 WLX983063">
      <formula1>$BI$5:$BI$12</formula1>
    </dataValidation>
    <dataValidation type="list" allowBlank="1" showInputMessage="1" showErrorMessage="1" sqref="WVT983062 JH22 TD22 ACZ22 AMV22 AWR22 BGN22 BQJ22 CAF22 CKB22 CTX22 DDT22 DNP22 DXL22 EHH22 ERD22 FAZ22 FKV22 FUR22 GEN22 GOJ22 GYF22 HIB22 HRX22 IBT22 ILP22 IVL22 JFH22 JPD22 JYZ22 KIV22 KSR22 LCN22 LMJ22 LWF22 MGB22 MPX22 MZT22 NJP22 NTL22 ODH22 OND22 OWZ22 PGV22 PQR22 QAN22 QKJ22 QUF22 REB22 RNX22 RXT22 SHP22 SRL22 TBH22 TLD22 TUZ22 UEV22 UOR22 UYN22 VIJ22 VSF22 WCB22 WLX22 WVT22 L65558 JH65558 TD65558 ACZ65558 AMV65558 AWR65558 BGN65558 BQJ65558 CAF65558 CKB65558 CTX65558 DDT65558 DNP65558 DXL65558 EHH65558 ERD65558 FAZ65558 FKV65558 FUR65558 GEN65558 GOJ65558 GYF65558 HIB65558 HRX65558 IBT65558 ILP65558 IVL65558 JFH65558 JPD65558 JYZ65558 KIV65558 KSR65558 LCN65558 LMJ65558 LWF65558 MGB65558 MPX65558 MZT65558 NJP65558 NTL65558 ODH65558 OND65558 OWZ65558 PGV65558 PQR65558 QAN65558 QKJ65558 QUF65558 REB65558 RNX65558 RXT65558 SHP65558 SRL65558 TBH65558 TLD65558 TUZ65558 UEV65558 UOR65558 UYN65558 VIJ65558 VSF65558 WCB65558 WLX65558 WVT65558 L131094 JH131094 TD131094 ACZ131094 AMV131094 AWR131094 BGN131094 BQJ131094 CAF131094 CKB131094 CTX131094 DDT131094 DNP131094 DXL131094 EHH131094 ERD131094 FAZ131094 FKV131094 FUR131094 GEN131094 GOJ131094 GYF131094 HIB131094 HRX131094 IBT131094 ILP131094 IVL131094 JFH131094 JPD131094 JYZ131094 KIV131094 KSR131094 LCN131094 LMJ131094 LWF131094 MGB131094 MPX131094 MZT131094 NJP131094 NTL131094 ODH131094 OND131094 OWZ131094 PGV131094 PQR131094 QAN131094 QKJ131094 QUF131094 REB131094 RNX131094 RXT131094 SHP131094 SRL131094 TBH131094 TLD131094 TUZ131094 UEV131094 UOR131094 UYN131094 VIJ131094 VSF131094 WCB131094 WLX131094 WVT131094 L196630 JH196630 TD196630 ACZ196630 AMV196630 AWR196630 BGN196630 BQJ196630 CAF196630 CKB196630 CTX196630 DDT196630 DNP196630 DXL196630 EHH196630 ERD196630 FAZ196630 FKV196630 FUR196630 GEN196630 GOJ196630 GYF196630 HIB196630 HRX196630 IBT196630 ILP196630 IVL196630 JFH196630 JPD196630 JYZ196630 KIV196630 KSR196630 LCN196630 LMJ196630 LWF196630 MGB196630 MPX196630 MZT196630 NJP196630 NTL196630 ODH196630 OND196630 OWZ196630 PGV196630 PQR196630 QAN196630 QKJ196630 QUF196630 REB196630 RNX196630 RXT196630 SHP196630 SRL196630 TBH196630 TLD196630 TUZ196630 UEV196630 UOR196630 UYN196630 VIJ196630 VSF196630 WCB196630 WLX196630 WVT196630 L262166 JH262166 TD262166 ACZ262166 AMV262166 AWR262166 BGN262166 BQJ262166 CAF262166 CKB262166 CTX262166 DDT262166 DNP262166 DXL262166 EHH262166 ERD262166 FAZ262166 FKV262166 FUR262166 GEN262166 GOJ262166 GYF262166 HIB262166 HRX262166 IBT262166 ILP262166 IVL262166 JFH262166 JPD262166 JYZ262166 KIV262166 KSR262166 LCN262166 LMJ262166 LWF262166 MGB262166 MPX262166 MZT262166 NJP262166 NTL262166 ODH262166 OND262166 OWZ262166 PGV262166 PQR262166 QAN262166 QKJ262166 QUF262166 REB262166 RNX262166 RXT262166 SHP262166 SRL262166 TBH262166 TLD262166 TUZ262166 UEV262166 UOR262166 UYN262166 VIJ262166 VSF262166 WCB262166 WLX262166 WVT262166 L327702 JH327702 TD327702 ACZ327702 AMV327702 AWR327702 BGN327702 BQJ327702 CAF327702 CKB327702 CTX327702 DDT327702 DNP327702 DXL327702 EHH327702 ERD327702 FAZ327702 FKV327702 FUR327702 GEN327702 GOJ327702 GYF327702 HIB327702 HRX327702 IBT327702 ILP327702 IVL327702 JFH327702 JPD327702 JYZ327702 KIV327702 KSR327702 LCN327702 LMJ327702 LWF327702 MGB327702 MPX327702 MZT327702 NJP327702 NTL327702 ODH327702 OND327702 OWZ327702 PGV327702 PQR327702 QAN327702 QKJ327702 QUF327702 REB327702 RNX327702 RXT327702 SHP327702 SRL327702 TBH327702 TLD327702 TUZ327702 UEV327702 UOR327702 UYN327702 VIJ327702 VSF327702 WCB327702 WLX327702 WVT327702 L393238 JH393238 TD393238 ACZ393238 AMV393238 AWR393238 BGN393238 BQJ393238 CAF393238 CKB393238 CTX393238 DDT393238 DNP393238 DXL393238 EHH393238 ERD393238 FAZ393238 FKV393238 FUR393238 GEN393238 GOJ393238 GYF393238 HIB393238 HRX393238 IBT393238 ILP393238 IVL393238 JFH393238 JPD393238 JYZ393238 KIV393238 KSR393238 LCN393238 LMJ393238 LWF393238 MGB393238 MPX393238 MZT393238 NJP393238 NTL393238 ODH393238 OND393238 OWZ393238 PGV393238 PQR393238 QAN393238 QKJ393238 QUF393238 REB393238 RNX393238 RXT393238 SHP393238 SRL393238 TBH393238 TLD393238 TUZ393238 UEV393238 UOR393238 UYN393238 VIJ393238 VSF393238 WCB393238 WLX393238 WVT393238 L458774 JH458774 TD458774 ACZ458774 AMV458774 AWR458774 BGN458774 BQJ458774 CAF458774 CKB458774 CTX458774 DDT458774 DNP458774 DXL458774 EHH458774 ERD458774 FAZ458774 FKV458774 FUR458774 GEN458774 GOJ458774 GYF458774 HIB458774 HRX458774 IBT458774 ILP458774 IVL458774 JFH458774 JPD458774 JYZ458774 KIV458774 KSR458774 LCN458774 LMJ458774 LWF458774 MGB458774 MPX458774 MZT458774 NJP458774 NTL458774 ODH458774 OND458774 OWZ458774 PGV458774 PQR458774 QAN458774 QKJ458774 QUF458774 REB458774 RNX458774 RXT458774 SHP458774 SRL458774 TBH458774 TLD458774 TUZ458774 UEV458774 UOR458774 UYN458774 VIJ458774 VSF458774 WCB458774 WLX458774 WVT458774 L524310 JH524310 TD524310 ACZ524310 AMV524310 AWR524310 BGN524310 BQJ524310 CAF524310 CKB524310 CTX524310 DDT524310 DNP524310 DXL524310 EHH524310 ERD524310 FAZ524310 FKV524310 FUR524310 GEN524310 GOJ524310 GYF524310 HIB524310 HRX524310 IBT524310 ILP524310 IVL524310 JFH524310 JPD524310 JYZ524310 KIV524310 KSR524310 LCN524310 LMJ524310 LWF524310 MGB524310 MPX524310 MZT524310 NJP524310 NTL524310 ODH524310 OND524310 OWZ524310 PGV524310 PQR524310 QAN524310 QKJ524310 QUF524310 REB524310 RNX524310 RXT524310 SHP524310 SRL524310 TBH524310 TLD524310 TUZ524310 UEV524310 UOR524310 UYN524310 VIJ524310 VSF524310 WCB524310 WLX524310 WVT524310 L589846 JH589846 TD589846 ACZ589846 AMV589846 AWR589846 BGN589846 BQJ589846 CAF589846 CKB589846 CTX589846 DDT589846 DNP589846 DXL589846 EHH589846 ERD589846 FAZ589846 FKV589846 FUR589846 GEN589846 GOJ589846 GYF589846 HIB589846 HRX589846 IBT589846 ILP589846 IVL589846 JFH589846 JPD589846 JYZ589846 KIV589846 KSR589846 LCN589846 LMJ589846 LWF589846 MGB589846 MPX589846 MZT589846 NJP589846 NTL589846 ODH589846 OND589846 OWZ589846 PGV589846 PQR589846 QAN589846 QKJ589846 QUF589846 REB589846 RNX589846 RXT589846 SHP589846 SRL589846 TBH589846 TLD589846 TUZ589846 UEV589846 UOR589846 UYN589846 VIJ589846 VSF589846 WCB589846 WLX589846 WVT589846 L655382 JH655382 TD655382 ACZ655382 AMV655382 AWR655382 BGN655382 BQJ655382 CAF655382 CKB655382 CTX655382 DDT655382 DNP655382 DXL655382 EHH655382 ERD655382 FAZ655382 FKV655382 FUR655382 GEN655382 GOJ655382 GYF655382 HIB655382 HRX655382 IBT655382 ILP655382 IVL655382 JFH655382 JPD655382 JYZ655382 KIV655382 KSR655382 LCN655382 LMJ655382 LWF655382 MGB655382 MPX655382 MZT655382 NJP655382 NTL655382 ODH655382 OND655382 OWZ655382 PGV655382 PQR655382 QAN655382 QKJ655382 QUF655382 REB655382 RNX655382 RXT655382 SHP655382 SRL655382 TBH655382 TLD655382 TUZ655382 UEV655382 UOR655382 UYN655382 VIJ655382 VSF655382 WCB655382 WLX655382 WVT655382 L720918 JH720918 TD720918 ACZ720918 AMV720918 AWR720918 BGN720918 BQJ720918 CAF720918 CKB720918 CTX720918 DDT720918 DNP720918 DXL720918 EHH720918 ERD720918 FAZ720918 FKV720918 FUR720918 GEN720918 GOJ720918 GYF720918 HIB720918 HRX720918 IBT720918 ILP720918 IVL720918 JFH720918 JPD720918 JYZ720918 KIV720918 KSR720918 LCN720918 LMJ720918 LWF720918 MGB720918 MPX720918 MZT720918 NJP720918 NTL720918 ODH720918 OND720918 OWZ720918 PGV720918 PQR720918 QAN720918 QKJ720918 QUF720918 REB720918 RNX720918 RXT720918 SHP720918 SRL720918 TBH720918 TLD720918 TUZ720918 UEV720918 UOR720918 UYN720918 VIJ720918 VSF720918 WCB720918 WLX720918 WVT720918 L786454 JH786454 TD786454 ACZ786454 AMV786454 AWR786454 BGN786454 BQJ786454 CAF786454 CKB786454 CTX786454 DDT786454 DNP786454 DXL786454 EHH786454 ERD786454 FAZ786454 FKV786454 FUR786454 GEN786454 GOJ786454 GYF786454 HIB786454 HRX786454 IBT786454 ILP786454 IVL786454 JFH786454 JPD786454 JYZ786454 KIV786454 KSR786454 LCN786454 LMJ786454 LWF786454 MGB786454 MPX786454 MZT786454 NJP786454 NTL786454 ODH786454 OND786454 OWZ786454 PGV786454 PQR786454 QAN786454 QKJ786454 QUF786454 REB786454 RNX786454 RXT786454 SHP786454 SRL786454 TBH786454 TLD786454 TUZ786454 UEV786454 UOR786454 UYN786454 VIJ786454 VSF786454 WCB786454 WLX786454 WVT786454 L851990 JH851990 TD851990 ACZ851990 AMV851990 AWR851990 BGN851990 BQJ851990 CAF851990 CKB851990 CTX851990 DDT851990 DNP851990 DXL851990 EHH851990 ERD851990 FAZ851990 FKV851990 FUR851990 GEN851990 GOJ851990 GYF851990 HIB851990 HRX851990 IBT851990 ILP851990 IVL851990 JFH851990 JPD851990 JYZ851990 KIV851990 KSR851990 LCN851990 LMJ851990 LWF851990 MGB851990 MPX851990 MZT851990 NJP851990 NTL851990 ODH851990 OND851990 OWZ851990 PGV851990 PQR851990 QAN851990 QKJ851990 QUF851990 REB851990 RNX851990 RXT851990 SHP851990 SRL851990 TBH851990 TLD851990 TUZ851990 UEV851990 UOR851990 UYN851990 VIJ851990 VSF851990 WCB851990 WLX851990 WVT851990 L917526 JH917526 TD917526 ACZ917526 AMV917526 AWR917526 BGN917526 BQJ917526 CAF917526 CKB917526 CTX917526 DDT917526 DNP917526 DXL917526 EHH917526 ERD917526 FAZ917526 FKV917526 FUR917526 GEN917526 GOJ917526 GYF917526 HIB917526 HRX917526 IBT917526 ILP917526 IVL917526 JFH917526 JPD917526 JYZ917526 KIV917526 KSR917526 LCN917526 LMJ917526 LWF917526 MGB917526 MPX917526 MZT917526 NJP917526 NTL917526 ODH917526 OND917526 OWZ917526 PGV917526 PQR917526 QAN917526 QKJ917526 QUF917526 REB917526 RNX917526 RXT917526 SHP917526 SRL917526 TBH917526 TLD917526 TUZ917526 UEV917526 UOR917526 UYN917526 VIJ917526 VSF917526 WCB917526 WLX917526 WVT917526 L983062 JH983062 TD983062 ACZ983062 AMV983062 AWR983062 BGN983062 BQJ983062 CAF983062 CKB983062 CTX983062 DDT983062 DNP983062 DXL983062 EHH983062 ERD983062 FAZ983062 FKV983062 FUR983062 GEN983062 GOJ983062 GYF983062 HIB983062 HRX983062 IBT983062 ILP983062 IVL983062 JFH983062 JPD983062 JYZ983062 KIV983062 KSR983062 LCN983062 LMJ983062 LWF983062 MGB983062 MPX983062 MZT983062 NJP983062 NTL983062 ODH983062 OND983062 OWZ983062 PGV983062 PQR983062 QAN983062 QKJ983062 QUF983062 REB983062 RNX983062 RXT983062 SHP983062 SRL983062 TBH983062 TLD983062 TUZ983062 UEV983062 UOR983062 UYN983062 VIJ983062 VSF983062 WCB983062 WLX983062">
      <formula1>$BG$5:$BG$12</formula1>
    </dataValidation>
    <dataValidation type="list" allowBlank="1" showInputMessage="1" showErrorMessage="1" sqref="WVT983061 JH21 TD21 ACZ21 AMV21 AWR21 BGN21 BQJ21 CAF21 CKB21 CTX21 DDT21 DNP21 DXL21 EHH21 ERD21 FAZ21 FKV21 FUR21 GEN21 GOJ21 GYF21 HIB21 HRX21 IBT21 ILP21 IVL21 JFH21 JPD21 JYZ21 KIV21 KSR21 LCN21 LMJ21 LWF21 MGB21 MPX21 MZT21 NJP21 NTL21 ODH21 OND21 OWZ21 PGV21 PQR21 QAN21 QKJ21 QUF21 REB21 RNX21 RXT21 SHP21 SRL21 TBH21 TLD21 TUZ21 UEV21 UOR21 UYN21 VIJ21 VSF21 WCB21 WLX21 WVT21 L65557 JH65557 TD65557 ACZ65557 AMV65557 AWR65557 BGN65557 BQJ65557 CAF65557 CKB65557 CTX65557 DDT65557 DNP65557 DXL65557 EHH65557 ERD65557 FAZ65557 FKV65557 FUR65557 GEN65557 GOJ65557 GYF65557 HIB65557 HRX65557 IBT65557 ILP65557 IVL65557 JFH65557 JPD65557 JYZ65557 KIV65557 KSR65557 LCN65557 LMJ65557 LWF65557 MGB65557 MPX65557 MZT65557 NJP65557 NTL65557 ODH65557 OND65557 OWZ65557 PGV65557 PQR65557 QAN65557 QKJ65557 QUF65557 REB65557 RNX65557 RXT65557 SHP65557 SRL65557 TBH65557 TLD65557 TUZ65557 UEV65557 UOR65557 UYN65557 VIJ65557 VSF65557 WCB65557 WLX65557 WVT65557 L131093 JH131093 TD131093 ACZ131093 AMV131093 AWR131093 BGN131093 BQJ131093 CAF131093 CKB131093 CTX131093 DDT131093 DNP131093 DXL131093 EHH131093 ERD131093 FAZ131093 FKV131093 FUR131093 GEN131093 GOJ131093 GYF131093 HIB131093 HRX131093 IBT131093 ILP131093 IVL131093 JFH131093 JPD131093 JYZ131093 KIV131093 KSR131093 LCN131093 LMJ131093 LWF131093 MGB131093 MPX131093 MZT131093 NJP131093 NTL131093 ODH131093 OND131093 OWZ131093 PGV131093 PQR131093 QAN131093 QKJ131093 QUF131093 REB131093 RNX131093 RXT131093 SHP131093 SRL131093 TBH131093 TLD131093 TUZ131093 UEV131093 UOR131093 UYN131093 VIJ131093 VSF131093 WCB131093 WLX131093 WVT131093 L196629 JH196629 TD196629 ACZ196629 AMV196629 AWR196629 BGN196629 BQJ196629 CAF196629 CKB196629 CTX196629 DDT196629 DNP196629 DXL196629 EHH196629 ERD196629 FAZ196629 FKV196629 FUR196629 GEN196629 GOJ196629 GYF196629 HIB196629 HRX196629 IBT196629 ILP196629 IVL196629 JFH196629 JPD196629 JYZ196629 KIV196629 KSR196629 LCN196629 LMJ196629 LWF196629 MGB196629 MPX196629 MZT196629 NJP196629 NTL196629 ODH196629 OND196629 OWZ196629 PGV196629 PQR196629 QAN196629 QKJ196629 QUF196629 REB196629 RNX196629 RXT196629 SHP196629 SRL196629 TBH196629 TLD196629 TUZ196629 UEV196629 UOR196629 UYN196629 VIJ196629 VSF196629 WCB196629 WLX196629 WVT196629 L262165 JH262165 TD262165 ACZ262165 AMV262165 AWR262165 BGN262165 BQJ262165 CAF262165 CKB262165 CTX262165 DDT262165 DNP262165 DXL262165 EHH262165 ERD262165 FAZ262165 FKV262165 FUR262165 GEN262165 GOJ262165 GYF262165 HIB262165 HRX262165 IBT262165 ILP262165 IVL262165 JFH262165 JPD262165 JYZ262165 KIV262165 KSR262165 LCN262165 LMJ262165 LWF262165 MGB262165 MPX262165 MZT262165 NJP262165 NTL262165 ODH262165 OND262165 OWZ262165 PGV262165 PQR262165 QAN262165 QKJ262165 QUF262165 REB262165 RNX262165 RXT262165 SHP262165 SRL262165 TBH262165 TLD262165 TUZ262165 UEV262165 UOR262165 UYN262165 VIJ262165 VSF262165 WCB262165 WLX262165 WVT262165 L327701 JH327701 TD327701 ACZ327701 AMV327701 AWR327701 BGN327701 BQJ327701 CAF327701 CKB327701 CTX327701 DDT327701 DNP327701 DXL327701 EHH327701 ERD327701 FAZ327701 FKV327701 FUR327701 GEN327701 GOJ327701 GYF327701 HIB327701 HRX327701 IBT327701 ILP327701 IVL327701 JFH327701 JPD327701 JYZ327701 KIV327701 KSR327701 LCN327701 LMJ327701 LWF327701 MGB327701 MPX327701 MZT327701 NJP327701 NTL327701 ODH327701 OND327701 OWZ327701 PGV327701 PQR327701 QAN327701 QKJ327701 QUF327701 REB327701 RNX327701 RXT327701 SHP327701 SRL327701 TBH327701 TLD327701 TUZ327701 UEV327701 UOR327701 UYN327701 VIJ327701 VSF327701 WCB327701 WLX327701 WVT327701 L393237 JH393237 TD393237 ACZ393237 AMV393237 AWR393237 BGN393237 BQJ393237 CAF393237 CKB393237 CTX393237 DDT393237 DNP393237 DXL393237 EHH393237 ERD393237 FAZ393237 FKV393237 FUR393237 GEN393237 GOJ393237 GYF393237 HIB393237 HRX393237 IBT393237 ILP393237 IVL393237 JFH393237 JPD393237 JYZ393237 KIV393237 KSR393237 LCN393237 LMJ393237 LWF393237 MGB393237 MPX393237 MZT393237 NJP393237 NTL393237 ODH393237 OND393237 OWZ393237 PGV393237 PQR393237 QAN393237 QKJ393237 QUF393237 REB393237 RNX393237 RXT393237 SHP393237 SRL393237 TBH393237 TLD393237 TUZ393237 UEV393237 UOR393237 UYN393237 VIJ393237 VSF393237 WCB393237 WLX393237 WVT393237 L458773 JH458773 TD458773 ACZ458773 AMV458773 AWR458773 BGN458773 BQJ458773 CAF458773 CKB458773 CTX458773 DDT458773 DNP458773 DXL458773 EHH458773 ERD458773 FAZ458773 FKV458773 FUR458773 GEN458773 GOJ458773 GYF458773 HIB458773 HRX458773 IBT458773 ILP458773 IVL458773 JFH458773 JPD458773 JYZ458773 KIV458773 KSR458773 LCN458773 LMJ458773 LWF458773 MGB458773 MPX458773 MZT458773 NJP458773 NTL458773 ODH458773 OND458773 OWZ458773 PGV458773 PQR458773 QAN458773 QKJ458773 QUF458773 REB458773 RNX458773 RXT458773 SHP458773 SRL458773 TBH458773 TLD458773 TUZ458773 UEV458773 UOR458773 UYN458773 VIJ458773 VSF458773 WCB458773 WLX458773 WVT458773 L524309 JH524309 TD524309 ACZ524309 AMV524309 AWR524309 BGN524309 BQJ524309 CAF524309 CKB524309 CTX524309 DDT524309 DNP524309 DXL524309 EHH524309 ERD524309 FAZ524309 FKV524309 FUR524309 GEN524309 GOJ524309 GYF524309 HIB524309 HRX524309 IBT524309 ILP524309 IVL524309 JFH524309 JPD524309 JYZ524309 KIV524309 KSR524309 LCN524309 LMJ524309 LWF524309 MGB524309 MPX524309 MZT524309 NJP524309 NTL524309 ODH524309 OND524309 OWZ524309 PGV524309 PQR524309 QAN524309 QKJ524309 QUF524309 REB524309 RNX524309 RXT524309 SHP524309 SRL524309 TBH524309 TLD524309 TUZ524309 UEV524309 UOR524309 UYN524309 VIJ524309 VSF524309 WCB524309 WLX524309 WVT524309 L589845 JH589845 TD589845 ACZ589845 AMV589845 AWR589845 BGN589845 BQJ589845 CAF589845 CKB589845 CTX589845 DDT589845 DNP589845 DXL589845 EHH589845 ERD589845 FAZ589845 FKV589845 FUR589845 GEN589845 GOJ589845 GYF589845 HIB589845 HRX589845 IBT589845 ILP589845 IVL589845 JFH589845 JPD589845 JYZ589845 KIV589845 KSR589845 LCN589845 LMJ589845 LWF589845 MGB589845 MPX589845 MZT589845 NJP589845 NTL589845 ODH589845 OND589845 OWZ589845 PGV589845 PQR589845 QAN589845 QKJ589845 QUF589845 REB589845 RNX589845 RXT589845 SHP589845 SRL589845 TBH589845 TLD589845 TUZ589845 UEV589845 UOR589845 UYN589845 VIJ589845 VSF589845 WCB589845 WLX589845 WVT589845 L655381 JH655381 TD655381 ACZ655381 AMV655381 AWR655381 BGN655381 BQJ655381 CAF655381 CKB655381 CTX655381 DDT655381 DNP655381 DXL655381 EHH655381 ERD655381 FAZ655381 FKV655381 FUR655381 GEN655381 GOJ655381 GYF655381 HIB655381 HRX655381 IBT655381 ILP655381 IVL655381 JFH655381 JPD655381 JYZ655381 KIV655381 KSR655381 LCN655381 LMJ655381 LWF655381 MGB655381 MPX655381 MZT655381 NJP655381 NTL655381 ODH655381 OND655381 OWZ655381 PGV655381 PQR655381 QAN655381 QKJ655381 QUF655381 REB655381 RNX655381 RXT655381 SHP655381 SRL655381 TBH655381 TLD655381 TUZ655381 UEV655381 UOR655381 UYN655381 VIJ655381 VSF655381 WCB655381 WLX655381 WVT655381 L720917 JH720917 TD720917 ACZ720917 AMV720917 AWR720917 BGN720917 BQJ720917 CAF720917 CKB720917 CTX720917 DDT720917 DNP720917 DXL720917 EHH720917 ERD720917 FAZ720917 FKV720917 FUR720917 GEN720917 GOJ720917 GYF720917 HIB720917 HRX720917 IBT720917 ILP720917 IVL720917 JFH720917 JPD720917 JYZ720917 KIV720917 KSR720917 LCN720917 LMJ720917 LWF720917 MGB720917 MPX720917 MZT720917 NJP720917 NTL720917 ODH720917 OND720917 OWZ720917 PGV720917 PQR720917 QAN720917 QKJ720917 QUF720917 REB720917 RNX720917 RXT720917 SHP720917 SRL720917 TBH720917 TLD720917 TUZ720917 UEV720917 UOR720917 UYN720917 VIJ720917 VSF720917 WCB720917 WLX720917 WVT720917 L786453 JH786453 TD786453 ACZ786453 AMV786453 AWR786453 BGN786453 BQJ786453 CAF786453 CKB786453 CTX786453 DDT786453 DNP786453 DXL786453 EHH786453 ERD786453 FAZ786453 FKV786453 FUR786453 GEN786453 GOJ786453 GYF786453 HIB786453 HRX786453 IBT786453 ILP786453 IVL786453 JFH786453 JPD786453 JYZ786453 KIV786453 KSR786453 LCN786453 LMJ786453 LWF786453 MGB786453 MPX786453 MZT786453 NJP786453 NTL786453 ODH786453 OND786453 OWZ786453 PGV786453 PQR786453 QAN786453 QKJ786453 QUF786453 REB786453 RNX786453 RXT786453 SHP786453 SRL786453 TBH786453 TLD786453 TUZ786453 UEV786453 UOR786453 UYN786453 VIJ786453 VSF786453 WCB786453 WLX786453 WVT786453 L851989 JH851989 TD851989 ACZ851989 AMV851989 AWR851989 BGN851989 BQJ851989 CAF851989 CKB851989 CTX851989 DDT851989 DNP851989 DXL851989 EHH851989 ERD851989 FAZ851989 FKV851989 FUR851989 GEN851989 GOJ851989 GYF851989 HIB851989 HRX851989 IBT851989 ILP851989 IVL851989 JFH851989 JPD851989 JYZ851989 KIV851989 KSR851989 LCN851989 LMJ851989 LWF851989 MGB851989 MPX851989 MZT851989 NJP851989 NTL851989 ODH851989 OND851989 OWZ851989 PGV851989 PQR851989 QAN851989 QKJ851989 QUF851989 REB851989 RNX851989 RXT851989 SHP851989 SRL851989 TBH851989 TLD851989 TUZ851989 UEV851989 UOR851989 UYN851989 VIJ851989 VSF851989 WCB851989 WLX851989 WVT851989 L917525 JH917525 TD917525 ACZ917525 AMV917525 AWR917525 BGN917525 BQJ917525 CAF917525 CKB917525 CTX917525 DDT917525 DNP917525 DXL917525 EHH917525 ERD917525 FAZ917525 FKV917525 FUR917525 GEN917525 GOJ917525 GYF917525 HIB917525 HRX917525 IBT917525 ILP917525 IVL917525 JFH917525 JPD917525 JYZ917525 KIV917525 KSR917525 LCN917525 LMJ917525 LWF917525 MGB917525 MPX917525 MZT917525 NJP917525 NTL917525 ODH917525 OND917525 OWZ917525 PGV917525 PQR917525 QAN917525 QKJ917525 QUF917525 REB917525 RNX917525 RXT917525 SHP917525 SRL917525 TBH917525 TLD917525 TUZ917525 UEV917525 UOR917525 UYN917525 VIJ917525 VSF917525 WCB917525 WLX917525 WVT917525 L983061 JH983061 TD983061 ACZ983061 AMV983061 AWR983061 BGN983061 BQJ983061 CAF983061 CKB983061 CTX983061 DDT983061 DNP983061 DXL983061 EHH983061 ERD983061 FAZ983061 FKV983061 FUR983061 GEN983061 GOJ983061 GYF983061 HIB983061 HRX983061 IBT983061 ILP983061 IVL983061 JFH983061 JPD983061 JYZ983061 KIV983061 KSR983061 LCN983061 LMJ983061 LWF983061 MGB983061 MPX983061 MZT983061 NJP983061 NTL983061 ODH983061 OND983061 OWZ983061 PGV983061 PQR983061 QAN983061 QKJ983061 QUF983061 REB983061 RNX983061 RXT983061 SHP983061 SRL983061 TBH983061 TLD983061 TUZ983061 UEV983061 UOR983061 UYN983061 VIJ983061 VSF983061 WCB983061 WLX983061">
      <formula1>$BE$5:$BE$12</formula1>
    </dataValidation>
    <dataValidation type="list" allowBlank="1" showInputMessage="1" showErrorMessage="1" sqref="WVT983060 JH20 TD20 ACZ20 AMV20 AWR20 BGN20 BQJ20 CAF20 CKB20 CTX20 DDT20 DNP20 DXL20 EHH20 ERD20 FAZ20 FKV20 FUR20 GEN20 GOJ20 GYF20 HIB20 HRX20 IBT20 ILP20 IVL20 JFH20 JPD20 JYZ20 KIV20 KSR20 LCN20 LMJ20 LWF20 MGB20 MPX20 MZT20 NJP20 NTL20 ODH20 OND20 OWZ20 PGV20 PQR20 QAN20 QKJ20 QUF20 REB20 RNX20 RXT20 SHP20 SRL20 TBH20 TLD20 TUZ20 UEV20 UOR20 UYN20 VIJ20 VSF20 WCB20 WLX20 WVT20 L65556 JH65556 TD65556 ACZ65556 AMV65556 AWR65556 BGN65556 BQJ65556 CAF65556 CKB65556 CTX65556 DDT65556 DNP65556 DXL65556 EHH65556 ERD65556 FAZ65556 FKV65556 FUR65556 GEN65556 GOJ65556 GYF65556 HIB65556 HRX65556 IBT65556 ILP65556 IVL65556 JFH65556 JPD65556 JYZ65556 KIV65556 KSR65556 LCN65556 LMJ65556 LWF65556 MGB65556 MPX65556 MZT65556 NJP65556 NTL65556 ODH65556 OND65556 OWZ65556 PGV65556 PQR65556 QAN65556 QKJ65556 QUF65556 REB65556 RNX65556 RXT65556 SHP65556 SRL65556 TBH65556 TLD65556 TUZ65556 UEV65556 UOR65556 UYN65556 VIJ65556 VSF65556 WCB65556 WLX65556 WVT65556 L131092 JH131092 TD131092 ACZ131092 AMV131092 AWR131092 BGN131092 BQJ131092 CAF131092 CKB131092 CTX131092 DDT131092 DNP131092 DXL131092 EHH131092 ERD131092 FAZ131092 FKV131092 FUR131092 GEN131092 GOJ131092 GYF131092 HIB131092 HRX131092 IBT131092 ILP131092 IVL131092 JFH131092 JPD131092 JYZ131092 KIV131092 KSR131092 LCN131092 LMJ131092 LWF131092 MGB131092 MPX131092 MZT131092 NJP131092 NTL131092 ODH131092 OND131092 OWZ131092 PGV131092 PQR131092 QAN131092 QKJ131092 QUF131092 REB131092 RNX131092 RXT131092 SHP131092 SRL131092 TBH131092 TLD131092 TUZ131092 UEV131092 UOR131092 UYN131092 VIJ131092 VSF131092 WCB131092 WLX131092 WVT131092 L196628 JH196628 TD196628 ACZ196628 AMV196628 AWR196628 BGN196628 BQJ196628 CAF196628 CKB196628 CTX196628 DDT196628 DNP196628 DXL196628 EHH196628 ERD196628 FAZ196628 FKV196628 FUR196628 GEN196628 GOJ196628 GYF196628 HIB196628 HRX196628 IBT196628 ILP196628 IVL196628 JFH196628 JPD196628 JYZ196628 KIV196628 KSR196628 LCN196628 LMJ196628 LWF196628 MGB196628 MPX196628 MZT196628 NJP196628 NTL196628 ODH196628 OND196628 OWZ196628 PGV196628 PQR196628 QAN196628 QKJ196628 QUF196628 REB196628 RNX196628 RXT196628 SHP196628 SRL196628 TBH196628 TLD196628 TUZ196628 UEV196628 UOR196628 UYN196628 VIJ196628 VSF196628 WCB196628 WLX196628 WVT196628 L262164 JH262164 TD262164 ACZ262164 AMV262164 AWR262164 BGN262164 BQJ262164 CAF262164 CKB262164 CTX262164 DDT262164 DNP262164 DXL262164 EHH262164 ERD262164 FAZ262164 FKV262164 FUR262164 GEN262164 GOJ262164 GYF262164 HIB262164 HRX262164 IBT262164 ILP262164 IVL262164 JFH262164 JPD262164 JYZ262164 KIV262164 KSR262164 LCN262164 LMJ262164 LWF262164 MGB262164 MPX262164 MZT262164 NJP262164 NTL262164 ODH262164 OND262164 OWZ262164 PGV262164 PQR262164 QAN262164 QKJ262164 QUF262164 REB262164 RNX262164 RXT262164 SHP262164 SRL262164 TBH262164 TLD262164 TUZ262164 UEV262164 UOR262164 UYN262164 VIJ262164 VSF262164 WCB262164 WLX262164 WVT262164 L327700 JH327700 TD327700 ACZ327700 AMV327700 AWR327700 BGN327700 BQJ327700 CAF327700 CKB327700 CTX327700 DDT327700 DNP327700 DXL327700 EHH327700 ERD327700 FAZ327700 FKV327700 FUR327700 GEN327700 GOJ327700 GYF327700 HIB327700 HRX327700 IBT327700 ILP327700 IVL327700 JFH327700 JPD327700 JYZ327700 KIV327700 KSR327700 LCN327700 LMJ327700 LWF327700 MGB327700 MPX327700 MZT327700 NJP327700 NTL327700 ODH327700 OND327700 OWZ327700 PGV327700 PQR327700 QAN327700 QKJ327700 QUF327700 REB327700 RNX327700 RXT327700 SHP327700 SRL327700 TBH327700 TLD327700 TUZ327700 UEV327700 UOR327700 UYN327700 VIJ327700 VSF327700 WCB327700 WLX327700 WVT327700 L393236 JH393236 TD393236 ACZ393236 AMV393236 AWR393236 BGN393236 BQJ393236 CAF393236 CKB393236 CTX393236 DDT393236 DNP393236 DXL393236 EHH393236 ERD393236 FAZ393236 FKV393236 FUR393236 GEN393236 GOJ393236 GYF393236 HIB393236 HRX393236 IBT393236 ILP393236 IVL393236 JFH393236 JPD393236 JYZ393236 KIV393236 KSR393236 LCN393236 LMJ393236 LWF393236 MGB393236 MPX393236 MZT393236 NJP393236 NTL393236 ODH393236 OND393236 OWZ393236 PGV393236 PQR393236 QAN393236 QKJ393236 QUF393236 REB393236 RNX393236 RXT393236 SHP393236 SRL393236 TBH393236 TLD393236 TUZ393236 UEV393236 UOR393236 UYN393236 VIJ393236 VSF393236 WCB393236 WLX393236 WVT393236 L458772 JH458772 TD458772 ACZ458772 AMV458772 AWR458772 BGN458772 BQJ458772 CAF458772 CKB458772 CTX458772 DDT458772 DNP458772 DXL458772 EHH458772 ERD458772 FAZ458772 FKV458772 FUR458772 GEN458772 GOJ458772 GYF458772 HIB458772 HRX458772 IBT458772 ILP458772 IVL458772 JFH458772 JPD458772 JYZ458772 KIV458772 KSR458772 LCN458772 LMJ458772 LWF458772 MGB458772 MPX458772 MZT458772 NJP458772 NTL458772 ODH458772 OND458772 OWZ458772 PGV458772 PQR458772 QAN458772 QKJ458772 QUF458772 REB458772 RNX458772 RXT458772 SHP458772 SRL458772 TBH458772 TLD458772 TUZ458772 UEV458772 UOR458772 UYN458772 VIJ458772 VSF458772 WCB458772 WLX458772 WVT458772 L524308 JH524308 TD524308 ACZ524308 AMV524308 AWR524308 BGN524308 BQJ524308 CAF524308 CKB524308 CTX524308 DDT524308 DNP524308 DXL524308 EHH524308 ERD524308 FAZ524308 FKV524308 FUR524308 GEN524308 GOJ524308 GYF524308 HIB524308 HRX524308 IBT524308 ILP524308 IVL524308 JFH524308 JPD524308 JYZ524308 KIV524308 KSR524308 LCN524308 LMJ524308 LWF524308 MGB524308 MPX524308 MZT524308 NJP524308 NTL524308 ODH524308 OND524308 OWZ524308 PGV524308 PQR524308 QAN524308 QKJ524308 QUF524308 REB524308 RNX524308 RXT524308 SHP524308 SRL524308 TBH524308 TLD524308 TUZ524308 UEV524308 UOR524308 UYN524308 VIJ524308 VSF524308 WCB524308 WLX524308 WVT524308 L589844 JH589844 TD589844 ACZ589844 AMV589844 AWR589844 BGN589844 BQJ589844 CAF589844 CKB589844 CTX589844 DDT589844 DNP589844 DXL589844 EHH589844 ERD589844 FAZ589844 FKV589844 FUR589844 GEN589844 GOJ589844 GYF589844 HIB589844 HRX589844 IBT589844 ILP589844 IVL589844 JFH589844 JPD589844 JYZ589844 KIV589844 KSR589844 LCN589844 LMJ589844 LWF589844 MGB589844 MPX589844 MZT589844 NJP589844 NTL589844 ODH589844 OND589844 OWZ589844 PGV589844 PQR589844 QAN589844 QKJ589844 QUF589844 REB589844 RNX589844 RXT589844 SHP589844 SRL589844 TBH589844 TLD589844 TUZ589844 UEV589844 UOR589844 UYN589844 VIJ589844 VSF589844 WCB589844 WLX589844 WVT589844 L655380 JH655380 TD655380 ACZ655380 AMV655380 AWR655380 BGN655380 BQJ655380 CAF655380 CKB655380 CTX655380 DDT655380 DNP655380 DXL655380 EHH655380 ERD655380 FAZ655380 FKV655380 FUR655380 GEN655380 GOJ655380 GYF655380 HIB655380 HRX655380 IBT655380 ILP655380 IVL655380 JFH655380 JPD655380 JYZ655380 KIV655380 KSR655380 LCN655380 LMJ655380 LWF655380 MGB655380 MPX655380 MZT655380 NJP655380 NTL655380 ODH655380 OND655380 OWZ655380 PGV655380 PQR655380 QAN655380 QKJ655380 QUF655380 REB655380 RNX655380 RXT655380 SHP655380 SRL655380 TBH655380 TLD655380 TUZ655380 UEV655380 UOR655380 UYN655380 VIJ655380 VSF655380 WCB655380 WLX655380 WVT655380 L720916 JH720916 TD720916 ACZ720916 AMV720916 AWR720916 BGN720916 BQJ720916 CAF720916 CKB720916 CTX720916 DDT720916 DNP720916 DXL720916 EHH720916 ERD720916 FAZ720916 FKV720916 FUR720916 GEN720916 GOJ720916 GYF720916 HIB720916 HRX720916 IBT720916 ILP720916 IVL720916 JFH720916 JPD720916 JYZ720916 KIV720916 KSR720916 LCN720916 LMJ720916 LWF720916 MGB720916 MPX720916 MZT720916 NJP720916 NTL720916 ODH720916 OND720916 OWZ720916 PGV720916 PQR720916 QAN720916 QKJ720916 QUF720916 REB720916 RNX720916 RXT720916 SHP720916 SRL720916 TBH720916 TLD720916 TUZ720916 UEV720916 UOR720916 UYN720916 VIJ720916 VSF720916 WCB720916 WLX720916 WVT720916 L786452 JH786452 TD786452 ACZ786452 AMV786452 AWR786452 BGN786452 BQJ786452 CAF786452 CKB786452 CTX786452 DDT786452 DNP786452 DXL786452 EHH786452 ERD786452 FAZ786452 FKV786452 FUR786452 GEN786452 GOJ786452 GYF786452 HIB786452 HRX786452 IBT786452 ILP786452 IVL786452 JFH786452 JPD786452 JYZ786452 KIV786452 KSR786452 LCN786452 LMJ786452 LWF786452 MGB786452 MPX786452 MZT786452 NJP786452 NTL786452 ODH786452 OND786452 OWZ786452 PGV786452 PQR786452 QAN786452 QKJ786452 QUF786452 REB786452 RNX786452 RXT786452 SHP786452 SRL786452 TBH786452 TLD786452 TUZ786452 UEV786452 UOR786452 UYN786452 VIJ786452 VSF786452 WCB786452 WLX786452 WVT786452 L851988 JH851988 TD851988 ACZ851988 AMV851988 AWR851988 BGN851988 BQJ851988 CAF851988 CKB851988 CTX851988 DDT851988 DNP851988 DXL851988 EHH851988 ERD851988 FAZ851988 FKV851988 FUR851988 GEN851988 GOJ851988 GYF851988 HIB851988 HRX851988 IBT851988 ILP851988 IVL851988 JFH851988 JPD851988 JYZ851988 KIV851988 KSR851988 LCN851988 LMJ851988 LWF851988 MGB851988 MPX851988 MZT851988 NJP851988 NTL851988 ODH851988 OND851988 OWZ851988 PGV851988 PQR851988 QAN851988 QKJ851988 QUF851988 REB851988 RNX851988 RXT851988 SHP851988 SRL851988 TBH851988 TLD851988 TUZ851988 UEV851988 UOR851988 UYN851988 VIJ851988 VSF851988 WCB851988 WLX851988 WVT851988 L917524 JH917524 TD917524 ACZ917524 AMV917524 AWR917524 BGN917524 BQJ917524 CAF917524 CKB917524 CTX917524 DDT917524 DNP917524 DXL917524 EHH917524 ERD917524 FAZ917524 FKV917524 FUR917524 GEN917524 GOJ917524 GYF917524 HIB917524 HRX917524 IBT917524 ILP917524 IVL917524 JFH917524 JPD917524 JYZ917524 KIV917524 KSR917524 LCN917524 LMJ917524 LWF917524 MGB917524 MPX917524 MZT917524 NJP917524 NTL917524 ODH917524 OND917524 OWZ917524 PGV917524 PQR917524 QAN917524 QKJ917524 QUF917524 REB917524 RNX917524 RXT917524 SHP917524 SRL917524 TBH917524 TLD917524 TUZ917524 UEV917524 UOR917524 UYN917524 VIJ917524 VSF917524 WCB917524 WLX917524 WVT917524 L983060 JH983060 TD983060 ACZ983060 AMV983060 AWR983060 BGN983060 BQJ983060 CAF983060 CKB983060 CTX983060 DDT983060 DNP983060 DXL983060 EHH983060 ERD983060 FAZ983060 FKV983060 FUR983060 GEN983060 GOJ983060 GYF983060 HIB983060 HRX983060 IBT983060 ILP983060 IVL983060 JFH983060 JPD983060 JYZ983060 KIV983060 KSR983060 LCN983060 LMJ983060 LWF983060 MGB983060 MPX983060 MZT983060 NJP983060 NTL983060 ODH983060 OND983060 OWZ983060 PGV983060 PQR983060 QAN983060 QKJ983060 QUF983060 REB983060 RNX983060 RXT983060 SHP983060 SRL983060 TBH983060 TLD983060 TUZ983060 UEV983060 UOR983060 UYN983060 VIJ983060 VSF983060 WCB983060 WLX983060">
      <formula1>$BA$5:$BA$12</formula1>
    </dataValidation>
    <dataValidation type="list" allowBlank="1" showInputMessage="1" showErrorMessage="1" sqref="WVT983059 JH19 TD19 ACZ19 AMV19 AWR19 BGN19 BQJ19 CAF19 CKB19 CTX19 DDT19 DNP19 DXL19 EHH19 ERD19 FAZ19 FKV19 FUR19 GEN19 GOJ19 GYF19 HIB19 HRX19 IBT19 ILP19 IVL19 JFH19 JPD19 JYZ19 KIV19 KSR19 LCN19 LMJ19 LWF19 MGB19 MPX19 MZT19 NJP19 NTL19 ODH19 OND19 OWZ19 PGV19 PQR19 QAN19 QKJ19 QUF19 REB19 RNX19 RXT19 SHP19 SRL19 TBH19 TLD19 TUZ19 UEV19 UOR19 UYN19 VIJ19 VSF19 WCB19 WLX19 WVT19 L65555 JH65555 TD65555 ACZ65555 AMV65555 AWR65555 BGN65555 BQJ65555 CAF65555 CKB65555 CTX65555 DDT65555 DNP65555 DXL65555 EHH65555 ERD65555 FAZ65555 FKV65555 FUR65555 GEN65555 GOJ65555 GYF65555 HIB65555 HRX65555 IBT65555 ILP65555 IVL65555 JFH65555 JPD65555 JYZ65555 KIV65555 KSR65555 LCN65555 LMJ65555 LWF65555 MGB65555 MPX65555 MZT65555 NJP65555 NTL65555 ODH65555 OND65555 OWZ65555 PGV65555 PQR65555 QAN65555 QKJ65555 QUF65555 REB65555 RNX65555 RXT65555 SHP65555 SRL65555 TBH65555 TLD65555 TUZ65555 UEV65555 UOR65555 UYN65555 VIJ65555 VSF65555 WCB65555 WLX65555 WVT65555 L131091 JH131091 TD131091 ACZ131091 AMV131091 AWR131091 BGN131091 BQJ131091 CAF131091 CKB131091 CTX131091 DDT131091 DNP131091 DXL131091 EHH131091 ERD131091 FAZ131091 FKV131091 FUR131091 GEN131091 GOJ131091 GYF131091 HIB131091 HRX131091 IBT131091 ILP131091 IVL131091 JFH131091 JPD131091 JYZ131091 KIV131091 KSR131091 LCN131091 LMJ131091 LWF131091 MGB131091 MPX131091 MZT131091 NJP131091 NTL131091 ODH131091 OND131091 OWZ131091 PGV131091 PQR131091 QAN131091 QKJ131091 QUF131091 REB131091 RNX131091 RXT131091 SHP131091 SRL131091 TBH131091 TLD131091 TUZ131091 UEV131091 UOR131091 UYN131091 VIJ131091 VSF131091 WCB131091 WLX131091 WVT131091 L196627 JH196627 TD196627 ACZ196627 AMV196627 AWR196627 BGN196627 BQJ196627 CAF196627 CKB196627 CTX196627 DDT196627 DNP196627 DXL196627 EHH196627 ERD196627 FAZ196627 FKV196627 FUR196627 GEN196627 GOJ196627 GYF196627 HIB196627 HRX196627 IBT196627 ILP196627 IVL196627 JFH196627 JPD196627 JYZ196627 KIV196627 KSR196627 LCN196627 LMJ196627 LWF196627 MGB196627 MPX196627 MZT196627 NJP196627 NTL196627 ODH196627 OND196627 OWZ196627 PGV196627 PQR196627 QAN196627 QKJ196627 QUF196627 REB196627 RNX196627 RXT196627 SHP196627 SRL196627 TBH196627 TLD196627 TUZ196627 UEV196627 UOR196627 UYN196627 VIJ196627 VSF196627 WCB196627 WLX196627 WVT196627 L262163 JH262163 TD262163 ACZ262163 AMV262163 AWR262163 BGN262163 BQJ262163 CAF262163 CKB262163 CTX262163 DDT262163 DNP262163 DXL262163 EHH262163 ERD262163 FAZ262163 FKV262163 FUR262163 GEN262163 GOJ262163 GYF262163 HIB262163 HRX262163 IBT262163 ILP262163 IVL262163 JFH262163 JPD262163 JYZ262163 KIV262163 KSR262163 LCN262163 LMJ262163 LWF262163 MGB262163 MPX262163 MZT262163 NJP262163 NTL262163 ODH262163 OND262163 OWZ262163 PGV262163 PQR262163 QAN262163 QKJ262163 QUF262163 REB262163 RNX262163 RXT262163 SHP262163 SRL262163 TBH262163 TLD262163 TUZ262163 UEV262163 UOR262163 UYN262163 VIJ262163 VSF262163 WCB262163 WLX262163 WVT262163 L327699 JH327699 TD327699 ACZ327699 AMV327699 AWR327699 BGN327699 BQJ327699 CAF327699 CKB327699 CTX327699 DDT327699 DNP327699 DXL327699 EHH327699 ERD327699 FAZ327699 FKV327699 FUR327699 GEN327699 GOJ327699 GYF327699 HIB327699 HRX327699 IBT327699 ILP327699 IVL327699 JFH327699 JPD327699 JYZ327699 KIV327699 KSR327699 LCN327699 LMJ327699 LWF327699 MGB327699 MPX327699 MZT327699 NJP327699 NTL327699 ODH327699 OND327699 OWZ327699 PGV327699 PQR327699 QAN327699 QKJ327699 QUF327699 REB327699 RNX327699 RXT327699 SHP327699 SRL327699 TBH327699 TLD327699 TUZ327699 UEV327699 UOR327699 UYN327699 VIJ327699 VSF327699 WCB327699 WLX327699 WVT327699 L393235 JH393235 TD393235 ACZ393235 AMV393235 AWR393235 BGN393235 BQJ393235 CAF393235 CKB393235 CTX393235 DDT393235 DNP393235 DXL393235 EHH393235 ERD393235 FAZ393235 FKV393235 FUR393235 GEN393235 GOJ393235 GYF393235 HIB393235 HRX393235 IBT393235 ILP393235 IVL393235 JFH393235 JPD393235 JYZ393235 KIV393235 KSR393235 LCN393235 LMJ393235 LWF393235 MGB393235 MPX393235 MZT393235 NJP393235 NTL393235 ODH393235 OND393235 OWZ393235 PGV393235 PQR393235 QAN393235 QKJ393235 QUF393235 REB393235 RNX393235 RXT393235 SHP393235 SRL393235 TBH393235 TLD393235 TUZ393235 UEV393235 UOR393235 UYN393235 VIJ393235 VSF393235 WCB393235 WLX393235 WVT393235 L458771 JH458771 TD458771 ACZ458771 AMV458771 AWR458771 BGN458771 BQJ458771 CAF458771 CKB458771 CTX458771 DDT458771 DNP458771 DXL458771 EHH458771 ERD458771 FAZ458771 FKV458771 FUR458771 GEN458771 GOJ458771 GYF458771 HIB458771 HRX458771 IBT458771 ILP458771 IVL458771 JFH458771 JPD458771 JYZ458771 KIV458771 KSR458771 LCN458771 LMJ458771 LWF458771 MGB458771 MPX458771 MZT458771 NJP458771 NTL458771 ODH458771 OND458771 OWZ458771 PGV458771 PQR458771 QAN458771 QKJ458771 QUF458771 REB458771 RNX458771 RXT458771 SHP458771 SRL458771 TBH458771 TLD458771 TUZ458771 UEV458771 UOR458771 UYN458771 VIJ458771 VSF458771 WCB458771 WLX458771 WVT458771 L524307 JH524307 TD524307 ACZ524307 AMV524307 AWR524307 BGN524307 BQJ524307 CAF524307 CKB524307 CTX524307 DDT524307 DNP524307 DXL524307 EHH524307 ERD524307 FAZ524307 FKV524307 FUR524307 GEN524307 GOJ524307 GYF524307 HIB524307 HRX524307 IBT524307 ILP524307 IVL524307 JFH524307 JPD524307 JYZ524307 KIV524307 KSR524307 LCN524307 LMJ524307 LWF524307 MGB524307 MPX524307 MZT524307 NJP524307 NTL524307 ODH524307 OND524307 OWZ524307 PGV524307 PQR524307 QAN524307 QKJ524307 QUF524307 REB524307 RNX524307 RXT524307 SHP524307 SRL524307 TBH524307 TLD524307 TUZ524307 UEV524307 UOR524307 UYN524307 VIJ524307 VSF524307 WCB524307 WLX524307 WVT524307 L589843 JH589843 TD589843 ACZ589843 AMV589843 AWR589843 BGN589843 BQJ589843 CAF589843 CKB589843 CTX589843 DDT589843 DNP589843 DXL589843 EHH589843 ERD589843 FAZ589843 FKV589843 FUR589843 GEN589843 GOJ589843 GYF589843 HIB589843 HRX589843 IBT589843 ILP589843 IVL589843 JFH589843 JPD589843 JYZ589843 KIV589843 KSR589843 LCN589843 LMJ589843 LWF589843 MGB589843 MPX589843 MZT589843 NJP589843 NTL589843 ODH589843 OND589843 OWZ589843 PGV589843 PQR589843 QAN589843 QKJ589843 QUF589843 REB589843 RNX589843 RXT589843 SHP589843 SRL589843 TBH589843 TLD589843 TUZ589843 UEV589843 UOR589843 UYN589843 VIJ589843 VSF589843 WCB589843 WLX589843 WVT589843 L655379 JH655379 TD655379 ACZ655379 AMV655379 AWR655379 BGN655379 BQJ655379 CAF655379 CKB655379 CTX655379 DDT655379 DNP655379 DXL655379 EHH655379 ERD655379 FAZ655379 FKV655379 FUR655379 GEN655379 GOJ655379 GYF655379 HIB655379 HRX655379 IBT655379 ILP655379 IVL655379 JFH655379 JPD655379 JYZ655379 KIV655379 KSR655379 LCN655379 LMJ655379 LWF655379 MGB655379 MPX655379 MZT655379 NJP655379 NTL655379 ODH655379 OND655379 OWZ655379 PGV655379 PQR655379 QAN655379 QKJ655379 QUF655379 REB655379 RNX655379 RXT655379 SHP655379 SRL655379 TBH655379 TLD655379 TUZ655379 UEV655379 UOR655379 UYN655379 VIJ655379 VSF655379 WCB655379 WLX655379 WVT655379 L720915 JH720915 TD720915 ACZ720915 AMV720915 AWR720915 BGN720915 BQJ720915 CAF720915 CKB720915 CTX720915 DDT720915 DNP720915 DXL720915 EHH720915 ERD720915 FAZ720915 FKV720915 FUR720915 GEN720915 GOJ720915 GYF720915 HIB720915 HRX720915 IBT720915 ILP720915 IVL720915 JFH720915 JPD720915 JYZ720915 KIV720915 KSR720915 LCN720915 LMJ720915 LWF720915 MGB720915 MPX720915 MZT720915 NJP720915 NTL720915 ODH720915 OND720915 OWZ720915 PGV720915 PQR720915 QAN720915 QKJ720915 QUF720915 REB720915 RNX720915 RXT720915 SHP720915 SRL720915 TBH720915 TLD720915 TUZ720915 UEV720915 UOR720915 UYN720915 VIJ720915 VSF720915 WCB720915 WLX720915 WVT720915 L786451 JH786451 TD786451 ACZ786451 AMV786451 AWR786451 BGN786451 BQJ786451 CAF786451 CKB786451 CTX786451 DDT786451 DNP786451 DXL786451 EHH786451 ERD786451 FAZ786451 FKV786451 FUR786451 GEN786451 GOJ786451 GYF786451 HIB786451 HRX786451 IBT786451 ILP786451 IVL786451 JFH786451 JPD786451 JYZ786451 KIV786451 KSR786451 LCN786451 LMJ786451 LWF786451 MGB786451 MPX786451 MZT786451 NJP786451 NTL786451 ODH786451 OND786451 OWZ786451 PGV786451 PQR786451 QAN786451 QKJ786451 QUF786451 REB786451 RNX786451 RXT786451 SHP786451 SRL786451 TBH786451 TLD786451 TUZ786451 UEV786451 UOR786451 UYN786451 VIJ786451 VSF786451 WCB786451 WLX786451 WVT786451 L851987 JH851987 TD851987 ACZ851987 AMV851987 AWR851987 BGN851987 BQJ851987 CAF851987 CKB851987 CTX851987 DDT851987 DNP851987 DXL851987 EHH851987 ERD851987 FAZ851987 FKV851987 FUR851987 GEN851987 GOJ851987 GYF851987 HIB851987 HRX851987 IBT851987 ILP851987 IVL851987 JFH851987 JPD851987 JYZ851987 KIV851987 KSR851987 LCN851987 LMJ851987 LWF851987 MGB851987 MPX851987 MZT851987 NJP851987 NTL851987 ODH851987 OND851987 OWZ851987 PGV851987 PQR851987 QAN851987 QKJ851987 QUF851987 REB851987 RNX851987 RXT851987 SHP851987 SRL851987 TBH851987 TLD851987 TUZ851987 UEV851987 UOR851987 UYN851987 VIJ851987 VSF851987 WCB851987 WLX851987 WVT851987 L917523 JH917523 TD917523 ACZ917523 AMV917523 AWR917523 BGN917523 BQJ917523 CAF917523 CKB917523 CTX917523 DDT917523 DNP917523 DXL917523 EHH917523 ERD917523 FAZ917523 FKV917523 FUR917523 GEN917523 GOJ917523 GYF917523 HIB917523 HRX917523 IBT917523 ILP917523 IVL917523 JFH917523 JPD917523 JYZ917523 KIV917523 KSR917523 LCN917523 LMJ917523 LWF917523 MGB917523 MPX917523 MZT917523 NJP917523 NTL917523 ODH917523 OND917523 OWZ917523 PGV917523 PQR917523 QAN917523 QKJ917523 QUF917523 REB917523 RNX917523 RXT917523 SHP917523 SRL917523 TBH917523 TLD917523 TUZ917523 UEV917523 UOR917523 UYN917523 VIJ917523 VSF917523 WCB917523 WLX917523 WVT917523 L983059 JH983059 TD983059 ACZ983059 AMV983059 AWR983059 BGN983059 BQJ983059 CAF983059 CKB983059 CTX983059 DDT983059 DNP983059 DXL983059 EHH983059 ERD983059 FAZ983059 FKV983059 FUR983059 GEN983059 GOJ983059 GYF983059 HIB983059 HRX983059 IBT983059 ILP983059 IVL983059 JFH983059 JPD983059 JYZ983059 KIV983059 KSR983059 LCN983059 LMJ983059 LWF983059 MGB983059 MPX983059 MZT983059 NJP983059 NTL983059 ODH983059 OND983059 OWZ983059 PGV983059 PQR983059 QAN983059 QKJ983059 QUF983059 REB983059 RNX983059 RXT983059 SHP983059 SRL983059 TBH983059 TLD983059 TUZ983059 UEV983059 UOR983059 UYN983059 VIJ983059 VSF983059 WCB983059 WLX983059">
      <formula1>$AY$5:$AY$12</formula1>
    </dataValidation>
    <dataValidation type="list" allowBlank="1" showInputMessage="1" showErrorMessage="1" sqref="WVT983058 JH18 TD18 ACZ18 AMV18 AWR18 BGN18 BQJ18 CAF18 CKB18 CTX18 DDT18 DNP18 DXL18 EHH18 ERD18 FAZ18 FKV18 FUR18 GEN18 GOJ18 GYF18 HIB18 HRX18 IBT18 ILP18 IVL18 JFH18 JPD18 JYZ18 KIV18 KSR18 LCN18 LMJ18 LWF18 MGB18 MPX18 MZT18 NJP18 NTL18 ODH18 OND18 OWZ18 PGV18 PQR18 QAN18 QKJ18 QUF18 REB18 RNX18 RXT18 SHP18 SRL18 TBH18 TLD18 TUZ18 UEV18 UOR18 UYN18 VIJ18 VSF18 WCB18 WLX18 WVT18 L65554 JH65554 TD65554 ACZ65554 AMV65554 AWR65554 BGN65554 BQJ65554 CAF65554 CKB65554 CTX65554 DDT65554 DNP65554 DXL65554 EHH65554 ERD65554 FAZ65554 FKV65554 FUR65554 GEN65554 GOJ65554 GYF65554 HIB65554 HRX65554 IBT65554 ILP65554 IVL65554 JFH65554 JPD65554 JYZ65554 KIV65554 KSR65554 LCN65554 LMJ65554 LWF65554 MGB65554 MPX65554 MZT65554 NJP65554 NTL65554 ODH65554 OND65554 OWZ65554 PGV65554 PQR65554 QAN65554 QKJ65554 QUF65554 REB65554 RNX65554 RXT65554 SHP65554 SRL65554 TBH65554 TLD65554 TUZ65554 UEV65554 UOR65554 UYN65554 VIJ65554 VSF65554 WCB65554 WLX65554 WVT65554 L131090 JH131090 TD131090 ACZ131090 AMV131090 AWR131090 BGN131090 BQJ131090 CAF131090 CKB131090 CTX131090 DDT131090 DNP131090 DXL131090 EHH131090 ERD131090 FAZ131090 FKV131090 FUR131090 GEN131090 GOJ131090 GYF131090 HIB131090 HRX131090 IBT131090 ILP131090 IVL131090 JFH131090 JPD131090 JYZ131090 KIV131090 KSR131090 LCN131090 LMJ131090 LWF131090 MGB131090 MPX131090 MZT131090 NJP131090 NTL131090 ODH131090 OND131090 OWZ131090 PGV131090 PQR131090 QAN131090 QKJ131090 QUF131090 REB131090 RNX131090 RXT131090 SHP131090 SRL131090 TBH131090 TLD131090 TUZ131090 UEV131090 UOR131090 UYN131090 VIJ131090 VSF131090 WCB131090 WLX131090 WVT131090 L196626 JH196626 TD196626 ACZ196626 AMV196626 AWR196626 BGN196626 BQJ196626 CAF196626 CKB196626 CTX196626 DDT196626 DNP196626 DXL196626 EHH196626 ERD196626 FAZ196626 FKV196626 FUR196626 GEN196626 GOJ196626 GYF196626 HIB196626 HRX196626 IBT196626 ILP196626 IVL196626 JFH196626 JPD196626 JYZ196626 KIV196626 KSR196626 LCN196626 LMJ196626 LWF196626 MGB196626 MPX196626 MZT196626 NJP196626 NTL196626 ODH196626 OND196626 OWZ196626 PGV196626 PQR196626 QAN196626 QKJ196626 QUF196626 REB196626 RNX196626 RXT196626 SHP196626 SRL196626 TBH196626 TLD196626 TUZ196626 UEV196626 UOR196626 UYN196626 VIJ196626 VSF196626 WCB196626 WLX196626 WVT196626 L262162 JH262162 TD262162 ACZ262162 AMV262162 AWR262162 BGN262162 BQJ262162 CAF262162 CKB262162 CTX262162 DDT262162 DNP262162 DXL262162 EHH262162 ERD262162 FAZ262162 FKV262162 FUR262162 GEN262162 GOJ262162 GYF262162 HIB262162 HRX262162 IBT262162 ILP262162 IVL262162 JFH262162 JPD262162 JYZ262162 KIV262162 KSR262162 LCN262162 LMJ262162 LWF262162 MGB262162 MPX262162 MZT262162 NJP262162 NTL262162 ODH262162 OND262162 OWZ262162 PGV262162 PQR262162 QAN262162 QKJ262162 QUF262162 REB262162 RNX262162 RXT262162 SHP262162 SRL262162 TBH262162 TLD262162 TUZ262162 UEV262162 UOR262162 UYN262162 VIJ262162 VSF262162 WCB262162 WLX262162 WVT262162 L327698 JH327698 TD327698 ACZ327698 AMV327698 AWR327698 BGN327698 BQJ327698 CAF327698 CKB327698 CTX327698 DDT327698 DNP327698 DXL327698 EHH327698 ERD327698 FAZ327698 FKV327698 FUR327698 GEN327698 GOJ327698 GYF327698 HIB327698 HRX327698 IBT327698 ILP327698 IVL327698 JFH327698 JPD327698 JYZ327698 KIV327698 KSR327698 LCN327698 LMJ327698 LWF327698 MGB327698 MPX327698 MZT327698 NJP327698 NTL327698 ODH327698 OND327698 OWZ327698 PGV327698 PQR327698 QAN327698 QKJ327698 QUF327698 REB327698 RNX327698 RXT327698 SHP327698 SRL327698 TBH327698 TLD327698 TUZ327698 UEV327698 UOR327698 UYN327698 VIJ327698 VSF327698 WCB327698 WLX327698 WVT327698 L393234 JH393234 TD393234 ACZ393234 AMV393234 AWR393234 BGN393234 BQJ393234 CAF393234 CKB393234 CTX393234 DDT393234 DNP393234 DXL393234 EHH393234 ERD393234 FAZ393234 FKV393234 FUR393234 GEN393234 GOJ393234 GYF393234 HIB393234 HRX393234 IBT393234 ILP393234 IVL393234 JFH393234 JPD393234 JYZ393234 KIV393234 KSR393234 LCN393234 LMJ393234 LWF393234 MGB393234 MPX393234 MZT393234 NJP393234 NTL393234 ODH393234 OND393234 OWZ393234 PGV393234 PQR393234 QAN393234 QKJ393234 QUF393234 REB393234 RNX393234 RXT393234 SHP393234 SRL393234 TBH393234 TLD393234 TUZ393234 UEV393234 UOR393234 UYN393234 VIJ393234 VSF393234 WCB393234 WLX393234 WVT393234 L458770 JH458770 TD458770 ACZ458770 AMV458770 AWR458770 BGN458770 BQJ458770 CAF458770 CKB458770 CTX458770 DDT458770 DNP458770 DXL458770 EHH458770 ERD458770 FAZ458770 FKV458770 FUR458770 GEN458770 GOJ458770 GYF458770 HIB458770 HRX458770 IBT458770 ILP458770 IVL458770 JFH458770 JPD458770 JYZ458770 KIV458770 KSR458770 LCN458770 LMJ458770 LWF458770 MGB458770 MPX458770 MZT458770 NJP458770 NTL458770 ODH458770 OND458770 OWZ458770 PGV458770 PQR458770 QAN458770 QKJ458770 QUF458770 REB458770 RNX458770 RXT458770 SHP458770 SRL458770 TBH458770 TLD458770 TUZ458770 UEV458770 UOR458770 UYN458770 VIJ458770 VSF458770 WCB458770 WLX458770 WVT458770 L524306 JH524306 TD524306 ACZ524306 AMV524306 AWR524306 BGN524306 BQJ524306 CAF524306 CKB524306 CTX524306 DDT524306 DNP524306 DXL524306 EHH524306 ERD524306 FAZ524306 FKV524306 FUR524306 GEN524306 GOJ524306 GYF524306 HIB524306 HRX524306 IBT524306 ILP524306 IVL524306 JFH524306 JPD524306 JYZ524306 KIV524306 KSR524306 LCN524306 LMJ524306 LWF524306 MGB524306 MPX524306 MZT524306 NJP524306 NTL524306 ODH524306 OND524306 OWZ524306 PGV524306 PQR524306 QAN524306 QKJ524306 QUF524306 REB524306 RNX524306 RXT524306 SHP524306 SRL524306 TBH524306 TLD524306 TUZ524306 UEV524306 UOR524306 UYN524306 VIJ524306 VSF524306 WCB524306 WLX524306 WVT524306 L589842 JH589842 TD589842 ACZ589842 AMV589842 AWR589842 BGN589842 BQJ589842 CAF589842 CKB589842 CTX589842 DDT589842 DNP589842 DXL589842 EHH589842 ERD589842 FAZ589842 FKV589842 FUR589842 GEN589842 GOJ589842 GYF589842 HIB589842 HRX589842 IBT589842 ILP589842 IVL589842 JFH589842 JPD589842 JYZ589842 KIV589842 KSR589842 LCN589842 LMJ589842 LWF589842 MGB589842 MPX589842 MZT589842 NJP589842 NTL589842 ODH589842 OND589842 OWZ589842 PGV589842 PQR589842 QAN589842 QKJ589842 QUF589842 REB589842 RNX589842 RXT589842 SHP589842 SRL589842 TBH589842 TLD589842 TUZ589842 UEV589842 UOR589842 UYN589842 VIJ589842 VSF589842 WCB589842 WLX589842 WVT589842 L655378 JH655378 TD655378 ACZ655378 AMV655378 AWR655378 BGN655378 BQJ655378 CAF655378 CKB655378 CTX655378 DDT655378 DNP655378 DXL655378 EHH655378 ERD655378 FAZ655378 FKV655378 FUR655378 GEN655378 GOJ655378 GYF655378 HIB655378 HRX655378 IBT655378 ILP655378 IVL655378 JFH655378 JPD655378 JYZ655378 KIV655378 KSR655378 LCN655378 LMJ655378 LWF655378 MGB655378 MPX655378 MZT655378 NJP655378 NTL655378 ODH655378 OND655378 OWZ655378 PGV655378 PQR655378 QAN655378 QKJ655378 QUF655378 REB655378 RNX655378 RXT655378 SHP655378 SRL655378 TBH655378 TLD655378 TUZ655378 UEV655378 UOR655378 UYN655378 VIJ655378 VSF655378 WCB655378 WLX655378 WVT655378 L720914 JH720914 TD720914 ACZ720914 AMV720914 AWR720914 BGN720914 BQJ720914 CAF720914 CKB720914 CTX720914 DDT720914 DNP720914 DXL720914 EHH720914 ERD720914 FAZ720914 FKV720914 FUR720914 GEN720914 GOJ720914 GYF720914 HIB720914 HRX720914 IBT720914 ILP720914 IVL720914 JFH720914 JPD720914 JYZ720914 KIV720914 KSR720914 LCN720914 LMJ720914 LWF720914 MGB720914 MPX720914 MZT720914 NJP720914 NTL720914 ODH720914 OND720914 OWZ720914 PGV720914 PQR720914 QAN720914 QKJ720914 QUF720914 REB720914 RNX720914 RXT720914 SHP720914 SRL720914 TBH720914 TLD720914 TUZ720914 UEV720914 UOR720914 UYN720914 VIJ720914 VSF720914 WCB720914 WLX720914 WVT720914 L786450 JH786450 TD786450 ACZ786450 AMV786450 AWR786450 BGN786450 BQJ786450 CAF786450 CKB786450 CTX786450 DDT786450 DNP786450 DXL786450 EHH786450 ERD786450 FAZ786450 FKV786450 FUR786450 GEN786450 GOJ786450 GYF786450 HIB786450 HRX786450 IBT786450 ILP786450 IVL786450 JFH786450 JPD786450 JYZ786450 KIV786450 KSR786450 LCN786450 LMJ786450 LWF786450 MGB786450 MPX786450 MZT786450 NJP786450 NTL786450 ODH786450 OND786450 OWZ786450 PGV786450 PQR786450 QAN786450 QKJ786450 QUF786450 REB786450 RNX786450 RXT786450 SHP786450 SRL786450 TBH786450 TLD786450 TUZ786450 UEV786450 UOR786450 UYN786450 VIJ786450 VSF786450 WCB786450 WLX786450 WVT786450 L851986 JH851986 TD851986 ACZ851986 AMV851986 AWR851986 BGN851986 BQJ851986 CAF851986 CKB851986 CTX851986 DDT851986 DNP851986 DXL851986 EHH851986 ERD851986 FAZ851986 FKV851986 FUR851986 GEN851986 GOJ851986 GYF851986 HIB851986 HRX851986 IBT851986 ILP851986 IVL851986 JFH851986 JPD851986 JYZ851986 KIV851986 KSR851986 LCN851986 LMJ851986 LWF851986 MGB851986 MPX851986 MZT851986 NJP851986 NTL851986 ODH851986 OND851986 OWZ851986 PGV851986 PQR851986 QAN851986 QKJ851986 QUF851986 REB851986 RNX851986 RXT851986 SHP851986 SRL851986 TBH851986 TLD851986 TUZ851986 UEV851986 UOR851986 UYN851986 VIJ851986 VSF851986 WCB851986 WLX851986 WVT851986 L917522 JH917522 TD917522 ACZ917522 AMV917522 AWR917522 BGN917522 BQJ917522 CAF917522 CKB917522 CTX917522 DDT917522 DNP917522 DXL917522 EHH917522 ERD917522 FAZ917522 FKV917522 FUR917522 GEN917522 GOJ917522 GYF917522 HIB917522 HRX917522 IBT917522 ILP917522 IVL917522 JFH917522 JPD917522 JYZ917522 KIV917522 KSR917522 LCN917522 LMJ917522 LWF917522 MGB917522 MPX917522 MZT917522 NJP917522 NTL917522 ODH917522 OND917522 OWZ917522 PGV917522 PQR917522 QAN917522 QKJ917522 QUF917522 REB917522 RNX917522 RXT917522 SHP917522 SRL917522 TBH917522 TLD917522 TUZ917522 UEV917522 UOR917522 UYN917522 VIJ917522 VSF917522 WCB917522 WLX917522 WVT917522 L983058 JH983058 TD983058 ACZ983058 AMV983058 AWR983058 BGN983058 BQJ983058 CAF983058 CKB983058 CTX983058 DDT983058 DNP983058 DXL983058 EHH983058 ERD983058 FAZ983058 FKV983058 FUR983058 GEN983058 GOJ983058 GYF983058 HIB983058 HRX983058 IBT983058 ILP983058 IVL983058 JFH983058 JPD983058 JYZ983058 KIV983058 KSR983058 LCN983058 LMJ983058 LWF983058 MGB983058 MPX983058 MZT983058 NJP983058 NTL983058 ODH983058 OND983058 OWZ983058 PGV983058 PQR983058 QAN983058 QKJ983058 QUF983058 REB983058 RNX983058 RXT983058 SHP983058 SRL983058 TBH983058 TLD983058 TUZ983058 UEV983058 UOR983058 UYN983058 VIJ983058 VSF983058 WCB983058 WLX983058">
      <formula1>$AW$5:$AW$12</formula1>
    </dataValidation>
    <dataValidation type="list" allowBlank="1" showInputMessage="1" showErrorMessage="1" sqref="WVT98305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formula1>$AU$5:$AU$12</formula1>
    </dataValidation>
    <dataValidation type="list" allowBlank="1" showInputMessage="1" showErrorMessage="1" sqref="WVT983056 JH16 TD16 ACZ16 AMV16 AWR16 BGN16 BQJ16 CAF16 CKB16 CTX16 DDT16 DNP16 DXL16 EHH16 ERD16 FAZ16 FKV16 FUR16 GEN16 GOJ16 GYF16 HIB16 HRX16 IBT16 ILP16 IVL16 JFH16 JPD16 JYZ16 KIV16 KSR16 LCN16 LMJ16 LWF16 MGB16 MPX16 MZT16 NJP16 NTL16 ODH16 OND16 OWZ16 PGV16 PQR16 QAN16 QKJ16 QUF16 REB16 RNX16 RXT16 SHP16 SRL16 TBH16 TLD16 TUZ16 UEV16 UOR16 UYN16 VIJ16 VSF16 WCB16 WLX16 WVT16 L65552 JH65552 TD65552 ACZ65552 AMV65552 AWR65552 BGN65552 BQJ65552 CAF65552 CKB65552 CTX65552 DDT65552 DNP65552 DXL65552 EHH65552 ERD65552 FAZ65552 FKV65552 FUR65552 GEN65552 GOJ65552 GYF65552 HIB65552 HRX65552 IBT65552 ILP65552 IVL65552 JFH65552 JPD65552 JYZ65552 KIV65552 KSR65552 LCN65552 LMJ65552 LWF65552 MGB65552 MPX65552 MZT65552 NJP65552 NTL65552 ODH65552 OND65552 OWZ65552 PGV65552 PQR65552 QAN65552 QKJ65552 QUF65552 REB65552 RNX65552 RXT65552 SHP65552 SRL65552 TBH65552 TLD65552 TUZ65552 UEV65552 UOR65552 UYN65552 VIJ65552 VSF65552 WCB65552 WLX65552 WVT65552 L131088 JH131088 TD131088 ACZ131088 AMV131088 AWR131088 BGN131088 BQJ131088 CAF131088 CKB131088 CTX131088 DDT131088 DNP131088 DXL131088 EHH131088 ERD131088 FAZ131088 FKV131088 FUR131088 GEN131088 GOJ131088 GYF131088 HIB131088 HRX131088 IBT131088 ILP131088 IVL131088 JFH131088 JPD131088 JYZ131088 KIV131088 KSR131088 LCN131088 LMJ131088 LWF131088 MGB131088 MPX131088 MZT131088 NJP131088 NTL131088 ODH131088 OND131088 OWZ131088 PGV131088 PQR131088 QAN131088 QKJ131088 QUF131088 REB131088 RNX131088 RXT131088 SHP131088 SRL131088 TBH131088 TLD131088 TUZ131088 UEV131088 UOR131088 UYN131088 VIJ131088 VSF131088 WCB131088 WLX131088 WVT131088 L196624 JH196624 TD196624 ACZ196624 AMV196624 AWR196624 BGN196624 BQJ196624 CAF196624 CKB196624 CTX196624 DDT196624 DNP196624 DXL196624 EHH196624 ERD196624 FAZ196624 FKV196624 FUR196624 GEN196624 GOJ196624 GYF196624 HIB196624 HRX196624 IBT196624 ILP196624 IVL196624 JFH196624 JPD196624 JYZ196624 KIV196624 KSR196624 LCN196624 LMJ196624 LWF196624 MGB196624 MPX196624 MZT196624 NJP196624 NTL196624 ODH196624 OND196624 OWZ196624 PGV196624 PQR196624 QAN196624 QKJ196624 QUF196624 REB196624 RNX196624 RXT196624 SHP196624 SRL196624 TBH196624 TLD196624 TUZ196624 UEV196624 UOR196624 UYN196624 VIJ196624 VSF196624 WCB196624 WLX196624 WVT196624 L262160 JH262160 TD262160 ACZ262160 AMV262160 AWR262160 BGN262160 BQJ262160 CAF262160 CKB262160 CTX262160 DDT262160 DNP262160 DXL262160 EHH262160 ERD262160 FAZ262160 FKV262160 FUR262160 GEN262160 GOJ262160 GYF262160 HIB262160 HRX262160 IBT262160 ILP262160 IVL262160 JFH262160 JPD262160 JYZ262160 KIV262160 KSR262160 LCN262160 LMJ262160 LWF262160 MGB262160 MPX262160 MZT262160 NJP262160 NTL262160 ODH262160 OND262160 OWZ262160 PGV262160 PQR262160 QAN262160 QKJ262160 QUF262160 REB262160 RNX262160 RXT262160 SHP262160 SRL262160 TBH262160 TLD262160 TUZ262160 UEV262160 UOR262160 UYN262160 VIJ262160 VSF262160 WCB262160 WLX262160 WVT262160 L327696 JH327696 TD327696 ACZ327696 AMV327696 AWR327696 BGN327696 BQJ327696 CAF327696 CKB327696 CTX327696 DDT327696 DNP327696 DXL327696 EHH327696 ERD327696 FAZ327696 FKV327696 FUR327696 GEN327696 GOJ327696 GYF327696 HIB327696 HRX327696 IBT327696 ILP327696 IVL327696 JFH327696 JPD327696 JYZ327696 KIV327696 KSR327696 LCN327696 LMJ327696 LWF327696 MGB327696 MPX327696 MZT327696 NJP327696 NTL327696 ODH327696 OND327696 OWZ327696 PGV327696 PQR327696 QAN327696 QKJ327696 QUF327696 REB327696 RNX327696 RXT327696 SHP327696 SRL327696 TBH327696 TLD327696 TUZ327696 UEV327696 UOR327696 UYN327696 VIJ327696 VSF327696 WCB327696 WLX327696 WVT327696 L393232 JH393232 TD393232 ACZ393232 AMV393232 AWR393232 BGN393232 BQJ393232 CAF393232 CKB393232 CTX393232 DDT393232 DNP393232 DXL393232 EHH393232 ERD393232 FAZ393232 FKV393232 FUR393232 GEN393232 GOJ393232 GYF393232 HIB393232 HRX393232 IBT393232 ILP393232 IVL393232 JFH393232 JPD393232 JYZ393232 KIV393232 KSR393232 LCN393232 LMJ393232 LWF393232 MGB393232 MPX393232 MZT393232 NJP393232 NTL393232 ODH393232 OND393232 OWZ393232 PGV393232 PQR393232 QAN393232 QKJ393232 QUF393232 REB393232 RNX393232 RXT393232 SHP393232 SRL393232 TBH393232 TLD393232 TUZ393232 UEV393232 UOR393232 UYN393232 VIJ393232 VSF393232 WCB393232 WLX393232 WVT393232 L458768 JH458768 TD458768 ACZ458768 AMV458768 AWR458768 BGN458768 BQJ458768 CAF458768 CKB458768 CTX458768 DDT458768 DNP458768 DXL458768 EHH458768 ERD458768 FAZ458768 FKV458768 FUR458768 GEN458768 GOJ458768 GYF458768 HIB458768 HRX458768 IBT458768 ILP458768 IVL458768 JFH458768 JPD458768 JYZ458768 KIV458768 KSR458768 LCN458768 LMJ458768 LWF458768 MGB458768 MPX458768 MZT458768 NJP458768 NTL458768 ODH458768 OND458768 OWZ458768 PGV458768 PQR458768 QAN458768 QKJ458768 QUF458768 REB458768 RNX458768 RXT458768 SHP458768 SRL458768 TBH458768 TLD458768 TUZ458768 UEV458768 UOR458768 UYN458768 VIJ458768 VSF458768 WCB458768 WLX458768 WVT458768 L524304 JH524304 TD524304 ACZ524304 AMV524304 AWR524304 BGN524304 BQJ524304 CAF524304 CKB524304 CTX524304 DDT524304 DNP524304 DXL524304 EHH524304 ERD524304 FAZ524304 FKV524304 FUR524304 GEN524304 GOJ524304 GYF524304 HIB524304 HRX524304 IBT524304 ILP524304 IVL524304 JFH524304 JPD524304 JYZ524304 KIV524304 KSR524304 LCN524304 LMJ524304 LWF524304 MGB524304 MPX524304 MZT524304 NJP524304 NTL524304 ODH524304 OND524304 OWZ524304 PGV524304 PQR524304 QAN524304 QKJ524304 QUF524304 REB524304 RNX524304 RXT524304 SHP524304 SRL524304 TBH524304 TLD524304 TUZ524304 UEV524304 UOR524304 UYN524304 VIJ524304 VSF524304 WCB524304 WLX524304 WVT524304 L589840 JH589840 TD589840 ACZ589840 AMV589840 AWR589840 BGN589840 BQJ589840 CAF589840 CKB589840 CTX589840 DDT589840 DNP589840 DXL589840 EHH589840 ERD589840 FAZ589840 FKV589840 FUR589840 GEN589840 GOJ589840 GYF589840 HIB589840 HRX589840 IBT589840 ILP589840 IVL589840 JFH589840 JPD589840 JYZ589840 KIV589840 KSR589840 LCN589840 LMJ589840 LWF589840 MGB589840 MPX589840 MZT589840 NJP589840 NTL589840 ODH589840 OND589840 OWZ589840 PGV589840 PQR589840 QAN589840 QKJ589840 QUF589840 REB589840 RNX589840 RXT589840 SHP589840 SRL589840 TBH589840 TLD589840 TUZ589840 UEV589840 UOR589840 UYN589840 VIJ589840 VSF589840 WCB589840 WLX589840 WVT589840 L655376 JH655376 TD655376 ACZ655376 AMV655376 AWR655376 BGN655376 BQJ655376 CAF655376 CKB655376 CTX655376 DDT655376 DNP655376 DXL655376 EHH655376 ERD655376 FAZ655376 FKV655376 FUR655376 GEN655376 GOJ655376 GYF655376 HIB655376 HRX655376 IBT655376 ILP655376 IVL655376 JFH655376 JPD655376 JYZ655376 KIV655376 KSR655376 LCN655376 LMJ655376 LWF655376 MGB655376 MPX655376 MZT655376 NJP655376 NTL655376 ODH655376 OND655376 OWZ655376 PGV655376 PQR655376 QAN655376 QKJ655376 QUF655376 REB655376 RNX655376 RXT655376 SHP655376 SRL655376 TBH655376 TLD655376 TUZ655376 UEV655376 UOR655376 UYN655376 VIJ655376 VSF655376 WCB655376 WLX655376 WVT655376 L720912 JH720912 TD720912 ACZ720912 AMV720912 AWR720912 BGN720912 BQJ720912 CAF720912 CKB720912 CTX720912 DDT720912 DNP720912 DXL720912 EHH720912 ERD720912 FAZ720912 FKV720912 FUR720912 GEN720912 GOJ720912 GYF720912 HIB720912 HRX720912 IBT720912 ILP720912 IVL720912 JFH720912 JPD720912 JYZ720912 KIV720912 KSR720912 LCN720912 LMJ720912 LWF720912 MGB720912 MPX720912 MZT720912 NJP720912 NTL720912 ODH720912 OND720912 OWZ720912 PGV720912 PQR720912 QAN720912 QKJ720912 QUF720912 REB720912 RNX720912 RXT720912 SHP720912 SRL720912 TBH720912 TLD720912 TUZ720912 UEV720912 UOR720912 UYN720912 VIJ720912 VSF720912 WCB720912 WLX720912 WVT720912 L786448 JH786448 TD786448 ACZ786448 AMV786448 AWR786448 BGN786448 BQJ786448 CAF786448 CKB786448 CTX786448 DDT786448 DNP786448 DXL786448 EHH786448 ERD786448 FAZ786448 FKV786448 FUR786448 GEN786448 GOJ786448 GYF786448 HIB786448 HRX786448 IBT786448 ILP786448 IVL786448 JFH786448 JPD786448 JYZ786448 KIV786448 KSR786448 LCN786448 LMJ786448 LWF786448 MGB786448 MPX786448 MZT786448 NJP786448 NTL786448 ODH786448 OND786448 OWZ786448 PGV786448 PQR786448 QAN786448 QKJ786448 QUF786448 REB786448 RNX786448 RXT786448 SHP786448 SRL786448 TBH786448 TLD786448 TUZ786448 UEV786448 UOR786448 UYN786448 VIJ786448 VSF786448 WCB786448 WLX786448 WVT786448 L851984 JH851984 TD851984 ACZ851984 AMV851984 AWR851984 BGN851984 BQJ851984 CAF851984 CKB851984 CTX851984 DDT851984 DNP851984 DXL851984 EHH851984 ERD851984 FAZ851984 FKV851984 FUR851984 GEN851984 GOJ851984 GYF851984 HIB851984 HRX851984 IBT851984 ILP851984 IVL851984 JFH851984 JPD851984 JYZ851984 KIV851984 KSR851984 LCN851984 LMJ851984 LWF851984 MGB851984 MPX851984 MZT851984 NJP851984 NTL851984 ODH851984 OND851984 OWZ851984 PGV851984 PQR851984 QAN851984 QKJ851984 QUF851984 REB851984 RNX851984 RXT851984 SHP851984 SRL851984 TBH851984 TLD851984 TUZ851984 UEV851984 UOR851984 UYN851984 VIJ851984 VSF851984 WCB851984 WLX851984 WVT851984 L917520 JH917520 TD917520 ACZ917520 AMV917520 AWR917520 BGN917520 BQJ917520 CAF917520 CKB917520 CTX917520 DDT917520 DNP917520 DXL917520 EHH917520 ERD917520 FAZ917520 FKV917520 FUR917520 GEN917520 GOJ917520 GYF917520 HIB917520 HRX917520 IBT917520 ILP917520 IVL917520 JFH917520 JPD917520 JYZ917520 KIV917520 KSR917520 LCN917520 LMJ917520 LWF917520 MGB917520 MPX917520 MZT917520 NJP917520 NTL917520 ODH917520 OND917520 OWZ917520 PGV917520 PQR917520 QAN917520 QKJ917520 QUF917520 REB917520 RNX917520 RXT917520 SHP917520 SRL917520 TBH917520 TLD917520 TUZ917520 UEV917520 UOR917520 UYN917520 VIJ917520 VSF917520 WCB917520 WLX917520 WVT917520 L983056 JH983056 TD983056 ACZ983056 AMV983056 AWR983056 BGN983056 BQJ983056 CAF983056 CKB983056 CTX983056 DDT983056 DNP983056 DXL983056 EHH983056 ERD983056 FAZ983056 FKV983056 FUR983056 GEN983056 GOJ983056 GYF983056 HIB983056 HRX983056 IBT983056 ILP983056 IVL983056 JFH983056 JPD983056 JYZ983056 KIV983056 KSR983056 LCN983056 LMJ983056 LWF983056 MGB983056 MPX983056 MZT983056 NJP983056 NTL983056 ODH983056 OND983056 OWZ983056 PGV983056 PQR983056 QAN983056 QKJ983056 QUF983056 REB983056 RNX983056 RXT983056 SHP983056 SRL983056 TBH983056 TLD983056 TUZ983056 UEV983056 UOR983056 UYN983056 VIJ983056 VSF983056 WCB983056 WLX983056">
      <formula1>$AS$5:$AS$12</formula1>
    </dataValidation>
    <dataValidation type="list" allowBlank="1" showInputMessage="1" showErrorMessage="1" sqref="WVT983055 JH15 TD15 ACZ15 AMV15 AWR15 BGN15 BQJ15 CAF15 CKB15 CTX15 DDT15 DNP15 DXL15 EHH15 ERD15 FAZ15 FKV15 FUR15 GEN15 GOJ15 GYF15 HIB15 HRX15 IBT15 ILP15 IVL15 JFH15 JPD15 JYZ15 KIV15 KSR15 LCN15 LMJ15 LWF15 MGB15 MPX15 MZT15 NJP15 NTL15 ODH15 OND15 OWZ15 PGV15 PQR15 QAN15 QKJ15 QUF15 REB15 RNX15 RXT15 SHP15 SRL15 TBH15 TLD15 TUZ15 UEV15 UOR15 UYN15 VIJ15 VSF15 WCB15 WLX15 WVT15 L65551 JH65551 TD65551 ACZ65551 AMV65551 AWR65551 BGN65551 BQJ65551 CAF65551 CKB65551 CTX65551 DDT65551 DNP65551 DXL65551 EHH65551 ERD65551 FAZ65551 FKV65551 FUR65551 GEN65551 GOJ65551 GYF65551 HIB65551 HRX65551 IBT65551 ILP65551 IVL65551 JFH65551 JPD65551 JYZ65551 KIV65551 KSR65551 LCN65551 LMJ65551 LWF65551 MGB65551 MPX65551 MZT65551 NJP65551 NTL65551 ODH65551 OND65551 OWZ65551 PGV65551 PQR65551 QAN65551 QKJ65551 QUF65551 REB65551 RNX65551 RXT65551 SHP65551 SRL65551 TBH65551 TLD65551 TUZ65551 UEV65551 UOR65551 UYN65551 VIJ65551 VSF65551 WCB65551 WLX65551 WVT65551 L131087 JH131087 TD131087 ACZ131087 AMV131087 AWR131087 BGN131087 BQJ131087 CAF131087 CKB131087 CTX131087 DDT131087 DNP131087 DXL131087 EHH131087 ERD131087 FAZ131087 FKV131087 FUR131087 GEN131087 GOJ131087 GYF131087 HIB131087 HRX131087 IBT131087 ILP131087 IVL131087 JFH131087 JPD131087 JYZ131087 KIV131087 KSR131087 LCN131087 LMJ131087 LWF131087 MGB131087 MPX131087 MZT131087 NJP131087 NTL131087 ODH131087 OND131087 OWZ131087 PGV131087 PQR131087 QAN131087 QKJ131087 QUF131087 REB131087 RNX131087 RXT131087 SHP131087 SRL131087 TBH131087 TLD131087 TUZ131087 UEV131087 UOR131087 UYN131087 VIJ131087 VSF131087 WCB131087 WLX131087 WVT131087 L196623 JH196623 TD196623 ACZ196623 AMV196623 AWR196623 BGN196623 BQJ196623 CAF196623 CKB196623 CTX196623 DDT196623 DNP196623 DXL196623 EHH196623 ERD196623 FAZ196623 FKV196623 FUR196623 GEN196623 GOJ196623 GYF196623 HIB196623 HRX196623 IBT196623 ILP196623 IVL196623 JFH196623 JPD196623 JYZ196623 KIV196623 KSR196623 LCN196623 LMJ196623 LWF196623 MGB196623 MPX196623 MZT196623 NJP196623 NTL196623 ODH196623 OND196623 OWZ196623 PGV196623 PQR196623 QAN196623 QKJ196623 QUF196623 REB196623 RNX196623 RXT196623 SHP196623 SRL196623 TBH196623 TLD196623 TUZ196623 UEV196623 UOR196623 UYN196623 VIJ196623 VSF196623 WCB196623 WLX196623 WVT196623 L262159 JH262159 TD262159 ACZ262159 AMV262159 AWR262159 BGN262159 BQJ262159 CAF262159 CKB262159 CTX262159 DDT262159 DNP262159 DXL262159 EHH262159 ERD262159 FAZ262159 FKV262159 FUR262159 GEN262159 GOJ262159 GYF262159 HIB262159 HRX262159 IBT262159 ILP262159 IVL262159 JFH262159 JPD262159 JYZ262159 KIV262159 KSR262159 LCN262159 LMJ262159 LWF262159 MGB262159 MPX262159 MZT262159 NJP262159 NTL262159 ODH262159 OND262159 OWZ262159 PGV262159 PQR262159 QAN262159 QKJ262159 QUF262159 REB262159 RNX262159 RXT262159 SHP262159 SRL262159 TBH262159 TLD262159 TUZ262159 UEV262159 UOR262159 UYN262159 VIJ262159 VSF262159 WCB262159 WLX262159 WVT262159 L327695 JH327695 TD327695 ACZ327695 AMV327695 AWR327695 BGN327695 BQJ327695 CAF327695 CKB327695 CTX327695 DDT327695 DNP327695 DXL327695 EHH327695 ERD327695 FAZ327695 FKV327695 FUR327695 GEN327695 GOJ327695 GYF327695 HIB327695 HRX327695 IBT327695 ILP327695 IVL327695 JFH327695 JPD327695 JYZ327695 KIV327695 KSR327695 LCN327695 LMJ327695 LWF327695 MGB327695 MPX327695 MZT327695 NJP327695 NTL327695 ODH327695 OND327695 OWZ327695 PGV327695 PQR327695 QAN327695 QKJ327695 QUF327695 REB327695 RNX327695 RXT327695 SHP327695 SRL327695 TBH327695 TLD327695 TUZ327695 UEV327695 UOR327695 UYN327695 VIJ327695 VSF327695 WCB327695 WLX327695 WVT327695 L393231 JH393231 TD393231 ACZ393231 AMV393231 AWR393231 BGN393231 BQJ393231 CAF393231 CKB393231 CTX393231 DDT393231 DNP393231 DXL393231 EHH393231 ERD393231 FAZ393231 FKV393231 FUR393231 GEN393231 GOJ393231 GYF393231 HIB393231 HRX393231 IBT393231 ILP393231 IVL393231 JFH393231 JPD393231 JYZ393231 KIV393231 KSR393231 LCN393231 LMJ393231 LWF393231 MGB393231 MPX393231 MZT393231 NJP393231 NTL393231 ODH393231 OND393231 OWZ393231 PGV393231 PQR393231 QAN393231 QKJ393231 QUF393231 REB393231 RNX393231 RXT393231 SHP393231 SRL393231 TBH393231 TLD393231 TUZ393231 UEV393231 UOR393231 UYN393231 VIJ393231 VSF393231 WCB393231 WLX393231 WVT393231 L458767 JH458767 TD458767 ACZ458767 AMV458767 AWR458767 BGN458767 BQJ458767 CAF458767 CKB458767 CTX458767 DDT458767 DNP458767 DXL458767 EHH458767 ERD458767 FAZ458767 FKV458767 FUR458767 GEN458767 GOJ458767 GYF458767 HIB458767 HRX458767 IBT458767 ILP458767 IVL458767 JFH458767 JPD458767 JYZ458767 KIV458767 KSR458767 LCN458767 LMJ458767 LWF458767 MGB458767 MPX458767 MZT458767 NJP458767 NTL458767 ODH458767 OND458767 OWZ458767 PGV458767 PQR458767 QAN458767 QKJ458767 QUF458767 REB458767 RNX458767 RXT458767 SHP458767 SRL458767 TBH458767 TLD458767 TUZ458767 UEV458767 UOR458767 UYN458767 VIJ458767 VSF458767 WCB458767 WLX458767 WVT458767 L524303 JH524303 TD524303 ACZ524303 AMV524303 AWR524303 BGN524303 BQJ524303 CAF524303 CKB524303 CTX524303 DDT524303 DNP524303 DXL524303 EHH524303 ERD524303 FAZ524303 FKV524303 FUR524303 GEN524303 GOJ524303 GYF524303 HIB524303 HRX524303 IBT524303 ILP524303 IVL524303 JFH524303 JPD524303 JYZ524303 KIV524303 KSR524303 LCN524303 LMJ524303 LWF524303 MGB524303 MPX524303 MZT524303 NJP524303 NTL524303 ODH524303 OND524303 OWZ524303 PGV524303 PQR524303 QAN524303 QKJ524303 QUF524303 REB524303 RNX524303 RXT524303 SHP524303 SRL524303 TBH524303 TLD524303 TUZ524303 UEV524303 UOR524303 UYN524303 VIJ524303 VSF524303 WCB524303 WLX524303 WVT524303 L589839 JH589839 TD589839 ACZ589839 AMV589839 AWR589839 BGN589839 BQJ589839 CAF589839 CKB589839 CTX589839 DDT589839 DNP589839 DXL589839 EHH589839 ERD589839 FAZ589839 FKV589839 FUR589839 GEN589839 GOJ589839 GYF589839 HIB589839 HRX589839 IBT589839 ILP589839 IVL589839 JFH589839 JPD589839 JYZ589839 KIV589839 KSR589839 LCN589839 LMJ589839 LWF589839 MGB589839 MPX589839 MZT589839 NJP589839 NTL589839 ODH589839 OND589839 OWZ589839 PGV589839 PQR589839 QAN589839 QKJ589839 QUF589839 REB589839 RNX589839 RXT589839 SHP589839 SRL589839 TBH589839 TLD589839 TUZ589839 UEV589839 UOR589839 UYN589839 VIJ589839 VSF589839 WCB589839 WLX589839 WVT589839 L655375 JH655375 TD655375 ACZ655375 AMV655375 AWR655375 BGN655375 BQJ655375 CAF655375 CKB655375 CTX655375 DDT655375 DNP655375 DXL655375 EHH655375 ERD655375 FAZ655375 FKV655375 FUR655375 GEN655375 GOJ655375 GYF655375 HIB655375 HRX655375 IBT655375 ILP655375 IVL655375 JFH655375 JPD655375 JYZ655375 KIV655375 KSR655375 LCN655375 LMJ655375 LWF655375 MGB655375 MPX655375 MZT655375 NJP655375 NTL655375 ODH655375 OND655375 OWZ655375 PGV655375 PQR655375 QAN655375 QKJ655375 QUF655375 REB655375 RNX655375 RXT655375 SHP655375 SRL655375 TBH655375 TLD655375 TUZ655375 UEV655375 UOR655375 UYN655375 VIJ655375 VSF655375 WCB655375 WLX655375 WVT655375 L720911 JH720911 TD720911 ACZ720911 AMV720911 AWR720911 BGN720911 BQJ720911 CAF720911 CKB720911 CTX720911 DDT720911 DNP720911 DXL720911 EHH720911 ERD720911 FAZ720911 FKV720911 FUR720911 GEN720911 GOJ720911 GYF720911 HIB720911 HRX720911 IBT720911 ILP720911 IVL720911 JFH720911 JPD720911 JYZ720911 KIV720911 KSR720911 LCN720911 LMJ720911 LWF720911 MGB720911 MPX720911 MZT720911 NJP720911 NTL720911 ODH720911 OND720911 OWZ720911 PGV720911 PQR720911 QAN720911 QKJ720911 QUF720911 REB720911 RNX720911 RXT720911 SHP720911 SRL720911 TBH720911 TLD720911 TUZ720911 UEV720911 UOR720911 UYN720911 VIJ720911 VSF720911 WCB720911 WLX720911 WVT720911 L786447 JH786447 TD786447 ACZ786447 AMV786447 AWR786447 BGN786447 BQJ786447 CAF786447 CKB786447 CTX786447 DDT786447 DNP786447 DXL786447 EHH786447 ERD786447 FAZ786447 FKV786447 FUR786447 GEN786447 GOJ786447 GYF786447 HIB786447 HRX786447 IBT786447 ILP786447 IVL786447 JFH786447 JPD786447 JYZ786447 KIV786447 KSR786447 LCN786447 LMJ786447 LWF786447 MGB786447 MPX786447 MZT786447 NJP786447 NTL786447 ODH786447 OND786447 OWZ786447 PGV786447 PQR786447 QAN786447 QKJ786447 QUF786447 REB786447 RNX786447 RXT786447 SHP786447 SRL786447 TBH786447 TLD786447 TUZ786447 UEV786447 UOR786447 UYN786447 VIJ786447 VSF786447 WCB786447 WLX786447 WVT786447 L851983 JH851983 TD851983 ACZ851983 AMV851983 AWR851983 BGN851983 BQJ851983 CAF851983 CKB851983 CTX851983 DDT851983 DNP851983 DXL851983 EHH851983 ERD851983 FAZ851983 FKV851983 FUR851983 GEN851983 GOJ851983 GYF851983 HIB851983 HRX851983 IBT851983 ILP851983 IVL851983 JFH851983 JPD851983 JYZ851983 KIV851983 KSR851983 LCN851983 LMJ851983 LWF851983 MGB851983 MPX851983 MZT851983 NJP851983 NTL851983 ODH851983 OND851983 OWZ851983 PGV851983 PQR851983 QAN851983 QKJ851983 QUF851983 REB851983 RNX851983 RXT851983 SHP851983 SRL851983 TBH851983 TLD851983 TUZ851983 UEV851983 UOR851983 UYN851983 VIJ851983 VSF851983 WCB851983 WLX851983 WVT851983 L917519 JH917519 TD917519 ACZ917519 AMV917519 AWR917519 BGN917519 BQJ917519 CAF917519 CKB917519 CTX917519 DDT917519 DNP917519 DXL917519 EHH917519 ERD917519 FAZ917519 FKV917519 FUR917519 GEN917519 GOJ917519 GYF917519 HIB917519 HRX917519 IBT917519 ILP917519 IVL917519 JFH917519 JPD917519 JYZ917519 KIV917519 KSR917519 LCN917519 LMJ917519 LWF917519 MGB917519 MPX917519 MZT917519 NJP917519 NTL917519 ODH917519 OND917519 OWZ917519 PGV917519 PQR917519 QAN917519 QKJ917519 QUF917519 REB917519 RNX917519 RXT917519 SHP917519 SRL917519 TBH917519 TLD917519 TUZ917519 UEV917519 UOR917519 UYN917519 VIJ917519 VSF917519 WCB917519 WLX917519 WVT917519 L983055 JH983055 TD983055 ACZ983055 AMV983055 AWR983055 BGN983055 BQJ983055 CAF983055 CKB983055 CTX983055 DDT983055 DNP983055 DXL983055 EHH983055 ERD983055 FAZ983055 FKV983055 FUR983055 GEN983055 GOJ983055 GYF983055 HIB983055 HRX983055 IBT983055 ILP983055 IVL983055 JFH983055 JPD983055 JYZ983055 KIV983055 KSR983055 LCN983055 LMJ983055 LWF983055 MGB983055 MPX983055 MZT983055 NJP983055 NTL983055 ODH983055 OND983055 OWZ983055 PGV983055 PQR983055 QAN983055 QKJ983055 QUF983055 REB983055 RNX983055 RXT983055 SHP983055 SRL983055 TBH983055 TLD983055 TUZ983055 UEV983055 UOR983055 UYN983055 VIJ983055 VSF983055 WCB983055 WLX983055">
      <formula1>$AQ$5:$AQ$12</formula1>
    </dataValidation>
    <dataValidation type="list" allowBlank="1" showInputMessage="1" showErrorMessage="1" sqref="WVT983054 JH14 TD14 ACZ14 AMV14 AWR14 BGN14 BQJ14 CAF14 CKB14 CTX14 DDT14 DNP14 DXL14 EHH14 ERD14 FAZ14 FKV14 FUR14 GEN14 GOJ14 GYF14 HIB14 HRX14 IBT14 ILP14 IVL14 JFH14 JPD14 JYZ14 KIV14 KSR14 LCN14 LMJ14 LWF14 MGB14 MPX14 MZT14 NJP14 NTL14 ODH14 OND14 OWZ14 PGV14 PQR14 QAN14 QKJ14 QUF14 REB14 RNX14 RXT14 SHP14 SRL14 TBH14 TLD14 TUZ14 UEV14 UOR14 UYN14 VIJ14 VSF14 WCB14 WLX14 WVT14 L65550 JH65550 TD65550 ACZ65550 AMV65550 AWR65550 BGN65550 BQJ65550 CAF65550 CKB65550 CTX65550 DDT65550 DNP65550 DXL65550 EHH65550 ERD65550 FAZ65550 FKV65550 FUR65550 GEN65550 GOJ65550 GYF65550 HIB65550 HRX65550 IBT65550 ILP65550 IVL65550 JFH65550 JPD65550 JYZ65550 KIV65550 KSR65550 LCN65550 LMJ65550 LWF65550 MGB65550 MPX65550 MZT65550 NJP65550 NTL65550 ODH65550 OND65550 OWZ65550 PGV65550 PQR65550 QAN65550 QKJ65550 QUF65550 REB65550 RNX65550 RXT65550 SHP65550 SRL65550 TBH65550 TLD65550 TUZ65550 UEV65550 UOR65550 UYN65550 VIJ65550 VSF65550 WCB65550 WLX65550 WVT65550 L131086 JH131086 TD131086 ACZ131086 AMV131086 AWR131086 BGN131086 BQJ131086 CAF131086 CKB131086 CTX131086 DDT131086 DNP131086 DXL131086 EHH131086 ERD131086 FAZ131086 FKV131086 FUR131086 GEN131086 GOJ131086 GYF131086 HIB131086 HRX131086 IBT131086 ILP131086 IVL131086 JFH131086 JPD131086 JYZ131086 KIV131086 KSR131086 LCN131086 LMJ131086 LWF131086 MGB131086 MPX131086 MZT131086 NJP131086 NTL131086 ODH131086 OND131086 OWZ131086 PGV131086 PQR131086 QAN131086 QKJ131086 QUF131086 REB131086 RNX131086 RXT131086 SHP131086 SRL131086 TBH131086 TLD131086 TUZ131086 UEV131086 UOR131086 UYN131086 VIJ131086 VSF131086 WCB131086 WLX131086 WVT131086 L196622 JH196622 TD196622 ACZ196622 AMV196622 AWR196622 BGN196622 BQJ196622 CAF196622 CKB196622 CTX196622 DDT196622 DNP196622 DXL196622 EHH196622 ERD196622 FAZ196622 FKV196622 FUR196622 GEN196622 GOJ196622 GYF196622 HIB196622 HRX196622 IBT196622 ILP196622 IVL196622 JFH196622 JPD196622 JYZ196622 KIV196622 KSR196622 LCN196622 LMJ196622 LWF196622 MGB196622 MPX196622 MZT196622 NJP196622 NTL196622 ODH196622 OND196622 OWZ196622 PGV196622 PQR196622 QAN196622 QKJ196622 QUF196622 REB196622 RNX196622 RXT196622 SHP196622 SRL196622 TBH196622 TLD196622 TUZ196622 UEV196622 UOR196622 UYN196622 VIJ196622 VSF196622 WCB196622 WLX196622 WVT196622 L262158 JH262158 TD262158 ACZ262158 AMV262158 AWR262158 BGN262158 BQJ262158 CAF262158 CKB262158 CTX262158 DDT262158 DNP262158 DXL262158 EHH262158 ERD262158 FAZ262158 FKV262158 FUR262158 GEN262158 GOJ262158 GYF262158 HIB262158 HRX262158 IBT262158 ILP262158 IVL262158 JFH262158 JPD262158 JYZ262158 KIV262158 KSR262158 LCN262158 LMJ262158 LWF262158 MGB262158 MPX262158 MZT262158 NJP262158 NTL262158 ODH262158 OND262158 OWZ262158 PGV262158 PQR262158 QAN262158 QKJ262158 QUF262158 REB262158 RNX262158 RXT262158 SHP262158 SRL262158 TBH262158 TLD262158 TUZ262158 UEV262158 UOR262158 UYN262158 VIJ262158 VSF262158 WCB262158 WLX262158 WVT262158 L327694 JH327694 TD327694 ACZ327694 AMV327694 AWR327694 BGN327694 BQJ327694 CAF327694 CKB327694 CTX327694 DDT327694 DNP327694 DXL327694 EHH327694 ERD327694 FAZ327694 FKV327694 FUR327694 GEN327694 GOJ327694 GYF327694 HIB327694 HRX327694 IBT327694 ILP327694 IVL327694 JFH327694 JPD327694 JYZ327694 KIV327694 KSR327694 LCN327694 LMJ327694 LWF327694 MGB327694 MPX327694 MZT327694 NJP327694 NTL327694 ODH327694 OND327694 OWZ327694 PGV327694 PQR327694 QAN327694 QKJ327694 QUF327694 REB327694 RNX327694 RXT327694 SHP327694 SRL327694 TBH327694 TLD327694 TUZ327694 UEV327694 UOR327694 UYN327694 VIJ327694 VSF327694 WCB327694 WLX327694 WVT327694 L393230 JH393230 TD393230 ACZ393230 AMV393230 AWR393230 BGN393230 BQJ393230 CAF393230 CKB393230 CTX393230 DDT393230 DNP393230 DXL393230 EHH393230 ERD393230 FAZ393230 FKV393230 FUR393230 GEN393230 GOJ393230 GYF393230 HIB393230 HRX393230 IBT393230 ILP393230 IVL393230 JFH393230 JPD393230 JYZ393230 KIV393230 KSR393230 LCN393230 LMJ393230 LWF393230 MGB393230 MPX393230 MZT393230 NJP393230 NTL393230 ODH393230 OND393230 OWZ393230 PGV393230 PQR393230 QAN393230 QKJ393230 QUF393230 REB393230 RNX393230 RXT393230 SHP393230 SRL393230 TBH393230 TLD393230 TUZ393230 UEV393230 UOR393230 UYN393230 VIJ393230 VSF393230 WCB393230 WLX393230 WVT393230 L458766 JH458766 TD458766 ACZ458766 AMV458766 AWR458766 BGN458766 BQJ458766 CAF458766 CKB458766 CTX458766 DDT458766 DNP458766 DXL458766 EHH458766 ERD458766 FAZ458766 FKV458766 FUR458766 GEN458766 GOJ458766 GYF458766 HIB458766 HRX458766 IBT458766 ILP458766 IVL458766 JFH458766 JPD458766 JYZ458766 KIV458766 KSR458766 LCN458766 LMJ458766 LWF458766 MGB458766 MPX458766 MZT458766 NJP458766 NTL458766 ODH458766 OND458766 OWZ458766 PGV458766 PQR458766 QAN458766 QKJ458766 QUF458766 REB458766 RNX458766 RXT458766 SHP458766 SRL458766 TBH458766 TLD458766 TUZ458766 UEV458766 UOR458766 UYN458766 VIJ458766 VSF458766 WCB458766 WLX458766 WVT458766 L524302 JH524302 TD524302 ACZ524302 AMV524302 AWR524302 BGN524302 BQJ524302 CAF524302 CKB524302 CTX524302 DDT524302 DNP524302 DXL524302 EHH524302 ERD524302 FAZ524302 FKV524302 FUR524302 GEN524302 GOJ524302 GYF524302 HIB524302 HRX524302 IBT524302 ILP524302 IVL524302 JFH524302 JPD524302 JYZ524302 KIV524302 KSR524302 LCN524302 LMJ524302 LWF524302 MGB524302 MPX524302 MZT524302 NJP524302 NTL524302 ODH524302 OND524302 OWZ524302 PGV524302 PQR524302 QAN524302 QKJ524302 QUF524302 REB524302 RNX524302 RXT524302 SHP524302 SRL524302 TBH524302 TLD524302 TUZ524302 UEV524302 UOR524302 UYN524302 VIJ524302 VSF524302 WCB524302 WLX524302 WVT524302 L589838 JH589838 TD589838 ACZ589838 AMV589838 AWR589838 BGN589838 BQJ589838 CAF589838 CKB589838 CTX589838 DDT589838 DNP589838 DXL589838 EHH589838 ERD589838 FAZ589838 FKV589838 FUR589838 GEN589838 GOJ589838 GYF589838 HIB589838 HRX589838 IBT589838 ILP589838 IVL589838 JFH589838 JPD589838 JYZ589838 KIV589838 KSR589838 LCN589838 LMJ589838 LWF589838 MGB589838 MPX589838 MZT589838 NJP589838 NTL589838 ODH589838 OND589838 OWZ589838 PGV589838 PQR589838 QAN589838 QKJ589838 QUF589838 REB589838 RNX589838 RXT589838 SHP589838 SRL589838 TBH589838 TLD589838 TUZ589838 UEV589838 UOR589838 UYN589838 VIJ589838 VSF589838 WCB589838 WLX589838 WVT589838 L655374 JH655374 TD655374 ACZ655374 AMV655374 AWR655374 BGN655374 BQJ655374 CAF655374 CKB655374 CTX655374 DDT655374 DNP655374 DXL655374 EHH655374 ERD655374 FAZ655374 FKV655374 FUR655374 GEN655374 GOJ655374 GYF655374 HIB655374 HRX655374 IBT655374 ILP655374 IVL655374 JFH655374 JPD655374 JYZ655374 KIV655374 KSR655374 LCN655374 LMJ655374 LWF655374 MGB655374 MPX655374 MZT655374 NJP655374 NTL655374 ODH655374 OND655374 OWZ655374 PGV655374 PQR655374 QAN655374 QKJ655374 QUF655374 REB655374 RNX655374 RXT655374 SHP655374 SRL655374 TBH655374 TLD655374 TUZ655374 UEV655374 UOR655374 UYN655374 VIJ655374 VSF655374 WCB655374 WLX655374 WVT655374 L720910 JH720910 TD720910 ACZ720910 AMV720910 AWR720910 BGN720910 BQJ720910 CAF720910 CKB720910 CTX720910 DDT720910 DNP720910 DXL720910 EHH720910 ERD720910 FAZ720910 FKV720910 FUR720910 GEN720910 GOJ720910 GYF720910 HIB720910 HRX720910 IBT720910 ILP720910 IVL720910 JFH720910 JPD720910 JYZ720910 KIV720910 KSR720910 LCN720910 LMJ720910 LWF720910 MGB720910 MPX720910 MZT720910 NJP720910 NTL720910 ODH720910 OND720910 OWZ720910 PGV720910 PQR720910 QAN720910 QKJ720910 QUF720910 REB720910 RNX720910 RXT720910 SHP720910 SRL720910 TBH720910 TLD720910 TUZ720910 UEV720910 UOR720910 UYN720910 VIJ720910 VSF720910 WCB720910 WLX720910 WVT720910 L786446 JH786446 TD786446 ACZ786446 AMV786446 AWR786446 BGN786446 BQJ786446 CAF786446 CKB786446 CTX786446 DDT786446 DNP786446 DXL786446 EHH786446 ERD786446 FAZ786446 FKV786446 FUR786446 GEN786446 GOJ786446 GYF786446 HIB786446 HRX786446 IBT786446 ILP786446 IVL786446 JFH786446 JPD786446 JYZ786446 KIV786446 KSR786446 LCN786446 LMJ786446 LWF786446 MGB786446 MPX786446 MZT786446 NJP786446 NTL786446 ODH786446 OND786446 OWZ786446 PGV786446 PQR786446 QAN786446 QKJ786446 QUF786446 REB786446 RNX786446 RXT786446 SHP786446 SRL786446 TBH786446 TLD786446 TUZ786446 UEV786446 UOR786446 UYN786446 VIJ786446 VSF786446 WCB786446 WLX786446 WVT786446 L851982 JH851982 TD851982 ACZ851982 AMV851982 AWR851982 BGN851982 BQJ851982 CAF851982 CKB851982 CTX851982 DDT851982 DNP851982 DXL851982 EHH851982 ERD851982 FAZ851982 FKV851982 FUR851982 GEN851982 GOJ851982 GYF851982 HIB851982 HRX851982 IBT851982 ILP851982 IVL851982 JFH851982 JPD851982 JYZ851982 KIV851982 KSR851982 LCN851982 LMJ851982 LWF851982 MGB851982 MPX851982 MZT851982 NJP851982 NTL851982 ODH851982 OND851982 OWZ851982 PGV851982 PQR851982 QAN851982 QKJ851982 QUF851982 REB851982 RNX851982 RXT851982 SHP851982 SRL851982 TBH851982 TLD851982 TUZ851982 UEV851982 UOR851982 UYN851982 VIJ851982 VSF851982 WCB851982 WLX851982 WVT851982 L917518 JH917518 TD917518 ACZ917518 AMV917518 AWR917518 BGN917518 BQJ917518 CAF917518 CKB917518 CTX917518 DDT917518 DNP917518 DXL917518 EHH917518 ERD917518 FAZ917518 FKV917518 FUR917518 GEN917518 GOJ917518 GYF917518 HIB917518 HRX917518 IBT917518 ILP917518 IVL917518 JFH917518 JPD917518 JYZ917518 KIV917518 KSR917518 LCN917518 LMJ917518 LWF917518 MGB917518 MPX917518 MZT917518 NJP917518 NTL917518 ODH917518 OND917518 OWZ917518 PGV917518 PQR917518 QAN917518 QKJ917518 QUF917518 REB917518 RNX917518 RXT917518 SHP917518 SRL917518 TBH917518 TLD917518 TUZ917518 UEV917518 UOR917518 UYN917518 VIJ917518 VSF917518 WCB917518 WLX917518 WVT917518 L983054 JH983054 TD983054 ACZ983054 AMV983054 AWR983054 BGN983054 BQJ983054 CAF983054 CKB983054 CTX983054 DDT983054 DNP983054 DXL983054 EHH983054 ERD983054 FAZ983054 FKV983054 FUR983054 GEN983054 GOJ983054 GYF983054 HIB983054 HRX983054 IBT983054 ILP983054 IVL983054 JFH983054 JPD983054 JYZ983054 KIV983054 KSR983054 LCN983054 LMJ983054 LWF983054 MGB983054 MPX983054 MZT983054 NJP983054 NTL983054 ODH983054 OND983054 OWZ983054 PGV983054 PQR983054 QAN983054 QKJ983054 QUF983054 REB983054 RNX983054 RXT983054 SHP983054 SRL983054 TBH983054 TLD983054 TUZ983054 UEV983054 UOR983054 UYN983054 VIJ983054 VSF983054 WCB983054 WLX983054">
      <formula1>$AO$5:$AO$12</formula1>
    </dataValidation>
    <dataValidation type="list" allowBlank="1" showInputMessage="1" showErrorMessage="1" sqref="WVT983053 JH13 TD13 ACZ13 AMV13 AWR13 BGN13 BQJ13 CAF13 CKB13 CTX13 DDT13 DNP13 DXL13 EHH13 ERD13 FAZ13 FKV13 FUR13 GEN13 GOJ13 GYF13 HIB13 HRX13 IBT13 ILP13 IVL13 JFH13 JPD13 JYZ13 KIV13 KSR13 LCN13 LMJ13 LWF13 MGB13 MPX13 MZT13 NJP13 NTL13 ODH13 OND13 OWZ13 PGV13 PQR13 QAN13 QKJ13 QUF13 REB13 RNX13 RXT13 SHP13 SRL13 TBH13 TLD13 TUZ13 UEV13 UOR13 UYN13 VIJ13 VSF13 WCB13 WLX13 WVT13 L65549 JH65549 TD65549 ACZ65549 AMV65549 AWR65549 BGN65549 BQJ65549 CAF65549 CKB65549 CTX65549 DDT65549 DNP65549 DXL65549 EHH65549 ERD65549 FAZ65549 FKV65549 FUR65549 GEN65549 GOJ65549 GYF65549 HIB65549 HRX65549 IBT65549 ILP65549 IVL65549 JFH65549 JPD65549 JYZ65549 KIV65549 KSR65549 LCN65549 LMJ65549 LWF65549 MGB65549 MPX65549 MZT65549 NJP65549 NTL65549 ODH65549 OND65549 OWZ65549 PGV65549 PQR65549 QAN65549 QKJ65549 QUF65549 REB65549 RNX65549 RXT65549 SHP65549 SRL65549 TBH65549 TLD65549 TUZ65549 UEV65549 UOR65549 UYN65549 VIJ65549 VSF65549 WCB65549 WLX65549 WVT65549 L131085 JH131085 TD131085 ACZ131085 AMV131085 AWR131085 BGN131085 BQJ131085 CAF131085 CKB131085 CTX131085 DDT131085 DNP131085 DXL131085 EHH131085 ERD131085 FAZ131085 FKV131085 FUR131085 GEN131085 GOJ131085 GYF131085 HIB131085 HRX131085 IBT131085 ILP131085 IVL131085 JFH131085 JPD131085 JYZ131085 KIV131085 KSR131085 LCN131085 LMJ131085 LWF131085 MGB131085 MPX131085 MZT131085 NJP131085 NTL131085 ODH131085 OND131085 OWZ131085 PGV131085 PQR131085 QAN131085 QKJ131085 QUF131085 REB131085 RNX131085 RXT131085 SHP131085 SRL131085 TBH131085 TLD131085 TUZ131085 UEV131085 UOR131085 UYN131085 VIJ131085 VSF131085 WCB131085 WLX131085 WVT131085 L196621 JH196621 TD196621 ACZ196621 AMV196621 AWR196621 BGN196621 BQJ196621 CAF196621 CKB196621 CTX196621 DDT196621 DNP196621 DXL196621 EHH196621 ERD196621 FAZ196621 FKV196621 FUR196621 GEN196621 GOJ196621 GYF196621 HIB196621 HRX196621 IBT196621 ILP196621 IVL196621 JFH196621 JPD196621 JYZ196621 KIV196621 KSR196621 LCN196621 LMJ196621 LWF196621 MGB196621 MPX196621 MZT196621 NJP196621 NTL196621 ODH196621 OND196621 OWZ196621 PGV196621 PQR196621 QAN196621 QKJ196621 QUF196621 REB196621 RNX196621 RXT196621 SHP196621 SRL196621 TBH196621 TLD196621 TUZ196621 UEV196621 UOR196621 UYN196621 VIJ196621 VSF196621 WCB196621 WLX196621 WVT196621 L262157 JH262157 TD262157 ACZ262157 AMV262157 AWR262157 BGN262157 BQJ262157 CAF262157 CKB262157 CTX262157 DDT262157 DNP262157 DXL262157 EHH262157 ERD262157 FAZ262157 FKV262157 FUR262157 GEN262157 GOJ262157 GYF262157 HIB262157 HRX262157 IBT262157 ILP262157 IVL262157 JFH262157 JPD262157 JYZ262157 KIV262157 KSR262157 LCN262157 LMJ262157 LWF262157 MGB262157 MPX262157 MZT262157 NJP262157 NTL262157 ODH262157 OND262157 OWZ262157 PGV262157 PQR262157 QAN262157 QKJ262157 QUF262157 REB262157 RNX262157 RXT262157 SHP262157 SRL262157 TBH262157 TLD262157 TUZ262157 UEV262157 UOR262157 UYN262157 VIJ262157 VSF262157 WCB262157 WLX262157 WVT262157 L327693 JH327693 TD327693 ACZ327693 AMV327693 AWR327693 BGN327693 BQJ327693 CAF327693 CKB327693 CTX327693 DDT327693 DNP327693 DXL327693 EHH327693 ERD327693 FAZ327693 FKV327693 FUR327693 GEN327693 GOJ327693 GYF327693 HIB327693 HRX327693 IBT327693 ILP327693 IVL327693 JFH327693 JPD327693 JYZ327693 KIV327693 KSR327693 LCN327693 LMJ327693 LWF327693 MGB327693 MPX327693 MZT327693 NJP327693 NTL327693 ODH327693 OND327693 OWZ327693 PGV327693 PQR327693 QAN327693 QKJ327693 QUF327693 REB327693 RNX327693 RXT327693 SHP327693 SRL327693 TBH327693 TLD327693 TUZ327693 UEV327693 UOR327693 UYN327693 VIJ327693 VSF327693 WCB327693 WLX327693 WVT327693 L393229 JH393229 TD393229 ACZ393229 AMV393229 AWR393229 BGN393229 BQJ393229 CAF393229 CKB393229 CTX393229 DDT393229 DNP393229 DXL393229 EHH393229 ERD393229 FAZ393229 FKV393229 FUR393229 GEN393229 GOJ393229 GYF393229 HIB393229 HRX393229 IBT393229 ILP393229 IVL393229 JFH393229 JPD393229 JYZ393229 KIV393229 KSR393229 LCN393229 LMJ393229 LWF393229 MGB393229 MPX393229 MZT393229 NJP393229 NTL393229 ODH393229 OND393229 OWZ393229 PGV393229 PQR393229 QAN393229 QKJ393229 QUF393229 REB393229 RNX393229 RXT393229 SHP393229 SRL393229 TBH393229 TLD393229 TUZ393229 UEV393229 UOR393229 UYN393229 VIJ393229 VSF393229 WCB393229 WLX393229 WVT393229 L458765 JH458765 TD458765 ACZ458765 AMV458765 AWR458765 BGN458765 BQJ458765 CAF458765 CKB458765 CTX458765 DDT458765 DNP458765 DXL458765 EHH458765 ERD458765 FAZ458765 FKV458765 FUR458765 GEN458765 GOJ458765 GYF458765 HIB458765 HRX458765 IBT458765 ILP458765 IVL458765 JFH458765 JPD458765 JYZ458765 KIV458765 KSR458765 LCN458765 LMJ458765 LWF458765 MGB458765 MPX458765 MZT458765 NJP458765 NTL458765 ODH458765 OND458765 OWZ458765 PGV458765 PQR458765 QAN458765 QKJ458765 QUF458765 REB458765 RNX458765 RXT458765 SHP458765 SRL458765 TBH458765 TLD458765 TUZ458765 UEV458765 UOR458765 UYN458765 VIJ458765 VSF458765 WCB458765 WLX458765 WVT458765 L524301 JH524301 TD524301 ACZ524301 AMV524301 AWR524301 BGN524301 BQJ524301 CAF524301 CKB524301 CTX524301 DDT524301 DNP524301 DXL524301 EHH524301 ERD524301 FAZ524301 FKV524301 FUR524301 GEN524301 GOJ524301 GYF524301 HIB524301 HRX524301 IBT524301 ILP524301 IVL524301 JFH524301 JPD524301 JYZ524301 KIV524301 KSR524301 LCN524301 LMJ524301 LWF524301 MGB524301 MPX524301 MZT524301 NJP524301 NTL524301 ODH524301 OND524301 OWZ524301 PGV524301 PQR524301 QAN524301 QKJ524301 QUF524301 REB524301 RNX524301 RXT524301 SHP524301 SRL524301 TBH524301 TLD524301 TUZ524301 UEV524301 UOR524301 UYN524301 VIJ524301 VSF524301 WCB524301 WLX524301 WVT524301 L589837 JH589837 TD589837 ACZ589837 AMV589837 AWR589837 BGN589837 BQJ589837 CAF589837 CKB589837 CTX589837 DDT589837 DNP589837 DXL589837 EHH589837 ERD589837 FAZ589837 FKV589837 FUR589837 GEN589837 GOJ589837 GYF589837 HIB589837 HRX589837 IBT589837 ILP589837 IVL589837 JFH589837 JPD589837 JYZ589837 KIV589837 KSR589837 LCN589837 LMJ589837 LWF589837 MGB589837 MPX589837 MZT589837 NJP589837 NTL589837 ODH589837 OND589837 OWZ589837 PGV589837 PQR589837 QAN589837 QKJ589837 QUF589837 REB589837 RNX589837 RXT589837 SHP589837 SRL589837 TBH589837 TLD589837 TUZ589837 UEV589837 UOR589837 UYN589837 VIJ589837 VSF589837 WCB589837 WLX589837 WVT589837 L655373 JH655373 TD655373 ACZ655373 AMV655373 AWR655373 BGN655373 BQJ655373 CAF655373 CKB655373 CTX655373 DDT655373 DNP655373 DXL655373 EHH655373 ERD655373 FAZ655373 FKV655373 FUR655373 GEN655373 GOJ655373 GYF655373 HIB655373 HRX655373 IBT655373 ILP655373 IVL655373 JFH655373 JPD655373 JYZ655373 KIV655373 KSR655373 LCN655373 LMJ655373 LWF655373 MGB655373 MPX655373 MZT655373 NJP655373 NTL655373 ODH655373 OND655373 OWZ655373 PGV655373 PQR655373 QAN655373 QKJ655373 QUF655373 REB655373 RNX655373 RXT655373 SHP655373 SRL655373 TBH655373 TLD655373 TUZ655373 UEV655373 UOR655373 UYN655373 VIJ655373 VSF655373 WCB655373 WLX655373 WVT655373 L720909 JH720909 TD720909 ACZ720909 AMV720909 AWR720909 BGN720909 BQJ720909 CAF720909 CKB720909 CTX720909 DDT720909 DNP720909 DXL720909 EHH720909 ERD720909 FAZ720909 FKV720909 FUR720909 GEN720909 GOJ720909 GYF720909 HIB720909 HRX720909 IBT720909 ILP720909 IVL720909 JFH720909 JPD720909 JYZ720909 KIV720909 KSR720909 LCN720909 LMJ720909 LWF720909 MGB720909 MPX720909 MZT720909 NJP720909 NTL720909 ODH720909 OND720909 OWZ720909 PGV720909 PQR720909 QAN720909 QKJ720909 QUF720909 REB720909 RNX720909 RXT720909 SHP720909 SRL720909 TBH720909 TLD720909 TUZ720909 UEV720909 UOR720909 UYN720909 VIJ720909 VSF720909 WCB720909 WLX720909 WVT720909 L786445 JH786445 TD786445 ACZ786445 AMV786445 AWR786445 BGN786445 BQJ786445 CAF786445 CKB786445 CTX786445 DDT786445 DNP786445 DXL786445 EHH786445 ERD786445 FAZ786445 FKV786445 FUR786445 GEN786445 GOJ786445 GYF786445 HIB786445 HRX786445 IBT786445 ILP786445 IVL786445 JFH786445 JPD786445 JYZ786445 KIV786445 KSR786445 LCN786445 LMJ786445 LWF786445 MGB786445 MPX786445 MZT786445 NJP786445 NTL786445 ODH786445 OND786445 OWZ786445 PGV786445 PQR786445 QAN786445 QKJ786445 QUF786445 REB786445 RNX786445 RXT786445 SHP786445 SRL786445 TBH786445 TLD786445 TUZ786445 UEV786445 UOR786445 UYN786445 VIJ786445 VSF786445 WCB786445 WLX786445 WVT786445 L851981 JH851981 TD851981 ACZ851981 AMV851981 AWR851981 BGN851981 BQJ851981 CAF851981 CKB851981 CTX851981 DDT851981 DNP851981 DXL851981 EHH851981 ERD851981 FAZ851981 FKV851981 FUR851981 GEN851981 GOJ851981 GYF851981 HIB851981 HRX851981 IBT851981 ILP851981 IVL851981 JFH851981 JPD851981 JYZ851981 KIV851981 KSR851981 LCN851981 LMJ851981 LWF851981 MGB851981 MPX851981 MZT851981 NJP851981 NTL851981 ODH851981 OND851981 OWZ851981 PGV851981 PQR851981 QAN851981 QKJ851981 QUF851981 REB851981 RNX851981 RXT851981 SHP851981 SRL851981 TBH851981 TLD851981 TUZ851981 UEV851981 UOR851981 UYN851981 VIJ851981 VSF851981 WCB851981 WLX851981 WVT851981 L917517 JH917517 TD917517 ACZ917517 AMV917517 AWR917517 BGN917517 BQJ917517 CAF917517 CKB917517 CTX917517 DDT917517 DNP917517 DXL917517 EHH917517 ERD917517 FAZ917517 FKV917517 FUR917517 GEN917517 GOJ917517 GYF917517 HIB917517 HRX917517 IBT917517 ILP917517 IVL917517 JFH917517 JPD917517 JYZ917517 KIV917517 KSR917517 LCN917517 LMJ917517 LWF917517 MGB917517 MPX917517 MZT917517 NJP917517 NTL917517 ODH917517 OND917517 OWZ917517 PGV917517 PQR917517 QAN917517 QKJ917517 QUF917517 REB917517 RNX917517 RXT917517 SHP917517 SRL917517 TBH917517 TLD917517 TUZ917517 UEV917517 UOR917517 UYN917517 VIJ917517 VSF917517 WCB917517 WLX917517 WVT917517 L983053 JH983053 TD983053 ACZ983053 AMV983053 AWR983053 BGN983053 BQJ983053 CAF983053 CKB983053 CTX983053 DDT983053 DNP983053 DXL983053 EHH983053 ERD983053 FAZ983053 FKV983053 FUR983053 GEN983053 GOJ983053 GYF983053 HIB983053 HRX983053 IBT983053 ILP983053 IVL983053 JFH983053 JPD983053 JYZ983053 KIV983053 KSR983053 LCN983053 LMJ983053 LWF983053 MGB983053 MPX983053 MZT983053 NJP983053 NTL983053 ODH983053 OND983053 OWZ983053 PGV983053 PQR983053 QAN983053 QKJ983053 QUF983053 REB983053 RNX983053 RXT983053 SHP983053 SRL983053 TBH983053 TLD983053 TUZ983053 UEV983053 UOR983053 UYN983053 VIJ983053 VSF983053 WCB983053 WLX983053">
      <formula1>$AM$5:$AM$12</formula1>
    </dataValidation>
    <dataValidation type="list" allowBlank="1" showInputMessage="1" showErrorMessage="1" sqref="WVT983052 JH12 TD12 ACZ12 AMV12 AWR12 BGN12 BQJ12 CAF12 CKB12 CTX12 DDT12 DNP12 DXL12 EHH12 ERD12 FAZ12 FKV12 FUR12 GEN12 GOJ12 GYF12 HIB12 HRX12 IBT12 ILP12 IVL12 JFH12 JPD12 JYZ12 KIV12 KSR12 LCN12 LMJ12 LWF12 MGB12 MPX12 MZT12 NJP12 NTL12 ODH12 OND12 OWZ12 PGV12 PQR12 QAN12 QKJ12 QUF12 REB12 RNX12 RXT12 SHP12 SRL12 TBH12 TLD12 TUZ12 UEV12 UOR12 UYN12 VIJ12 VSF12 WCB12 WLX12 WVT12 L65548 JH65548 TD65548 ACZ65548 AMV65548 AWR65548 BGN65548 BQJ65548 CAF65548 CKB65548 CTX65548 DDT65548 DNP65548 DXL65548 EHH65548 ERD65548 FAZ65548 FKV65548 FUR65548 GEN65548 GOJ65548 GYF65548 HIB65548 HRX65548 IBT65548 ILP65548 IVL65548 JFH65548 JPD65548 JYZ65548 KIV65548 KSR65548 LCN65548 LMJ65548 LWF65548 MGB65548 MPX65548 MZT65548 NJP65548 NTL65548 ODH65548 OND65548 OWZ65548 PGV65548 PQR65548 QAN65548 QKJ65548 QUF65548 REB65548 RNX65548 RXT65548 SHP65548 SRL65548 TBH65548 TLD65548 TUZ65548 UEV65548 UOR65548 UYN65548 VIJ65548 VSF65548 WCB65548 WLX65548 WVT65548 L131084 JH131084 TD131084 ACZ131084 AMV131084 AWR131084 BGN131084 BQJ131084 CAF131084 CKB131084 CTX131084 DDT131084 DNP131084 DXL131084 EHH131084 ERD131084 FAZ131084 FKV131084 FUR131084 GEN131084 GOJ131084 GYF131084 HIB131084 HRX131084 IBT131084 ILP131084 IVL131084 JFH131084 JPD131084 JYZ131084 KIV131084 KSR131084 LCN131084 LMJ131084 LWF131084 MGB131084 MPX131084 MZT131084 NJP131084 NTL131084 ODH131084 OND131084 OWZ131084 PGV131084 PQR131084 QAN131084 QKJ131084 QUF131084 REB131084 RNX131084 RXT131084 SHP131084 SRL131084 TBH131084 TLD131084 TUZ131084 UEV131084 UOR131084 UYN131084 VIJ131084 VSF131084 WCB131084 WLX131084 WVT131084 L196620 JH196620 TD196620 ACZ196620 AMV196620 AWR196620 BGN196620 BQJ196620 CAF196620 CKB196620 CTX196620 DDT196620 DNP196620 DXL196620 EHH196620 ERD196620 FAZ196620 FKV196620 FUR196620 GEN196620 GOJ196620 GYF196620 HIB196620 HRX196620 IBT196620 ILP196620 IVL196620 JFH196620 JPD196620 JYZ196620 KIV196620 KSR196620 LCN196620 LMJ196620 LWF196620 MGB196620 MPX196620 MZT196620 NJP196620 NTL196620 ODH196620 OND196620 OWZ196620 PGV196620 PQR196620 QAN196620 QKJ196620 QUF196620 REB196620 RNX196620 RXT196620 SHP196620 SRL196620 TBH196620 TLD196620 TUZ196620 UEV196620 UOR196620 UYN196620 VIJ196620 VSF196620 WCB196620 WLX196620 WVT196620 L262156 JH262156 TD262156 ACZ262156 AMV262156 AWR262156 BGN262156 BQJ262156 CAF262156 CKB262156 CTX262156 DDT262156 DNP262156 DXL262156 EHH262156 ERD262156 FAZ262156 FKV262156 FUR262156 GEN262156 GOJ262156 GYF262156 HIB262156 HRX262156 IBT262156 ILP262156 IVL262156 JFH262156 JPD262156 JYZ262156 KIV262156 KSR262156 LCN262156 LMJ262156 LWF262156 MGB262156 MPX262156 MZT262156 NJP262156 NTL262156 ODH262156 OND262156 OWZ262156 PGV262156 PQR262156 QAN262156 QKJ262156 QUF262156 REB262156 RNX262156 RXT262156 SHP262156 SRL262156 TBH262156 TLD262156 TUZ262156 UEV262156 UOR262156 UYN262156 VIJ262156 VSF262156 WCB262156 WLX262156 WVT262156 L327692 JH327692 TD327692 ACZ327692 AMV327692 AWR327692 BGN327692 BQJ327692 CAF327692 CKB327692 CTX327692 DDT327692 DNP327692 DXL327692 EHH327692 ERD327692 FAZ327692 FKV327692 FUR327692 GEN327692 GOJ327692 GYF327692 HIB327692 HRX327692 IBT327692 ILP327692 IVL327692 JFH327692 JPD327692 JYZ327692 KIV327692 KSR327692 LCN327692 LMJ327692 LWF327692 MGB327692 MPX327692 MZT327692 NJP327692 NTL327692 ODH327692 OND327692 OWZ327692 PGV327692 PQR327692 QAN327692 QKJ327692 QUF327692 REB327692 RNX327692 RXT327692 SHP327692 SRL327692 TBH327692 TLD327692 TUZ327692 UEV327692 UOR327692 UYN327692 VIJ327692 VSF327692 WCB327692 WLX327692 WVT327692 L393228 JH393228 TD393228 ACZ393228 AMV393228 AWR393228 BGN393228 BQJ393228 CAF393228 CKB393228 CTX393228 DDT393228 DNP393228 DXL393228 EHH393228 ERD393228 FAZ393228 FKV393228 FUR393228 GEN393228 GOJ393228 GYF393228 HIB393228 HRX393228 IBT393228 ILP393228 IVL393228 JFH393228 JPD393228 JYZ393228 KIV393228 KSR393228 LCN393228 LMJ393228 LWF393228 MGB393228 MPX393228 MZT393228 NJP393228 NTL393228 ODH393228 OND393228 OWZ393228 PGV393228 PQR393228 QAN393228 QKJ393228 QUF393228 REB393228 RNX393228 RXT393228 SHP393228 SRL393228 TBH393228 TLD393228 TUZ393228 UEV393228 UOR393228 UYN393228 VIJ393228 VSF393228 WCB393228 WLX393228 WVT393228 L458764 JH458764 TD458764 ACZ458764 AMV458764 AWR458764 BGN458764 BQJ458764 CAF458764 CKB458764 CTX458764 DDT458764 DNP458764 DXL458764 EHH458764 ERD458764 FAZ458764 FKV458764 FUR458764 GEN458764 GOJ458764 GYF458764 HIB458764 HRX458764 IBT458764 ILP458764 IVL458764 JFH458764 JPD458764 JYZ458764 KIV458764 KSR458764 LCN458764 LMJ458764 LWF458764 MGB458764 MPX458764 MZT458764 NJP458764 NTL458764 ODH458764 OND458764 OWZ458764 PGV458764 PQR458764 QAN458764 QKJ458764 QUF458764 REB458764 RNX458764 RXT458764 SHP458764 SRL458764 TBH458764 TLD458764 TUZ458764 UEV458764 UOR458764 UYN458764 VIJ458764 VSF458764 WCB458764 WLX458764 WVT458764 L524300 JH524300 TD524300 ACZ524300 AMV524300 AWR524300 BGN524300 BQJ524300 CAF524300 CKB524300 CTX524300 DDT524300 DNP524300 DXL524300 EHH524300 ERD524300 FAZ524300 FKV524300 FUR524300 GEN524300 GOJ524300 GYF524300 HIB524300 HRX524300 IBT524300 ILP524300 IVL524300 JFH524300 JPD524300 JYZ524300 KIV524300 KSR524300 LCN524300 LMJ524300 LWF524300 MGB524300 MPX524300 MZT524300 NJP524300 NTL524300 ODH524300 OND524300 OWZ524300 PGV524300 PQR524300 QAN524300 QKJ524300 QUF524300 REB524300 RNX524300 RXT524300 SHP524300 SRL524300 TBH524300 TLD524300 TUZ524300 UEV524300 UOR524300 UYN524300 VIJ524300 VSF524300 WCB524300 WLX524300 WVT524300 L589836 JH589836 TD589836 ACZ589836 AMV589836 AWR589836 BGN589836 BQJ589836 CAF589836 CKB589836 CTX589836 DDT589836 DNP589836 DXL589836 EHH589836 ERD589836 FAZ589836 FKV589836 FUR589836 GEN589836 GOJ589836 GYF589836 HIB589836 HRX589836 IBT589836 ILP589836 IVL589836 JFH589836 JPD589836 JYZ589836 KIV589836 KSR589836 LCN589836 LMJ589836 LWF589836 MGB589836 MPX589836 MZT589836 NJP589836 NTL589836 ODH589836 OND589836 OWZ589836 PGV589836 PQR589836 QAN589836 QKJ589836 QUF589836 REB589836 RNX589836 RXT589836 SHP589836 SRL589836 TBH589836 TLD589836 TUZ589836 UEV589836 UOR589836 UYN589836 VIJ589836 VSF589836 WCB589836 WLX589836 WVT589836 L655372 JH655372 TD655372 ACZ655372 AMV655372 AWR655372 BGN655372 BQJ655372 CAF655372 CKB655372 CTX655372 DDT655372 DNP655372 DXL655372 EHH655372 ERD655372 FAZ655372 FKV655372 FUR655372 GEN655372 GOJ655372 GYF655372 HIB655372 HRX655372 IBT655372 ILP655372 IVL655372 JFH655372 JPD655372 JYZ655372 KIV655372 KSR655372 LCN655372 LMJ655372 LWF655372 MGB655372 MPX655372 MZT655372 NJP655372 NTL655372 ODH655372 OND655372 OWZ655372 PGV655372 PQR655372 QAN655372 QKJ655372 QUF655372 REB655372 RNX655372 RXT655372 SHP655372 SRL655372 TBH655372 TLD655372 TUZ655372 UEV655372 UOR655372 UYN655372 VIJ655372 VSF655372 WCB655372 WLX655372 WVT655372 L720908 JH720908 TD720908 ACZ720908 AMV720908 AWR720908 BGN720908 BQJ720908 CAF720908 CKB720908 CTX720908 DDT720908 DNP720908 DXL720908 EHH720908 ERD720908 FAZ720908 FKV720908 FUR720908 GEN720908 GOJ720908 GYF720908 HIB720908 HRX720908 IBT720908 ILP720908 IVL720908 JFH720908 JPD720908 JYZ720908 KIV720908 KSR720908 LCN720908 LMJ720908 LWF720908 MGB720908 MPX720908 MZT720908 NJP720908 NTL720908 ODH720908 OND720908 OWZ720908 PGV720908 PQR720908 QAN720908 QKJ720908 QUF720908 REB720908 RNX720908 RXT720908 SHP720908 SRL720908 TBH720908 TLD720908 TUZ720908 UEV720908 UOR720908 UYN720908 VIJ720908 VSF720908 WCB720908 WLX720908 WVT720908 L786444 JH786444 TD786444 ACZ786444 AMV786444 AWR786444 BGN786444 BQJ786444 CAF786444 CKB786444 CTX786444 DDT786444 DNP786444 DXL786444 EHH786444 ERD786444 FAZ786444 FKV786444 FUR786444 GEN786444 GOJ786444 GYF786444 HIB786444 HRX786444 IBT786444 ILP786444 IVL786444 JFH786444 JPD786444 JYZ786444 KIV786444 KSR786444 LCN786444 LMJ786444 LWF786444 MGB786444 MPX786444 MZT786444 NJP786444 NTL786444 ODH786444 OND786444 OWZ786444 PGV786444 PQR786444 QAN786444 QKJ786444 QUF786444 REB786444 RNX786444 RXT786444 SHP786444 SRL786444 TBH786444 TLD786444 TUZ786444 UEV786444 UOR786444 UYN786444 VIJ786444 VSF786444 WCB786444 WLX786444 WVT786444 L851980 JH851980 TD851980 ACZ851980 AMV851980 AWR851980 BGN851980 BQJ851980 CAF851980 CKB851980 CTX851980 DDT851980 DNP851980 DXL851980 EHH851980 ERD851980 FAZ851980 FKV851980 FUR851980 GEN851980 GOJ851980 GYF851980 HIB851980 HRX851980 IBT851980 ILP851980 IVL851980 JFH851980 JPD851980 JYZ851980 KIV851980 KSR851980 LCN851980 LMJ851980 LWF851980 MGB851980 MPX851980 MZT851980 NJP851980 NTL851980 ODH851980 OND851980 OWZ851980 PGV851980 PQR851980 QAN851980 QKJ851980 QUF851980 REB851980 RNX851980 RXT851980 SHP851980 SRL851980 TBH851980 TLD851980 TUZ851980 UEV851980 UOR851980 UYN851980 VIJ851980 VSF851980 WCB851980 WLX851980 WVT851980 L917516 JH917516 TD917516 ACZ917516 AMV917516 AWR917516 BGN917516 BQJ917516 CAF917516 CKB917516 CTX917516 DDT917516 DNP917516 DXL917516 EHH917516 ERD917516 FAZ917516 FKV917516 FUR917516 GEN917516 GOJ917516 GYF917516 HIB917516 HRX917516 IBT917516 ILP917516 IVL917516 JFH917516 JPD917516 JYZ917516 KIV917516 KSR917516 LCN917516 LMJ917516 LWF917516 MGB917516 MPX917516 MZT917516 NJP917516 NTL917516 ODH917516 OND917516 OWZ917516 PGV917516 PQR917516 QAN917516 QKJ917516 QUF917516 REB917516 RNX917516 RXT917516 SHP917516 SRL917516 TBH917516 TLD917516 TUZ917516 UEV917516 UOR917516 UYN917516 VIJ917516 VSF917516 WCB917516 WLX917516 WVT917516 L983052 JH983052 TD983052 ACZ983052 AMV983052 AWR983052 BGN983052 BQJ983052 CAF983052 CKB983052 CTX983052 DDT983052 DNP983052 DXL983052 EHH983052 ERD983052 FAZ983052 FKV983052 FUR983052 GEN983052 GOJ983052 GYF983052 HIB983052 HRX983052 IBT983052 ILP983052 IVL983052 JFH983052 JPD983052 JYZ983052 KIV983052 KSR983052 LCN983052 LMJ983052 LWF983052 MGB983052 MPX983052 MZT983052 NJP983052 NTL983052 ODH983052 OND983052 OWZ983052 PGV983052 PQR983052 QAN983052 QKJ983052 QUF983052 REB983052 RNX983052 RXT983052 SHP983052 SRL983052 TBH983052 TLD983052 TUZ983052 UEV983052 UOR983052 UYN983052 VIJ983052 VSF983052 WCB983052 WLX983052">
      <formula1>$AK$5:$AK$12</formula1>
    </dataValidation>
    <dataValidation type="list" allowBlank="1" showInputMessage="1" showErrorMessage="1" sqref="WVT983051 JH11 TD11 ACZ11 AMV11 AWR11 BGN11 BQJ11 CAF11 CKB11 CTX11 DDT11 DNP11 DXL11 EHH11 ERD11 FAZ11 FKV11 FUR11 GEN11 GOJ11 GYF11 HIB11 HRX11 IBT11 ILP11 IVL11 JFH11 JPD11 JYZ11 KIV11 KSR11 LCN11 LMJ11 LWF11 MGB11 MPX11 MZT11 NJP11 NTL11 ODH11 OND11 OWZ11 PGV11 PQR11 QAN11 QKJ11 QUF11 REB11 RNX11 RXT11 SHP11 SRL11 TBH11 TLD11 TUZ11 UEV11 UOR11 UYN11 VIJ11 VSF11 WCB11 WLX11 WVT11 L65547 JH65547 TD65547 ACZ65547 AMV65547 AWR65547 BGN65547 BQJ65547 CAF65547 CKB65547 CTX65547 DDT65547 DNP65547 DXL65547 EHH65547 ERD65547 FAZ65547 FKV65547 FUR65547 GEN65547 GOJ65547 GYF65547 HIB65547 HRX65547 IBT65547 ILP65547 IVL65547 JFH65547 JPD65547 JYZ65547 KIV65547 KSR65547 LCN65547 LMJ65547 LWF65547 MGB65547 MPX65547 MZT65547 NJP65547 NTL65547 ODH65547 OND65547 OWZ65547 PGV65547 PQR65547 QAN65547 QKJ65547 QUF65547 REB65547 RNX65547 RXT65547 SHP65547 SRL65547 TBH65547 TLD65547 TUZ65547 UEV65547 UOR65547 UYN65547 VIJ65547 VSF65547 WCB65547 WLX65547 WVT65547 L131083 JH131083 TD131083 ACZ131083 AMV131083 AWR131083 BGN131083 BQJ131083 CAF131083 CKB131083 CTX131083 DDT131083 DNP131083 DXL131083 EHH131083 ERD131083 FAZ131083 FKV131083 FUR131083 GEN131083 GOJ131083 GYF131083 HIB131083 HRX131083 IBT131083 ILP131083 IVL131083 JFH131083 JPD131083 JYZ131083 KIV131083 KSR131083 LCN131083 LMJ131083 LWF131083 MGB131083 MPX131083 MZT131083 NJP131083 NTL131083 ODH131083 OND131083 OWZ131083 PGV131083 PQR131083 QAN131083 QKJ131083 QUF131083 REB131083 RNX131083 RXT131083 SHP131083 SRL131083 TBH131083 TLD131083 TUZ131083 UEV131083 UOR131083 UYN131083 VIJ131083 VSF131083 WCB131083 WLX131083 WVT131083 L196619 JH196619 TD196619 ACZ196619 AMV196619 AWR196619 BGN196619 BQJ196619 CAF196619 CKB196619 CTX196619 DDT196619 DNP196619 DXL196619 EHH196619 ERD196619 FAZ196619 FKV196619 FUR196619 GEN196619 GOJ196619 GYF196619 HIB196619 HRX196619 IBT196619 ILP196619 IVL196619 JFH196619 JPD196619 JYZ196619 KIV196619 KSR196619 LCN196619 LMJ196619 LWF196619 MGB196619 MPX196619 MZT196619 NJP196619 NTL196619 ODH196619 OND196619 OWZ196619 PGV196619 PQR196619 QAN196619 QKJ196619 QUF196619 REB196619 RNX196619 RXT196619 SHP196619 SRL196619 TBH196619 TLD196619 TUZ196619 UEV196619 UOR196619 UYN196619 VIJ196619 VSF196619 WCB196619 WLX196619 WVT196619 L262155 JH262155 TD262155 ACZ262155 AMV262155 AWR262155 BGN262155 BQJ262155 CAF262155 CKB262155 CTX262155 DDT262155 DNP262155 DXL262155 EHH262155 ERD262155 FAZ262155 FKV262155 FUR262155 GEN262155 GOJ262155 GYF262155 HIB262155 HRX262155 IBT262155 ILP262155 IVL262155 JFH262155 JPD262155 JYZ262155 KIV262155 KSR262155 LCN262155 LMJ262155 LWF262155 MGB262155 MPX262155 MZT262155 NJP262155 NTL262155 ODH262155 OND262155 OWZ262155 PGV262155 PQR262155 QAN262155 QKJ262155 QUF262155 REB262155 RNX262155 RXT262155 SHP262155 SRL262155 TBH262155 TLD262155 TUZ262155 UEV262155 UOR262155 UYN262155 VIJ262155 VSF262155 WCB262155 WLX262155 WVT262155 L327691 JH327691 TD327691 ACZ327691 AMV327691 AWR327691 BGN327691 BQJ327691 CAF327691 CKB327691 CTX327691 DDT327691 DNP327691 DXL327691 EHH327691 ERD327691 FAZ327691 FKV327691 FUR327691 GEN327691 GOJ327691 GYF327691 HIB327691 HRX327691 IBT327691 ILP327691 IVL327691 JFH327691 JPD327691 JYZ327691 KIV327691 KSR327691 LCN327691 LMJ327691 LWF327691 MGB327691 MPX327691 MZT327691 NJP327691 NTL327691 ODH327691 OND327691 OWZ327691 PGV327691 PQR327691 QAN327691 QKJ327691 QUF327691 REB327691 RNX327691 RXT327691 SHP327691 SRL327691 TBH327691 TLD327691 TUZ327691 UEV327691 UOR327691 UYN327691 VIJ327691 VSF327691 WCB327691 WLX327691 WVT327691 L393227 JH393227 TD393227 ACZ393227 AMV393227 AWR393227 BGN393227 BQJ393227 CAF393227 CKB393227 CTX393227 DDT393227 DNP393227 DXL393227 EHH393227 ERD393227 FAZ393227 FKV393227 FUR393227 GEN393227 GOJ393227 GYF393227 HIB393227 HRX393227 IBT393227 ILP393227 IVL393227 JFH393227 JPD393227 JYZ393227 KIV393227 KSR393227 LCN393227 LMJ393227 LWF393227 MGB393227 MPX393227 MZT393227 NJP393227 NTL393227 ODH393227 OND393227 OWZ393227 PGV393227 PQR393227 QAN393227 QKJ393227 QUF393227 REB393227 RNX393227 RXT393227 SHP393227 SRL393227 TBH393227 TLD393227 TUZ393227 UEV393227 UOR393227 UYN393227 VIJ393227 VSF393227 WCB393227 WLX393227 WVT393227 L458763 JH458763 TD458763 ACZ458763 AMV458763 AWR458763 BGN458763 BQJ458763 CAF458763 CKB458763 CTX458763 DDT458763 DNP458763 DXL458763 EHH458763 ERD458763 FAZ458763 FKV458763 FUR458763 GEN458763 GOJ458763 GYF458763 HIB458763 HRX458763 IBT458763 ILP458763 IVL458763 JFH458763 JPD458763 JYZ458763 KIV458763 KSR458763 LCN458763 LMJ458763 LWF458763 MGB458763 MPX458763 MZT458763 NJP458763 NTL458763 ODH458763 OND458763 OWZ458763 PGV458763 PQR458763 QAN458763 QKJ458763 QUF458763 REB458763 RNX458763 RXT458763 SHP458763 SRL458763 TBH458763 TLD458763 TUZ458763 UEV458763 UOR458763 UYN458763 VIJ458763 VSF458763 WCB458763 WLX458763 WVT458763 L524299 JH524299 TD524299 ACZ524299 AMV524299 AWR524299 BGN524299 BQJ524299 CAF524299 CKB524299 CTX524299 DDT524299 DNP524299 DXL524299 EHH524299 ERD524299 FAZ524299 FKV524299 FUR524299 GEN524299 GOJ524299 GYF524299 HIB524299 HRX524299 IBT524299 ILP524299 IVL524299 JFH524299 JPD524299 JYZ524299 KIV524299 KSR524299 LCN524299 LMJ524299 LWF524299 MGB524299 MPX524299 MZT524299 NJP524299 NTL524299 ODH524299 OND524299 OWZ524299 PGV524299 PQR524299 QAN524299 QKJ524299 QUF524299 REB524299 RNX524299 RXT524299 SHP524299 SRL524299 TBH524299 TLD524299 TUZ524299 UEV524299 UOR524299 UYN524299 VIJ524299 VSF524299 WCB524299 WLX524299 WVT524299 L589835 JH589835 TD589835 ACZ589835 AMV589835 AWR589835 BGN589835 BQJ589835 CAF589835 CKB589835 CTX589835 DDT589835 DNP589835 DXL589835 EHH589835 ERD589835 FAZ589835 FKV589835 FUR589835 GEN589835 GOJ589835 GYF589835 HIB589835 HRX589835 IBT589835 ILP589835 IVL589835 JFH589835 JPD589835 JYZ589835 KIV589835 KSR589835 LCN589835 LMJ589835 LWF589835 MGB589835 MPX589835 MZT589835 NJP589835 NTL589835 ODH589835 OND589835 OWZ589835 PGV589835 PQR589835 QAN589835 QKJ589835 QUF589835 REB589835 RNX589835 RXT589835 SHP589835 SRL589835 TBH589835 TLD589835 TUZ589835 UEV589835 UOR589835 UYN589835 VIJ589835 VSF589835 WCB589835 WLX589835 WVT589835 L655371 JH655371 TD655371 ACZ655371 AMV655371 AWR655371 BGN655371 BQJ655371 CAF655371 CKB655371 CTX655371 DDT655371 DNP655371 DXL655371 EHH655371 ERD655371 FAZ655371 FKV655371 FUR655371 GEN655371 GOJ655371 GYF655371 HIB655371 HRX655371 IBT655371 ILP655371 IVL655371 JFH655371 JPD655371 JYZ655371 KIV655371 KSR655371 LCN655371 LMJ655371 LWF655371 MGB655371 MPX655371 MZT655371 NJP655371 NTL655371 ODH655371 OND655371 OWZ655371 PGV655371 PQR655371 QAN655371 QKJ655371 QUF655371 REB655371 RNX655371 RXT655371 SHP655371 SRL655371 TBH655371 TLD655371 TUZ655371 UEV655371 UOR655371 UYN655371 VIJ655371 VSF655371 WCB655371 WLX655371 WVT655371 L720907 JH720907 TD720907 ACZ720907 AMV720907 AWR720907 BGN720907 BQJ720907 CAF720907 CKB720907 CTX720907 DDT720907 DNP720907 DXL720907 EHH720907 ERD720907 FAZ720907 FKV720907 FUR720907 GEN720907 GOJ720907 GYF720907 HIB720907 HRX720907 IBT720907 ILP720907 IVL720907 JFH720907 JPD720907 JYZ720907 KIV720907 KSR720907 LCN720907 LMJ720907 LWF720907 MGB720907 MPX720907 MZT720907 NJP720907 NTL720907 ODH720907 OND720907 OWZ720907 PGV720907 PQR720907 QAN720907 QKJ720907 QUF720907 REB720907 RNX720907 RXT720907 SHP720907 SRL720907 TBH720907 TLD720907 TUZ720907 UEV720907 UOR720907 UYN720907 VIJ720907 VSF720907 WCB720907 WLX720907 WVT720907 L786443 JH786443 TD786443 ACZ786443 AMV786443 AWR786443 BGN786443 BQJ786443 CAF786443 CKB786443 CTX786443 DDT786443 DNP786443 DXL786443 EHH786443 ERD786443 FAZ786443 FKV786443 FUR786443 GEN786443 GOJ786443 GYF786443 HIB786443 HRX786443 IBT786443 ILP786443 IVL786443 JFH786443 JPD786443 JYZ786443 KIV786443 KSR786443 LCN786443 LMJ786443 LWF786443 MGB786443 MPX786443 MZT786443 NJP786443 NTL786443 ODH786443 OND786443 OWZ786443 PGV786443 PQR786443 QAN786443 QKJ786443 QUF786443 REB786443 RNX786443 RXT786443 SHP786443 SRL786443 TBH786443 TLD786443 TUZ786443 UEV786443 UOR786443 UYN786443 VIJ786443 VSF786443 WCB786443 WLX786443 WVT786443 L851979 JH851979 TD851979 ACZ851979 AMV851979 AWR851979 BGN851979 BQJ851979 CAF851979 CKB851979 CTX851979 DDT851979 DNP851979 DXL851979 EHH851979 ERD851979 FAZ851979 FKV851979 FUR851979 GEN851979 GOJ851979 GYF851979 HIB851979 HRX851979 IBT851979 ILP851979 IVL851979 JFH851979 JPD851979 JYZ851979 KIV851979 KSR851979 LCN851979 LMJ851979 LWF851979 MGB851979 MPX851979 MZT851979 NJP851979 NTL851979 ODH851979 OND851979 OWZ851979 PGV851979 PQR851979 QAN851979 QKJ851979 QUF851979 REB851979 RNX851979 RXT851979 SHP851979 SRL851979 TBH851979 TLD851979 TUZ851979 UEV851979 UOR851979 UYN851979 VIJ851979 VSF851979 WCB851979 WLX851979 WVT851979 L917515 JH917515 TD917515 ACZ917515 AMV917515 AWR917515 BGN917515 BQJ917515 CAF917515 CKB917515 CTX917515 DDT917515 DNP917515 DXL917515 EHH917515 ERD917515 FAZ917515 FKV917515 FUR917515 GEN917515 GOJ917515 GYF917515 HIB917515 HRX917515 IBT917515 ILP917515 IVL917515 JFH917515 JPD917515 JYZ917515 KIV917515 KSR917515 LCN917515 LMJ917515 LWF917515 MGB917515 MPX917515 MZT917515 NJP917515 NTL917515 ODH917515 OND917515 OWZ917515 PGV917515 PQR917515 QAN917515 QKJ917515 QUF917515 REB917515 RNX917515 RXT917515 SHP917515 SRL917515 TBH917515 TLD917515 TUZ917515 UEV917515 UOR917515 UYN917515 VIJ917515 VSF917515 WCB917515 WLX917515 WVT917515 L983051 JH983051 TD983051 ACZ983051 AMV983051 AWR983051 BGN983051 BQJ983051 CAF983051 CKB983051 CTX983051 DDT983051 DNP983051 DXL983051 EHH983051 ERD983051 FAZ983051 FKV983051 FUR983051 GEN983051 GOJ983051 GYF983051 HIB983051 HRX983051 IBT983051 ILP983051 IVL983051 JFH983051 JPD983051 JYZ983051 KIV983051 KSR983051 LCN983051 LMJ983051 LWF983051 MGB983051 MPX983051 MZT983051 NJP983051 NTL983051 ODH983051 OND983051 OWZ983051 PGV983051 PQR983051 QAN983051 QKJ983051 QUF983051 REB983051 RNX983051 RXT983051 SHP983051 SRL983051 TBH983051 TLD983051 TUZ983051 UEV983051 UOR983051 UYN983051 VIJ983051 VSF983051 WCB983051 WLX983051">
      <formula1>$AI$5:$AI$12</formula1>
    </dataValidation>
    <dataValidation type="list" allowBlank="1" showInputMessage="1" showErrorMessage="1" sqref="WVT983050 JH10 TD10 ACZ10 AMV10 AWR10 BGN10 BQJ10 CAF10 CKB10 CTX10 DDT10 DNP10 DXL10 EHH10 ERD10 FAZ10 FKV10 FUR10 GEN10 GOJ10 GYF10 HIB10 HRX10 IBT10 ILP10 IVL10 JFH10 JPD10 JYZ10 KIV10 KSR10 LCN10 LMJ10 LWF10 MGB10 MPX10 MZT10 NJP10 NTL10 ODH10 OND10 OWZ10 PGV10 PQR10 QAN10 QKJ10 QUF10 REB10 RNX10 RXT10 SHP10 SRL10 TBH10 TLD10 TUZ10 UEV10 UOR10 UYN10 VIJ10 VSF10 WCB10 WLX10 WVT10 L65546 JH65546 TD65546 ACZ65546 AMV65546 AWR65546 BGN65546 BQJ65546 CAF65546 CKB65546 CTX65546 DDT65546 DNP65546 DXL65546 EHH65546 ERD65546 FAZ65546 FKV65546 FUR65546 GEN65546 GOJ65546 GYF65546 HIB65546 HRX65546 IBT65546 ILP65546 IVL65546 JFH65546 JPD65546 JYZ65546 KIV65546 KSR65546 LCN65546 LMJ65546 LWF65546 MGB65546 MPX65546 MZT65546 NJP65546 NTL65546 ODH65546 OND65546 OWZ65546 PGV65546 PQR65546 QAN65546 QKJ65546 QUF65546 REB65546 RNX65546 RXT65546 SHP65546 SRL65546 TBH65546 TLD65546 TUZ65546 UEV65546 UOR65546 UYN65546 VIJ65546 VSF65546 WCB65546 WLX65546 WVT65546 L131082 JH131082 TD131082 ACZ131082 AMV131082 AWR131082 BGN131082 BQJ131082 CAF131082 CKB131082 CTX131082 DDT131082 DNP131082 DXL131082 EHH131082 ERD131082 FAZ131082 FKV131082 FUR131082 GEN131082 GOJ131082 GYF131082 HIB131082 HRX131082 IBT131082 ILP131082 IVL131082 JFH131082 JPD131082 JYZ131082 KIV131082 KSR131082 LCN131082 LMJ131082 LWF131082 MGB131082 MPX131082 MZT131082 NJP131082 NTL131082 ODH131082 OND131082 OWZ131082 PGV131082 PQR131082 QAN131082 QKJ131082 QUF131082 REB131082 RNX131082 RXT131082 SHP131082 SRL131082 TBH131082 TLD131082 TUZ131082 UEV131082 UOR131082 UYN131082 VIJ131082 VSF131082 WCB131082 WLX131082 WVT131082 L196618 JH196618 TD196618 ACZ196618 AMV196618 AWR196618 BGN196618 BQJ196618 CAF196618 CKB196618 CTX196618 DDT196618 DNP196618 DXL196618 EHH196618 ERD196618 FAZ196618 FKV196618 FUR196618 GEN196618 GOJ196618 GYF196618 HIB196618 HRX196618 IBT196618 ILP196618 IVL196618 JFH196618 JPD196618 JYZ196618 KIV196618 KSR196618 LCN196618 LMJ196618 LWF196618 MGB196618 MPX196618 MZT196618 NJP196618 NTL196618 ODH196618 OND196618 OWZ196618 PGV196618 PQR196618 QAN196618 QKJ196618 QUF196618 REB196618 RNX196618 RXT196618 SHP196618 SRL196618 TBH196618 TLD196618 TUZ196618 UEV196618 UOR196618 UYN196618 VIJ196618 VSF196618 WCB196618 WLX196618 WVT196618 L262154 JH262154 TD262154 ACZ262154 AMV262154 AWR262154 BGN262154 BQJ262154 CAF262154 CKB262154 CTX262154 DDT262154 DNP262154 DXL262154 EHH262154 ERD262154 FAZ262154 FKV262154 FUR262154 GEN262154 GOJ262154 GYF262154 HIB262154 HRX262154 IBT262154 ILP262154 IVL262154 JFH262154 JPD262154 JYZ262154 KIV262154 KSR262154 LCN262154 LMJ262154 LWF262154 MGB262154 MPX262154 MZT262154 NJP262154 NTL262154 ODH262154 OND262154 OWZ262154 PGV262154 PQR262154 QAN262154 QKJ262154 QUF262154 REB262154 RNX262154 RXT262154 SHP262154 SRL262154 TBH262154 TLD262154 TUZ262154 UEV262154 UOR262154 UYN262154 VIJ262154 VSF262154 WCB262154 WLX262154 WVT262154 L327690 JH327690 TD327690 ACZ327690 AMV327690 AWR327690 BGN327690 BQJ327690 CAF327690 CKB327690 CTX327690 DDT327690 DNP327690 DXL327690 EHH327690 ERD327690 FAZ327690 FKV327690 FUR327690 GEN327690 GOJ327690 GYF327690 HIB327690 HRX327690 IBT327690 ILP327690 IVL327690 JFH327690 JPD327690 JYZ327690 KIV327690 KSR327690 LCN327690 LMJ327690 LWF327690 MGB327690 MPX327690 MZT327690 NJP327690 NTL327690 ODH327690 OND327690 OWZ327690 PGV327690 PQR327690 QAN327690 QKJ327690 QUF327690 REB327690 RNX327690 RXT327690 SHP327690 SRL327690 TBH327690 TLD327690 TUZ327690 UEV327690 UOR327690 UYN327690 VIJ327690 VSF327690 WCB327690 WLX327690 WVT327690 L393226 JH393226 TD393226 ACZ393226 AMV393226 AWR393226 BGN393226 BQJ393226 CAF393226 CKB393226 CTX393226 DDT393226 DNP393226 DXL393226 EHH393226 ERD393226 FAZ393226 FKV393226 FUR393226 GEN393226 GOJ393226 GYF393226 HIB393226 HRX393226 IBT393226 ILP393226 IVL393226 JFH393226 JPD393226 JYZ393226 KIV393226 KSR393226 LCN393226 LMJ393226 LWF393226 MGB393226 MPX393226 MZT393226 NJP393226 NTL393226 ODH393226 OND393226 OWZ393226 PGV393226 PQR393226 QAN393226 QKJ393226 QUF393226 REB393226 RNX393226 RXT393226 SHP393226 SRL393226 TBH393226 TLD393226 TUZ393226 UEV393226 UOR393226 UYN393226 VIJ393226 VSF393226 WCB393226 WLX393226 WVT393226 L458762 JH458762 TD458762 ACZ458762 AMV458762 AWR458762 BGN458762 BQJ458762 CAF458762 CKB458762 CTX458762 DDT458762 DNP458762 DXL458762 EHH458762 ERD458762 FAZ458762 FKV458762 FUR458762 GEN458762 GOJ458762 GYF458762 HIB458762 HRX458762 IBT458762 ILP458762 IVL458762 JFH458762 JPD458762 JYZ458762 KIV458762 KSR458762 LCN458762 LMJ458762 LWF458762 MGB458762 MPX458762 MZT458762 NJP458762 NTL458762 ODH458762 OND458762 OWZ458762 PGV458762 PQR458762 QAN458762 QKJ458762 QUF458762 REB458762 RNX458762 RXT458762 SHP458762 SRL458762 TBH458762 TLD458762 TUZ458762 UEV458762 UOR458762 UYN458762 VIJ458762 VSF458762 WCB458762 WLX458762 WVT458762 L524298 JH524298 TD524298 ACZ524298 AMV524298 AWR524298 BGN524298 BQJ524298 CAF524298 CKB524298 CTX524298 DDT524298 DNP524298 DXL524298 EHH524298 ERD524298 FAZ524298 FKV524298 FUR524298 GEN524298 GOJ524298 GYF524298 HIB524298 HRX524298 IBT524298 ILP524298 IVL524298 JFH524298 JPD524298 JYZ524298 KIV524298 KSR524298 LCN524298 LMJ524298 LWF524298 MGB524298 MPX524298 MZT524298 NJP524298 NTL524298 ODH524298 OND524298 OWZ524298 PGV524298 PQR524298 QAN524298 QKJ524298 QUF524298 REB524298 RNX524298 RXT524298 SHP524298 SRL524298 TBH524298 TLD524298 TUZ524298 UEV524298 UOR524298 UYN524298 VIJ524298 VSF524298 WCB524298 WLX524298 WVT524298 L589834 JH589834 TD589834 ACZ589834 AMV589834 AWR589834 BGN589834 BQJ589834 CAF589834 CKB589834 CTX589834 DDT589834 DNP589834 DXL589834 EHH589834 ERD589834 FAZ589834 FKV589834 FUR589834 GEN589834 GOJ589834 GYF589834 HIB589834 HRX589834 IBT589834 ILP589834 IVL589834 JFH589834 JPD589834 JYZ589834 KIV589834 KSR589834 LCN589834 LMJ589834 LWF589834 MGB589834 MPX589834 MZT589834 NJP589834 NTL589834 ODH589834 OND589834 OWZ589834 PGV589834 PQR589834 QAN589834 QKJ589834 QUF589834 REB589834 RNX589834 RXT589834 SHP589834 SRL589834 TBH589834 TLD589834 TUZ589834 UEV589834 UOR589834 UYN589834 VIJ589834 VSF589834 WCB589834 WLX589834 WVT589834 L655370 JH655370 TD655370 ACZ655370 AMV655370 AWR655370 BGN655370 BQJ655370 CAF655370 CKB655370 CTX655370 DDT655370 DNP655370 DXL655370 EHH655370 ERD655370 FAZ655370 FKV655370 FUR655370 GEN655370 GOJ655370 GYF655370 HIB655370 HRX655370 IBT655370 ILP655370 IVL655370 JFH655370 JPD655370 JYZ655370 KIV655370 KSR655370 LCN655370 LMJ655370 LWF655370 MGB655370 MPX655370 MZT655370 NJP655370 NTL655370 ODH655370 OND655370 OWZ655370 PGV655370 PQR655370 QAN655370 QKJ655370 QUF655370 REB655370 RNX655370 RXT655370 SHP655370 SRL655370 TBH655370 TLD655370 TUZ655370 UEV655370 UOR655370 UYN655370 VIJ655370 VSF655370 WCB655370 WLX655370 WVT655370 L720906 JH720906 TD720906 ACZ720906 AMV720906 AWR720906 BGN720906 BQJ720906 CAF720906 CKB720906 CTX720906 DDT720906 DNP720906 DXL720906 EHH720906 ERD720906 FAZ720906 FKV720906 FUR720906 GEN720906 GOJ720906 GYF720906 HIB720906 HRX720906 IBT720906 ILP720906 IVL720906 JFH720906 JPD720906 JYZ720906 KIV720906 KSR720906 LCN720906 LMJ720906 LWF720906 MGB720906 MPX720906 MZT720906 NJP720906 NTL720906 ODH720906 OND720906 OWZ720906 PGV720906 PQR720906 QAN720906 QKJ720906 QUF720906 REB720906 RNX720906 RXT720906 SHP720906 SRL720906 TBH720906 TLD720906 TUZ720906 UEV720906 UOR720906 UYN720906 VIJ720906 VSF720906 WCB720906 WLX720906 WVT720906 L786442 JH786442 TD786442 ACZ786442 AMV786442 AWR786442 BGN786442 BQJ786442 CAF786442 CKB786442 CTX786442 DDT786442 DNP786442 DXL786442 EHH786442 ERD786442 FAZ786442 FKV786442 FUR786442 GEN786442 GOJ786442 GYF786442 HIB786442 HRX786442 IBT786442 ILP786442 IVL786442 JFH786442 JPD786442 JYZ786442 KIV786442 KSR786442 LCN786442 LMJ786442 LWF786442 MGB786442 MPX786442 MZT786442 NJP786442 NTL786442 ODH786442 OND786442 OWZ786442 PGV786442 PQR786442 QAN786442 QKJ786442 QUF786442 REB786442 RNX786442 RXT786442 SHP786442 SRL786442 TBH786442 TLD786442 TUZ786442 UEV786442 UOR786442 UYN786442 VIJ786442 VSF786442 WCB786442 WLX786442 WVT786442 L851978 JH851978 TD851978 ACZ851978 AMV851978 AWR851978 BGN851978 BQJ851978 CAF851978 CKB851978 CTX851978 DDT851978 DNP851978 DXL851978 EHH851978 ERD851978 FAZ851978 FKV851978 FUR851978 GEN851978 GOJ851978 GYF851978 HIB851978 HRX851978 IBT851978 ILP851978 IVL851978 JFH851978 JPD851978 JYZ851978 KIV851978 KSR851978 LCN851978 LMJ851978 LWF851978 MGB851978 MPX851978 MZT851978 NJP851978 NTL851978 ODH851978 OND851978 OWZ851978 PGV851978 PQR851978 QAN851978 QKJ851978 QUF851978 REB851978 RNX851978 RXT851978 SHP851978 SRL851978 TBH851978 TLD851978 TUZ851978 UEV851978 UOR851978 UYN851978 VIJ851978 VSF851978 WCB851978 WLX851978 WVT851978 L917514 JH917514 TD917514 ACZ917514 AMV917514 AWR917514 BGN917514 BQJ917514 CAF917514 CKB917514 CTX917514 DDT917514 DNP917514 DXL917514 EHH917514 ERD917514 FAZ917514 FKV917514 FUR917514 GEN917514 GOJ917514 GYF917514 HIB917514 HRX917514 IBT917514 ILP917514 IVL917514 JFH917514 JPD917514 JYZ917514 KIV917514 KSR917514 LCN917514 LMJ917514 LWF917514 MGB917514 MPX917514 MZT917514 NJP917514 NTL917514 ODH917514 OND917514 OWZ917514 PGV917514 PQR917514 QAN917514 QKJ917514 QUF917514 REB917514 RNX917514 RXT917514 SHP917514 SRL917514 TBH917514 TLD917514 TUZ917514 UEV917514 UOR917514 UYN917514 VIJ917514 VSF917514 WCB917514 WLX917514 WVT917514 L983050 JH983050 TD983050 ACZ983050 AMV983050 AWR983050 BGN983050 BQJ983050 CAF983050 CKB983050 CTX983050 DDT983050 DNP983050 DXL983050 EHH983050 ERD983050 FAZ983050 FKV983050 FUR983050 GEN983050 GOJ983050 GYF983050 HIB983050 HRX983050 IBT983050 ILP983050 IVL983050 JFH983050 JPD983050 JYZ983050 KIV983050 KSR983050 LCN983050 LMJ983050 LWF983050 MGB983050 MPX983050 MZT983050 NJP983050 NTL983050 ODH983050 OND983050 OWZ983050 PGV983050 PQR983050 QAN983050 QKJ983050 QUF983050 REB983050 RNX983050 RXT983050 SHP983050 SRL983050 TBH983050 TLD983050 TUZ983050 UEV983050 UOR983050 UYN983050 VIJ983050 VSF983050 WCB983050 WLX983050">
      <formula1>$AG$5:$AG$12</formula1>
    </dataValidation>
    <dataValidation type="list" allowBlank="1" showInputMessage="1" showErrorMessage="1" sqref="WVT983049 JH9 TD9 ACZ9 AMV9 AWR9 BGN9 BQJ9 CAF9 CKB9 CTX9 DDT9 DNP9 DXL9 EHH9 ERD9 FAZ9 FKV9 FUR9 GEN9 GOJ9 GYF9 HIB9 HRX9 IBT9 ILP9 IVL9 JFH9 JPD9 JYZ9 KIV9 KSR9 LCN9 LMJ9 LWF9 MGB9 MPX9 MZT9 NJP9 NTL9 ODH9 OND9 OWZ9 PGV9 PQR9 QAN9 QKJ9 QUF9 REB9 RNX9 RXT9 SHP9 SRL9 TBH9 TLD9 TUZ9 UEV9 UOR9 UYN9 VIJ9 VSF9 WCB9 WLX9 WVT9 L65545 JH65545 TD65545 ACZ65545 AMV65545 AWR65545 BGN65545 BQJ65545 CAF65545 CKB65545 CTX65545 DDT65545 DNP65545 DXL65545 EHH65545 ERD65545 FAZ65545 FKV65545 FUR65545 GEN65545 GOJ65545 GYF65545 HIB65545 HRX65545 IBT65545 ILP65545 IVL65545 JFH65545 JPD65545 JYZ65545 KIV65545 KSR65545 LCN65545 LMJ65545 LWF65545 MGB65545 MPX65545 MZT65545 NJP65545 NTL65545 ODH65545 OND65545 OWZ65545 PGV65545 PQR65545 QAN65545 QKJ65545 QUF65545 REB65545 RNX65545 RXT65545 SHP65545 SRL65545 TBH65545 TLD65545 TUZ65545 UEV65545 UOR65545 UYN65545 VIJ65545 VSF65545 WCB65545 WLX65545 WVT65545 L131081 JH131081 TD131081 ACZ131081 AMV131081 AWR131081 BGN131081 BQJ131081 CAF131081 CKB131081 CTX131081 DDT131081 DNP131081 DXL131081 EHH131081 ERD131081 FAZ131081 FKV131081 FUR131081 GEN131081 GOJ131081 GYF131081 HIB131081 HRX131081 IBT131081 ILP131081 IVL131081 JFH131081 JPD131081 JYZ131081 KIV131081 KSR131081 LCN131081 LMJ131081 LWF131081 MGB131081 MPX131081 MZT131081 NJP131081 NTL131081 ODH131081 OND131081 OWZ131081 PGV131081 PQR131081 QAN131081 QKJ131081 QUF131081 REB131081 RNX131081 RXT131081 SHP131081 SRL131081 TBH131081 TLD131081 TUZ131081 UEV131081 UOR131081 UYN131081 VIJ131081 VSF131081 WCB131081 WLX131081 WVT131081 L196617 JH196617 TD196617 ACZ196617 AMV196617 AWR196617 BGN196617 BQJ196617 CAF196617 CKB196617 CTX196617 DDT196617 DNP196617 DXL196617 EHH196617 ERD196617 FAZ196617 FKV196617 FUR196617 GEN196617 GOJ196617 GYF196617 HIB196617 HRX196617 IBT196617 ILP196617 IVL196617 JFH196617 JPD196617 JYZ196617 KIV196617 KSR196617 LCN196617 LMJ196617 LWF196617 MGB196617 MPX196617 MZT196617 NJP196617 NTL196617 ODH196617 OND196617 OWZ196617 PGV196617 PQR196617 QAN196617 QKJ196617 QUF196617 REB196617 RNX196617 RXT196617 SHP196617 SRL196617 TBH196617 TLD196617 TUZ196617 UEV196617 UOR196617 UYN196617 VIJ196617 VSF196617 WCB196617 WLX196617 WVT196617 L262153 JH262153 TD262153 ACZ262153 AMV262153 AWR262153 BGN262153 BQJ262153 CAF262153 CKB262153 CTX262153 DDT262153 DNP262153 DXL262153 EHH262153 ERD262153 FAZ262153 FKV262153 FUR262153 GEN262153 GOJ262153 GYF262153 HIB262153 HRX262153 IBT262153 ILP262153 IVL262153 JFH262153 JPD262153 JYZ262153 KIV262153 KSR262153 LCN262153 LMJ262153 LWF262153 MGB262153 MPX262153 MZT262153 NJP262153 NTL262153 ODH262153 OND262153 OWZ262153 PGV262153 PQR262153 QAN262153 QKJ262153 QUF262153 REB262153 RNX262153 RXT262153 SHP262153 SRL262153 TBH262153 TLD262153 TUZ262153 UEV262153 UOR262153 UYN262153 VIJ262153 VSF262153 WCB262153 WLX262153 WVT262153 L327689 JH327689 TD327689 ACZ327689 AMV327689 AWR327689 BGN327689 BQJ327689 CAF327689 CKB327689 CTX327689 DDT327689 DNP327689 DXL327689 EHH327689 ERD327689 FAZ327689 FKV327689 FUR327689 GEN327689 GOJ327689 GYF327689 HIB327689 HRX327689 IBT327689 ILP327689 IVL327689 JFH327689 JPD327689 JYZ327689 KIV327689 KSR327689 LCN327689 LMJ327689 LWF327689 MGB327689 MPX327689 MZT327689 NJP327689 NTL327689 ODH327689 OND327689 OWZ327689 PGV327689 PQR327689 QAN327689 QKJ327689 QUF327689 REB327689 RNX327689 RXT327689 SHP327689 SRL327689 TBH327689 TLD327689 TUZ327689 UEV327689 UOR327689 UYN327689 VIJ327689 VSF327689 WCB327689 WLX327689 WVT327689 L393225 JH393225 TD393225 ACZ393225 AMV393225 AWR393225 BGN393225 BQJ393225 CAF393225 CKB393225 CTX393225 DDT393225 DNP393225 DXL393225 EHH393225 ERD393225 FAZ393225 FKV393225 FUR393225 GEN393225 GOJ393225 GYF393225 HIB393225 HRX393225 IBT393225 ILP393225 IVL393225 JFH393225 JPD393225 JYZ393225 KIV393225 KSR393225 LCN393225 LMJ393225 LWF393225 MGB393225 MPX393225 MZT393225 NJP393225 NTL393225 ODH393225 OND393225 OWZ393225 PGV393225 PQR393225 QAN393225 QKJ393225 QUF393225 REB393225 RNX393225 RXT393225 SHP393225 SRL393225 TBH393225 TLD393225 TUZ393225 UEV393225 UOR393225 UYN393225 VIJ393225 VSF393225 WCB393225 WLX393225 WVT393225 L458761 JH458761 TD458761 ACZ458761 AMV458761 AWR458761 BGN458761 BQJ458761 CAF458761 CKB458761 CTX458761 DDT458761 DNP458761 DXL458761 EHH458761 ERD458761 FAZ458761 FKV458761 FUR458761 GEN458761 GOJ458761 GYF458761 HIB458761 HRX458761 IBT458761 ILP458761 IVL458761 JFH458761 JPD458761 JYZ458761 KIV458761 KSR458761 LCN458761 LMJ458761 LWF458761 MGB458761 MPX458761 MZT458761 NJP458761 NTL458761 ODH458761 OND458761 OWZ458761 PGV458761 PQR458761 QAN458761 QKJ458761 QUF458761 REB458761 RNX458761 RXT458761 SHP458761 SRL458761 TBH458761 TLD458761 TUZ458761 UEV458761 UOR458761 UYN458761 VIJ458761 VSF458761 WCB458761 WLX458761 WVT458761 L524297 JH524297 TD524297 ACZ524297 AMV524297 AWR524297 BGN524297 BQJ524297 CAF524297 CKB524297 CTX524297 DDT524297 DNP524297 DXL524297 EHH524297 ERD524297 FAZ524297 FKV524297 FUR524297 GEN524297 GOJ524297 GYF524297 HIB524297 HRX524297 IBT524297 ILP524297 IVL524297 JFH524297 JPD524297 JYZ524297 KIV524297 KSR524297 LCN524297 LMJ524297 LWF524297 MGB524297 MPX524297 MZT524297 NJP524297 NTL524297 ODH524297 OND524297 OWZ524297 PGV524297 PQR524297 QAN524297 QKJ524297 QUF524297 REB524297 RNX524297 RXT524297 SHP524297 SRL524297 TBH524297 TLD524297 TUZ524297 UEV524297 UOR524297 UYN524297 VIJ524297 VSF524297 WCB524297 WLX524297 WVT524297 L589833 JH589833 TD589833 ACZ589833 AMV589833 AWR589833 BGN589833 BQJ589833 CAF589833 CKB589833 CTX589833 DDT589833 DNP589833 DXL589833 EHH589833 ERD589833 FAZ589833 FKV589833 FUR589833 GEN589833 GOJ589833 GYF589833 HIB589833 HRX589833 IBT589833 ILP589833 IVL589833 JFH589833 JPD589833 JYZ589833 KIV589833 KSR589833 LCN589833 LMJ589833 LWF589833 MGB589833 MPX589833 MZT589833 NJP589833 NTL589833 ODH589833 OND589833 OWZ589833 PGV589833 PQR589833 QAN589833 QKJ589833 QUF589833 REB589833 RNX589833 RXT589833 SHP589833 SRL589833 TBH589833 TLD589833 TUZ589833 UEV589833 UOR589833 UYN589833 VIJ589833 VSF589833 WCB589833 WLX589833 WVT589833 L655369 JH655369 TD655369 ACZ655369 AMV655369 AWR655369 BGN655369 BQJ655369 CAF655369 CKB655369 CTX655369 DDT655369 DNP655369 DXL655369 EHH655369 ERD655369 FAZ655369 FKV655369 FUR655369 GEN655369 GOJ655369 GYF655369 HIB655369 HRX655369 IBT655369 ILP655369 IVL655369 JFH655369 JPD655369 JYZ655369 KIV655369 KSR655369 LCN655369 LMJ655369 LWF655369 MGB655369 MPX655369 MZT655369 NJP655369 NTL655369 ODH655369 OND655369 OWZ655369 PGV655369 PQR655369 QAN655369 QKJ655369 QUF655369 REB655369 RNX655369 RXT655369 SHP655369 SRL655369 TBH655369 TLD655369 TUZ655369 UEV655369 UOR655369 UYN655369 VIJ655369 VSF655369 WCB655369 WLX655369 WVT655369 L720905 JH720905 TD720905 ACZ720905 AMV720905 AWR720905 BGN720905 BQJ720905 CAF720905 CKB720905 CTX720905 DDT720905 DNP720905 DXL720905 EHH720905 ERD720905 FAZ720905 FKV720905 FUR720905 GEN720905 GOJ720905 GYF720905 HIB720905 HRX720905 IBT720905 ILP720905 IVL720905 JFH720905 JPD720905 JYZ720905 KIV720905 KSR720905 LCN720905 LMJ720905 LWF720905 MGB720905 MPX720905 MZT720905 NJP720905 NTL720905 ODH720905 OND720905 OWZ720905 PGV720905 PQR720905 QAN720905 QKJ720905 QUF720905 REB720905 RNX720905 RXT720905 SHP720905 SRL720905 TBH720905 TLD720905 TUZ720905 UEV720905 UOR720905 UYN720905 VIJ720905 VSF720905 WCB720905 WLX720905 WVT720905 L786441 JH786441 TD786441 ACZ786441 AMV786441 AWR786441 BGN786441 BQJ786441 CAF786441 CKB786441 CTX786441 DDT786441 DNP786441 DXL786441 EHH786441 ERD786441 FAZ786441 FKV786441 FUR786441 GEN786441 GOJ786441 GYF786441 HIB786441 HRX786441 IBT786441 ILP786441 IVL786441 JFH786441 JPD786441 JYZ786441 KIV786441 KSR786441 LCN786441 LMJ786441 LWF786441 MGB786441 MPX786441 MZT786441 NJP786441 NTL786441 ODH786441 OND786441 OWZ786441 PGV786441 PQR786441 QAN786441 QKJ786441 QUF786441 REB786441 RNX786441 RXT786441 SHP786441 SRL786441 TBH786441 TLD786441 TUZ786441 UEV786441 UOR786441 UYN786441 VIJ786441 VSF786441 WCB786441 WLX786441 WVT786441 L851977 JH851977 TD851977 ACZ851977 AMV851977 AWR851977 BGN851977 BQJ851977 CAF851977 CKB851977 CTX851977 DDT851977 DNP851977 DXL851977 EHH851977 ERD851977 FAZ851977 FKV851977 FUR851977 GEN851977 GOJ851977 GYF851977 HIB851977 HRX851977 IBT851977 ILP851977 IVL851977 JFH851977 JPD851977 JYZ851977 KIV851977 KSR851977 LCN851977 LMJ851977 LWF851977 MGB851977 MPX851977 MZT851977 NJP851977 NTL851977 ODH851977 OND851977 OWZ851977 PGV851977 PQR851977 QAN851977 QKJ851977 QUF851977 REB851977 RNX851977 RXT851977 SHP851977 SRL851977 TBH851977 TLD851977 TUZ851977 UEV851977 UOR851977 UYN851977 VIJ851977 VSF851977 WCB851977 WLX851977 WVT851977 L917513 JH917513 TD917513 ACZ917513 AMV917513 AWR917513 BGN917513 BQJ917513 CAF917513 CKB917513 CTX917513 DDT917513 DNP917513 DXL917513 EHH917513 ERD917513 FAZ917513 FKV917513 FUR917513 GEN917513 GOJ917513 GYF917513 HIB917513 HRX917513 IBT917513 ILP917513 IVL917513 JFH917513 JPD917513 JYZ917513 KIV917513 KSR917513 LCN917513 LMJ917513 LWF917513 MGB917513 MPX917513 MZT917513 NJP917513 NTL917513 ODH917513 OND917513 OWZ917513 PGV917513 PQR917513 QAN917513 QKJ917513 QUF917513 REB917513 RNX917513 RXT917513 SHP917513 SRL917513 TBH917513 TLD917513 TUZ917513 UEV917513 UOR917513 UYN917513 VIJ917513 VSF917513 WCB917513 WLX917513 WVT917513 L983049 JH983049 TD983049 ACZ983049 AMV983049 AWR983049 BGN983049 BQJ983049 CAF983049 CKB983049 CTX983049 DDT983049 DNP983049 DXL983049 EHH983049 ERD983049 FAZ983049 FKV983049 FUR983049 GEN983049 GOJ983049 GYF983049 HIB983049 HRX983049 IBT983049 ILP983049 IVL983049 JFH983049 JPD983049 JYZ983049 KIV983049 KSR983049 LCN983049 LMJ983049 LWF983049 MGB983049 MPX983049 MZT983049 NJP983049 NTL983049 ODH983049 OND983049 OWZ983049 PGV983049 PQR983049 QAN983049 QKJ983049 QUF983049 REB983049 RNX983049 RXT983049 SHP983049 SRL983049 TBH983049 TLD983049 TUZ983049 UEV983049 UOR983049 UYN983049 VIJ983049 VSF983049 WCB983049 WLX983049">
      <formula1>$AE$5:$AE$12</formula1>
    </dataValidation>
    <dataValidation type="decimal" allowBlank="1" showInputMessage="1" showErrorMessage="1" sqref="WVT983073:WVT983078 JH33:JH38 TD33:TD38 ACZ33:ACZ38 AMV33:AMV38 AWR33:AWR38 BGN33:BGN38 BQJ33:BQJ38 CAF33:CAF38 CKB33:CKB38 CTX33:CTX38 DDT33:DDT38 DNP33:DNP38 DXL33:DXL38 EHH33:EHH38 ERD33:ERD38 FAZ33:FAZ38 FKV33:FKV38 FUR33:FUR38 GEN33:GEN38 GOJ33:GOJ38 GYF33:GYF38 HIB33:HIB38 HRX33:HRX38 IBT33:IBT38 ILP33:ILP38 IVL33:IVL38 JFH33:JFH38 JPD33:JPD38 JYZ33:JYZ38 KIV33:KIV38 KSR33:KSR38 LCN33:LCN38 LMJ33:LMJ38 LWF33:LWF38 MGB33:MGB38 MPX33:MPX38 MZT33:MZT38 NJP33:NJP38 NTL33:NTL38 ODH33:ODH38 OND33:OND38 OWZ33:OWZ38 PGV33:PGV38 PQR33:PQR38 QAN33:QAN38 QKJ33:QKJ38 QUF33:QUF38 REB33:REB38 RNX33:RNX38 RXT33:RXT38 SHP33:SHP38 SRL33:SRL38 TBH33:TBH38 TLD33:TLD38 TUZ33:TUZ38 UEV33:UEV38 UOR33:UOR38 UYN33:UYN38 VIJ33:VIJ38 VSF33:VSF38 WCB33:WCB38 WLX33:WLX38 WVT33:WVT38 L65569:L65574 JH65569:JH65574 TD65569:TD65574 ACZ65569:ACZ65574 AMV65569:AMV65574 AWR65569:AWR65574 BGN65569:BGN65574 BQJ65569:BQJ65574 CAF65569:CAF65574 CKB65569:CKB65574 CTX65569:CTX65574 DDT65569:DDT65574 DNP65569:DNP65574 DXL65569:DXL65574 EHH65569:EHH65574 ERD65569:ERD65574 FAZ65569:FAZ65574 FKV65569:FKV65574 FUR65569:FUR65574 GEN65569:GEN65574 GOJ65569:GOJ65574 GYF65569:GYF65574 HIB65569:HIB65574 HRX65569:HRX65574 IBT65569:IBT65574 ILP65569:ILP65574 IVL65569:IVL65574 JFH65569:JFH65574 JPD65569:JPD65574 JYZ65569:JYZ65574 KIV65569:KIV65574 KSR65569:KSR65574 LCN65569:LCN65574 LMJ65569:LMJ65574 LWF65569:LWF65574 MGB65569:MGB65574 MPX65569:MPX65574 MZT65569:MZT65574 NJP65569:NJP65574 NTL65569:NTL65574 ODH65569:ODH65574 OND65569:OND65574 OWZ65569:OWZ65574 PGV65569:PGV65574 PQR65569:PQR65574 QAN65569:QAN65574 QKJ65569:QKJ65574 QUF65569:QUF65574 REB65569:REB65574 RNX65569:RNX65574 RXT65569:RXT65574 SHP65569:SHP65574 SRL65569:SRL65574 TBH65569:TBH65574 TLD65569:TLD65574 TUZ65569:TUZ65574 UEV65569:UEV65574 UOR65569:UOR65574 UYN65569:UYN65574 VIJ65569:VIJ65574 VSF65569:VSF65574 WCB65569:WCB65574 WLX65569:WLX65574 WVT65569:WVT65574 L131105:L131110 JH131105:JH131110 TD131105:TD131110 ACZ131105:ACZ131110 AMV131105:AMV131110 AWR131105:AWR131110 BGN131105:BGN131110 BQJ131105:BQJ131110 CAF131105:CAF131110 CKB131105:CKB131110 CTX131105:CTX131110 DDT131105:DDT131110 DNP131105:DNP131110 DXL131105:DXL131110 EHH131105:EHH131110 ERD131105:ERD131110 FAZ131105:FAZ131110 FKV131105:FKV131110 FUR131105:FUR131110 GEN131105:GEN131110 GOJ131105:GOJ131110 GYF131105:GYF131110 HIB131105:HIB131110 HRX131105:HRX131110 IBT131105:IBT131110 ILP131105:ILP131110 IVL131105:IVL131110 JFH131105:JFH131110 JPD131105:JPD131110 JYZ131105:JYZ131110 KIV131105:KIV131110 KSR131105:KSR131110 LCN131105:LCN131110 LMJ131105:LMJ131110 LWF131105:LWF131110 MGB131105:MGB131110 MPX131105:MPX131110 MZT131105:MZT131110 NJP131105:NJP131110 NTL131105:NTL131110 ODH131105:ODH131110 OND131105:OND131110 OWZ131105:OWZ131110 PGV131105:PGV131110 PQR131105:PQR131110 QAN131105:QAN131110 QKJ131105:QKJ131110 QUF131105:QUF131110 REB131105:REB131110 RNX131105:RNX131110 RXT131105:RXT131110 SHP131105:SHP131110 SRL131105:SRL131110 TBH131105:TBH131110 TLD131105:TLD131110 TUZ131105:TUZ131110 UEV131105:UEV131110 UOR131105:UOR131110 UYN131105:UYN131110 VIJ131105:VIJ131110 VSF131105:VSF131110 WCB131105:WCB131110 WLX131105:WLX131110 WVT131105:WVT131110 L196641:L196646 JH196641:JH196646 TD196641:TD196646 ACZ196641:ACZ196646 AMV196641:AMV196646 AWR196641:AWR196646 BGN196641:BGN196646 BQJ196641:BQJ196646 CAF196641:CAF196646 CKB196641:CKB196646 CTX196641:CTX196646 DDT196641:DDT196646 DNP196641:DNP196646 DXL196641:DXL196646 EHH196641:EHH196646 ERD196641:ERD196646 FAZ196641:FAZ196646 FKV196641:FKV196646 FUR196641:FUR196646 GEN196641:GEN196646 GOJ196641:GOJ196646 GYF196641:GYF196646 HIB196641:HIB196646 HRX196641:HRX196646 IBT196641:IBT196646 ILP196641:ILP196646 IVL196641:IVL196646 JFH196641:JFH196646 JPD196641:JPD196646 JYZ196641:JYZ196646 KIV196641:KIV196646 KSR196641:KSR196646 LCN196641:LCN196646 LMJ196641:LMJ196646 LWF196641:LWF196646 MGB196641:MGB196646 MPX196641:MPX196646 MZT196641:MZT196646 NJP196641:NJP196646 NTL196641:NTL196646 ODH196641:ODH196646 OND196641:OND196646 OWZ196641:OWZ196646 PGV196641:PGV196646 PQR196641:PQR196646 QAN196641:QAN196646 QKJ196641:QKJ196646 QUF196641:QUF196646 REB196641:REB196646 RNX196641:RNX196646 RXT196641:RXT196646 SHP196641:SHP196646 SRL196641:SRL196646 TBH196641:TBH196646 TLD196641:TLD196646 TUZ196641:TUZ196646 UEV196641:UEV196646 UOR196641:UOR196646 UYN196641:UYN196646 VIJ196641:VIJ196646 VSF196641:VSF196646 WCB196641:WCB196646 WLX196641:WLX196646 WVT196641:WVT196646 L262177:L262182 JH262177:JH262182 TD262177:TD262182 ACZ262177:ACZ262182 AMV262177:AMV262182 AWR262177:AWR262182 BGN262177:BGN262182 BQJ262177:BQJ262182 CAF262177:CAF262182 CKB262177:CKB262182 CTX262177:CTX262182 DDT262177:DDT262182 DNP262177:DNP262182 DXL262177:DXL262182 EHH262177:EHH262182 ERD262177:ERD262182 FAZ262177:FAZ262182 FKV262177:FKV262182 FUR262177:FUR262182 GEN262177:GEN262182 GOJ262177:GOJ262182 GYF262177:GYF262182 HIB262177:HIB262182 HRX262177:HRX262182 IBT262177:IBT262182 ILP262177:ILP262182 IVL262177:IVL262182 JFH262177:JFH262182 JPD262177:JPD262182 JYZ262177:JYZ262182 KIV262177:KIV262182 KSR262177:KSR262182 LCN262177:LCN262182 LMJ262177:LMJ262182 LWF262177:LWF262182 MGB262177:MGB262182 MPX262177:MPX262182 MZT262177:MZT262182 NJP262177:NJP262182 NTL262177:NTL262182 ODH262177:ODH262182 OND262177:OND262182 OWZ262177:OWZ262182 PGV262177:PGV262182 PQR262177:PQR262182 QAN262177:QAN262182 QKJ262177:QKJ262182 QUF262177:QUF262182 REB262177:REB262182 RNX262177:RNX262182 RXT262177:RXT262182 SHP262177:SHP262182 SRL262177:SRL262182 TBH262177:TBH262182 TLD262177:TLD262182 TUZ262177:TUZ262182 UEV262177:UEV262182 UOR262177:UOR262182 UYN262177:UYN262182 VIJ262177:VIJ262182 VSF262177:VSF262182 WCB262177:WCB262182 WLX262177:WLX262182 WVT262177:WVT262182 L327713:L327718 JH327713:JH327718 TD327713:TD327718 ACZ327713:ACZ327718 AMV327713:AMV327718 AWR327713:AWR327718 BGN327713:BGN327718 BQJ327713:BQJ327718 CAF327713:CAF327718 CKB327713:CKB327718 CTX327713:CTX327718 DDT327713:DDT327718 DNP327713:DNP327718 DXL327713:DXL327718 EHH327713:EHH327718 ERD327713:ERD327718 FAZ327713:FAZ327718 FKV327713:FKV327718 FUR327713:FUR327718 GEN327713:GEN327718 GOJ327713:GOJ327718 GYF327713:GYF327718 HIB327713:HIB327718 HRX327713:HRX327718 IBT327713:IBT327718 ILP327713:ILP327718 IVL327713:IVL327718 JFH327713:JFH327718 JPD327713:JPD327718 JYZ327713:JYZ327718 KIV327713:KIV327718 KSR327713:KSR327718 LCN327713:LCN327718 LMJ327713:LMJ327718 LWF327713:LWF327718 MGB327713:MGB327718 MPX327713:MPX327718 MZT327713:MZT327718 NJP327713:NJP327718 NTL327713:NTL327718 ODH327713:ODH327718 OND327713:OND327718 OWZ327713:OWZ327718 PGV327713:PGV327718 PQR327713:PQR327718 QAN327713:QAN327718 QKJ327713:QKJ327718 QUF327713:QUF327718 REB327713:REB327718 RNX327713:RNX327718 RXT327713:RXT327718 SHP327713:SHP327718 SRL327713:SRL327718 TBH327713:TBH327718 TLD327713:TLD327718 TUZ327713:TUZ327718 UEV327713:UEV327718 UOR327713:UOR327718 UYN327713:UYN327718 VIJ327713:VIJ327718 VSF327713:VSF327718 WCB327713:WCB327718 WLX327713:WLX327718 WVT327713:WVT327718 L393249:L393254 JH393249:JH393254 TD393249:TD393254 ACZ393249:ACZ393254 AMV393249:AMV393254 AWR393249:AWR393254 BGN393249:BGN393254 BQJ393249:BQJ393254 CAF393249:CAF393254 CKB393249:CKB393254 CTX393249:CTX393254 DDT393249:DDT393254 DNP393249:DNP393254 DXL393249:DXL393254 EHH393249:EHH393254 ERD393249:ERD393254 FAZ393249:FAZ393254 FKV393249:FKV393254 FUR393249:FUR393254 GEN393249:GEN393254 GOJ393249:GOJ393254 GYF393249:GYF393254 HIB393249:HIB393254 HRX393249:HRX393254 IBT393249:IBT393254 ILP393249:ILP393254 IVL393249:IVL393254 JFH393249:JFH393254 JPD393249:JPD393254 JYZ393249:JYZ393254 KIV393249:KIV393254 KSR393249:KSR393254 LCN393249:LCN393254 LMJ393249:LMJ393254 LWF393249:LWF393254 MGB393249:MGB393254 MPX393249:MPX393254 MZT393249:MZT393254 NJP393249:NJP393254 NTL393249:NTL393254 ODH393249:ODH393254 OND393249:OND393254 OWZ393249:OWZ393254 PGV393249:PGV393254 PQR393249:PQR393254 QAN393249:QAN393254 QKJ393249:QKJ393254 QUF393249:QUF393254 REB393249:REB393254 RNX393249:RNX393254 RXT393249:RXT393254 SHP393249:SHP393254 SRL393249:SRL393254 TBH393249:TBH393254 TLD393249:TLD393254 TUZ393249:TUZ393254 UEV393249:UEV393254 UOR393249:UOR393254 UYN393249:UYN393254 VIJ393249:VIJ393254 VSF393249:VSF393254 WCB393249:WCB393254 WLX393249:WLX393254 WVT393249:WVT393254 L458785:L458790 JH458785:JH458790 TD458785:TD458790 ACZ458785:ACZ458790 AMV458785:AMV458790 AWR458785:AWR458790 BGN458785:BGN458790 BQJ458785:BQJ458790 CAF458785:CAF458790 CKB458785:CKB458790 CTX458785:CTX458790 DDT458785:DDT458790 DNP458785:DNP458790 DXL458785:DXL458790 EHH458785:EHH458790 ERD458785:ERD458790 FAZ458785:FAZ458790 FKV458785:FKV458790 FUR458785:FUR458790 GEN458785:GEN458790 GOJ458785:GOJ458790 GYF458785:GYF458790 HIB458785:HIB458790 HRX458785:HRX458790 IBT458785:IBT458790 ILP458785:ILP458790 IVL458785:IVL458790 JFH458785:JFH458790 JPD458785:JPD458790 JYZ458785:JYZ458790 KIV458785:KIV458790 KSR458785:KSR458790 LCN458785:LCN458790 LMJ458785:LMJ458790 LWF458785:LWF458790 MGB458785:MGB458790 MPX458785:MPX458790 MZT458785:MZT458790 NJP458785:NJP458790 NTL458785:NTL458790 ODH458785:ODH458790 OND458785:OND458790 OWZ458785:OWZ458790 PGV458785:PGV458790 PQR458785:PQR458790 QAN458785:QAN458790 QKJ458785:QKJ458790 QUF458785:QUF458790 REB458785:REB458790 RNX458785:RNX458790 RXT458785:RXT458790 SHP458785:SHP458790 SRL458785:SRL458790 TBH458785:TBH458790 TLD458785:TLD458790 TUZ458785:TUZ458790 UEV458785:UEV458790 UOR458785:UOR458790 UYN458785:UYN458790 VIJ458785:VIJ458790 VSF458785:VSF458790 WCB458785:WCB458790 WLX458785:WLX458790 WVT458785:WVT458790 L524321:L524326 JH524321:JH524326 TD524321:TD524326 ACZ524321:ACZ524326 AMV524321:AMV524326 AWR524321:AWR524326 BGN524321:BGN524326 BQJ524321:BQJ524326 CAF524321:CAF524326 CKB524321:CKB524326 CTX524321:CTX524326 DDT524321:DDT524326 DNP524321:DNP524326 DXL524321:DXL524326 EHH524321:EHH524326 ERD524321:ERD524326 FAZ524321:FAZ524326 FKV524321:FKV524326 FUR524321:FUR524326 GEN524321:GEN524326 GOJ524321:GOJ524326 GYF524321:GYF524326 HIB524321:HIB524326 HRX524321:HRX524326 IBT524321:IBT524326 ILP524321:ILP524326 IVL524321:IVL524326 JFH524321:JFH524326 JPD524321:JPD524326 JYZ524321:JYZ524326 KIV524321:KIV524326 KSR524321:KSR524326 LCN524321:LCN524326 LMJ524321:LMJ524326 LWF524321:LWF524326 MGB524321:MGB524326 MPX524321:MPX524326 MZT524321:MZT524326 NJP524321:NJP524326 NTL524321:NTL524326 ODH524321:ODH524326 OND524321:OND524326 OWZ524321:OWZ524326 PGV524321:PGV524326 PQR524321:PQR524326 QAN524321:QAN524326 QKJ524321:QKJ524326 QUF524321:QUF524326 REB524321:REB524326 RNX524321:RNX524326 RXT524321:RXT524326 SHP524321:SHP524326 SRL524321:SRL524326 TBH524321:TBH524326 TLD524321:TLD524326 TUZ524321:TUZ524326 UEV524321:UEV524326 UOR524321:UOR524326 UYN524321:UYN524326 VIJ524321:VIJ524326 VSF524321:VSF524326 WCB524321:WCB524326 WLX524321:WLX524326 WVT524321:WVT524326 L589857:L589862 JH589857:JH589862 TD589857:TD589862 ACZ589857:ACZ589862 AMV589857:AMV589862 AWR589857:AWR589862 BGN589857:BGN589862 BQJ589857:BQJ589862 CAF589857:CAF589862 CKB589857:CKB589862 CTX589857:CTX589862 DDT589857:DDT589862 DNP589857:DNP589862 DXL589857:DXL589862 EHH589857:EHH589862 ERD589857:ERD589862 FAZ589857:FAZ589862 FKV589857:FKV589862 FUR589857:FUR589862 GEN589857:GEN589862 GOJ589857:GOJ589862 GYF589857:GYF589862 HIB589857:HIB589862 HRX589857:HRX589862 IBT589857:IBT589862 ILP589857:ILP589862 IVL589857:IVL589862 JFH589857:JFH589862 JPD589857:JPD589862 JYZ589857:JYZ589862 KIV589857:KIV589862 KSR589857:KSR589862 LCN589857:LCN589862 LMJ589857:LMJ589862 LWF589857:LWF589862 MGB589857:MGB589862 MPX589857:MPX589862 MZT589857:MZT589862 NJP589857:NJP589862 NTL589857:NTL589862 ODH589857:ODH589862 OND589857:OND589862 OWZ589857:OWZ589862 PGV589857:PGV589862 PQR589857:PQR589862 QAN589857:QAN589862 QKJ589857:QKJ589862 QUF589857:QUF589862 REB589857:REB589862 RNX589857:RNX589862 RXT589857:RXT589862 SHP589857:SHP589862 SRL589857:SRL589862 TBH589857:TBH589862 TLD589857:TLD589862 TUZ589857:TUZ589862 UEV589857:UEV589862 UOR589857:UOR589862 UYN589857:UYN589862 VIJ589857:VIJ589862 VSF589857:VSF589862 WCB589857:WCB589862 WLX589857:WLX589862 WVT589857:WVT589862 L655393:L655398 JH655393:JH655398 TD655393:TD655398 ACZ655393:ACZ655398 AMV655393:AMV655398 AWR655393:AWR655398 BGN655393:BGN655398 BQJ655393:BQJ655398 CAF655393:CAF655398 CKB655393:CKB655398 CTX655393:CTX655398 DDT655393:DDT655398 DNP655393:DNP655398 DXL655393:DXL655398 EHH655393:EHH655398 ERD655393:ERD655398 FAZ655393:FAZ655398 FKV655393:FKV655398 FUR655393:FUR655398 GEN655393:GEN655398 GOJ655393:GOJ655398 GYF655393:GYF655398 HIB655393:HIB655398 HRX655393:HRX655398 IBT655393:IBT655398 ILP655393:ILP655398 IVL655393:IVL655398 JFH655393:JFH655398 JPD655393:JPD655398 JYZ655393:JYZ655398 KIV655393:KIV655398 KSR655393:KSR655398 LCN655393:LCN655398 LMJ655393:LMJ655398 LWF655393:LWF655398 MGB655393:MGB655398 MPX655393:MPX655398 MZT655393:MZT655398 NJP655393:NJP655398 NTL655393:NTL655398 ODH655393:ODH655398 OND655393:OND655398 OWZ655393:OWZ655398 PGV655393:PGV655398 PQR655393:PQR655398 QAN655393:QAN655398 QKJ655393:QKJ655398 QUF655393:QUF655398 REB655393:REB655398 RNX655393:RNX655398 RXT655393:RXT655398 SHP655393:SHP655398 SRL655393:SRL655398 TBH655393:TBH655398 TLD655393:TLD655398 TUZ655393:TUZ655398 UEV655393:UEV655398 UOR655393:UOR655398 UYN655393:UYN655398 VIJ655393:VIJ655398 VSF655393:VSF655398 WCB655393:WCB655398 WLX655393:WLX655398 WVT655393:WVT655398 L720929:L720934 JH720929:JH720934 TD720929:TD720934 ACZ720929:ACZ720934 AMV720929:AMV720934 AWR720929:AWR720934 BGN720929:BGN720934 BQJ720929:BQJ720934 CAF720929:CAF720934 CKB720929:CKB720934 CTX720929:CTX720934 DDT720929:DDT720934 DNP720929:DNP720934 DXL720929:DXL720934 EHH720929:EHH720934 ERD720929:ERD720934 FAZ720929:FAZ720934 FKV720929:FKV720934 FUR720929:FUR720934 GEN720929:GEN720934 GOJ720929:GOJ720934 GYF720929:GYF720934 HIB720929:HIB720934 HRX720929:HRX720934 IBT720929:IBT720934 ILP720929:ILP720934 IVL720929:IVL720934 JFH720929:JFH720934 JPD720929:JPD720934 JYZ720929:JYZ720934 KIV720929:KIV720934 KSR720929:KSR720934 LCN720929:LCN720934 LMJ720929:LMJ720934 LWF720929:LWF720934 MGB720929:MGB720934 MPX720929:MPX720934 MZT720929:MZT720934 NJP720929:NJP720934 NTL720929:NTL720934 ODH720929:ODH720934 OND720929:OND720934 OWZ720929:OWZ720934 PGV720929:PGV720934 PQR720929:PQR720934 QAN720929:QAN720934 QKJ720929:QKJ720934 QUF720929:QUF720934 REB720929:REB720934 RNX720929:RNX720934 RXT720929:RXT720934 SHP720929:SHP720934 SRL720929:SRL720934 TBH720929:TBH720934 TLD720929:TLD720934 TUZ720929:TUZ720934 UEV720929:UEV720934 UOR720929:UOR720934 UYN720929:UYN720934 VIJ720929:VIJ720934 VSF720929:VSF720934 WCB720929:WCB720934 WLX720929:WLX720934 WVT720929:WVT720934 L786465:L786470 JH786465:JH786470 TD786465:TD786470 ACZ786465:ACZ786470 AMV786465:AMV786470 AWR786465:AWR786470 BGN786465:BGN786470 BQJ786465:BQJ786470 CAF786465:CAF786470 CKB786465:CKB786470 CTX786465:CTX786470 DDT786465:DDT786470 DNP786465:DNP786470 DXL786465:DXL786470 EHH786465:EHH786470 ERD786465:ERD786470 FAZ786465:FAZ786470 FKV786465:FKV786470 FUR786465:FUR786470 GEN786465:GEN786470 GOJ786465:GOJ786470 GYF786465:GYF786470 HIB786465:HIB786470 HRX786465:HRX786470 IBT786465:IBT786470 ILP786465:ILP786470 IVL786465:IVL786470 JFH786465:JFH786470 JPD786465:JPD786470 JYZ786465:JYZ786470 KIV786465:KIV786470 KSR786465:KSR786470 LCN786465:LCN786470 LMJ786465:LMJ786470 LWF786465:LWF786470 MGB786465:MGB786470 MPX786465:MPX786470 MZT786465:MZT786470 NJP786465:NJP786470 NTL786465:NTL786470 ODH786465:ODH786470 OND786465:OND786470 OWZ786465:OWZ786470 PGV786465:PGV786470 PQR786465:PQR786470 QAN786465:QAN786470 QKJ786465:QKJ786470 QUF786465:QUF786470 REB786465:REB786470 RNX786465:RNX786470 RXT786465:RXT786470 SHP786465:SHP786470 SRL786465:SRL786470 TBH786465:TBH786470 TLD786465:TLD786470 TUZ786465:TUZ786470 UEV786465:UEV786470 UOR786465:UOR786470 UYN786465:UYN786470 VIJ786465:VIJ786470 VSF786465:VSF786470 WCB786465:WCB786470 WLX786465:WLX786470 WVT786465:WVT786470 L852001:L852006 JH852001:JH852006 TD852001:TD852006 ACZ852001:ACZ852006 AMV852001:AMV852006 AWR852001:AWR852006 BGN852001:BGN852006 BQJ852001:BQJ852006 CAF852001:CAF852006 CKB852001:CKB852006 CTX852001:CTX852006 DDT852001:DDT852006 DNP852001:DNP852006 DXL852001:DXL852006 EHH852001:EHH852006 ERD852001:ERD852006 FAZ852001:FAZ852006 FKV852001:FKV852006 FUR852001:FUR852006 GEN852001:GEN852006 GOJ852001:GOJ852006 GYF852001:GYF852006 HIB852001:HIB852006 HRX852001:HRX852006 IBT852001:IBT852006 ILP852001:ILP852006 IVL852001:IVL852006 JFH852001:JFH852006 JPD852001:JPD852006 JYZ852001:JYZ852006 KIV852001:KIV852006 KSR852001:KSR852006 LCN852001:LCN852006 LMJ852001:LMJ852006 LWF852001:LWF852006 MGB852001:MGB852006 MPX852001:MPX852006 MZT852001:MZT852006 NJP852001:NJP852006 NTL852001:NTL852006 ODH852001:ODH852006 OND852001:OND852006 OWZ852001:OWZ852006 PGV852001:PGV852006 PQR852001:PQR852006 QAN852001:QAN852006 QKJ852001:QKJ852006 QUF852001:QUF852006 REB852001:REB852006 RNX852001:RNX852006 RXT852001:RXT852006 SHP852001:SHP852006 SRL852001:SRL852006 TBH852001:TBH852006 TLD852001:TLD852006 TUZ852001:TUZ852006 UEV852001:UEV852006 UOR852001:UOR852006 UYN852001:UYN852006 VIJ852001:VIJ852006 VSF852001:VSF852006 WCB852001:WCB852006 WLX852001:WLX852006 WVT852001:WVT852006 L917537:L917542 JH917537:JH917542 TD917537:TD917542 ACZ917537:ACZ917542 AMV917537:AMV917542 AWR917537:AWR917542 BGN917537:BGN917542 BQJ917537:BQJ917542 CAF917537:CAF917542 CKB917537:CKB917542 CTX917537:CTX917542 DDT917537:DDT917542 DNP917537:DNP917542 DXL917537:DXL917542 EHH917537:EHH917542 ERD917537:ERD917542 FAZ917537:FAZ917542 FKV917537:FKV917542 FUR917537:FUR917542 GEN917537:GEN917542 GOJ917537:GOJ917542 GYF917537:GYF917542 HIB917537:HIB917542 HRX917537:HRX917542 IBT917537:IBT917542 ILP917537:ILP917542 IVL917537:IVL917542 JFH917537:JFH917542 JPD917537:JPD917542 JYZ917537:JYZ917542 KIV917537:KIV917542 KSR917537:KSR917542 LCN917537:LCN917542 LMJ917537:LMJ917542 LWF917537:LWF917542 MGB917537:MGB917542 MPX917537:MPX917542 MZT917537:MZT917542 NJP917537:NJP917542 NTL917537:NTL917542 ODH917537:ODH917542 OND917537:OND917542 OWZ917537:OWZ917542 PGV917537:PGV917542 PQR917537:PQR917542 QAN917537:QAN917542 QKJ917537:QKJ917542 QUF917537:QUF917542 REB917537:REB917542 RNX917537:RNX917542 RXT917537:RXT917542 SHP917537:SHP917542 SRL917537:SRL917542 TBH917537:TBH917542 TLD917537:TLD917542 TUZ917537:TUZ917542 UEV917537:UEV917542 UOR917537:UOR917542 UYN917537:UYN917542 VIJ917537:VIJ917542 VSF917537:VSF917542 WCB917537:WCB917542 WLX917537:WLX917542 WVT917537:WVT917542 L983073:L983078 JH983073:JH983078 TD983073:TD983078 ACZ983073:ACZ983078 AMV983073:AMV983078 AWR983073:AWR983078 BGN983073:BGN983078 BQJ983073:BQJ983078 CAF983073:CAF983078 CKB983073:CKB983078 CTX983073:CTX983078 DDT983073:DDT983078 DNP983073:DNP983078 DXL983073:DXL983078 EHH983073:EHH983078 ERD983073:ERD983078 FAZ983073:FAZ983078 FKV983073:FKV983078 FUR983073:FUR983078 GEN983073:GEN983078 GOJ983073:GOJ983078 GYF983073:GYF983078 HIB983073:HIB983078 HRX983073:HRX983078 IBT983073:IBT983078 ILP983073:ILP983078 IVL983073:IVL983078 JFH983073:JFH983078 JPD983073:JPD983078 JYZ983073:JYZ983078 KIV983073:KIV983078 KSR983073:KSR983078 LCN983073:LCN983078 LMJ983073:LMJ983078 LWF983073:LWF983078 MGB983073:MGB983078 MPX983073:MPX983078 MZT983073:MZT983078 NJP983073:NJP983078 NTL983073:NTL983078 ODH983073:ODH983078 OND983073:OND983078 OWZ983073:OWZ983078 PGV983073:PGV983078 PQR983073:PQR983078 QAN983073:QAN983078 QKJ983073:QKJ983078 QUF983073:QUF983078 REB983073:REB983078 RNX983073:RNX983078 RXT983073:RXT983078 SHP983073:SHP983078 SRL983073:SRL983078 TBH983073:TBH983078 TLD983073:TLD983078 TUZ983073:TUZ983078 UEV983073:UEV983078 UOR983073:UOR983078 UYN983073:UYN983078 VIJ983073:VIJ983078 VSF983073:VSF983078 WCB983073:WCB983078 WLX983073:WLX983078">
      <formula1>0</formula1>
      <formula2>500</formula2>
    </dataValidation>
  </dataValidations>
  <pageMargins left="0.7" right="0.7" top="0.75" bottom="0.75" header="0.3" footer="0.3"/>
  <pageSetup scale="65" fitToWidth="0" fitToHeight="0"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FA6234"/>
  <sheetViews>
    <sheetView showGridLines="0" view="pageBreakPreview" zoomScale="70" zoomScaleNormal="70" zoomScaleSheetLayoutView="70" workbookViewId="0">
      <pane xSplit="7" ySplit="14" topLeftCell="H15" activePane="bottomRight" state="frozen"/>
      <selection activeCell="D5" sqref="D5"/>
      <selection pane="topRight" activeCell="H5" sqref="H5"/>
      <selection pane="bottomLeft" activeCell="D7" sqref="D7"/>
      <selection pane="bottomRight" activeCell="A6000" sqref="A6000:A6234"/>
    </sheetView>
  </sheetViews>
  <sheetFormatPr defaultColWidth="9.7109375" defaultRowHeight="12.75" x14ac:dyDescent="0.2"/>
  <cols>
    <col min="1" max="1" width="13" style="26" hidden="1" customWidth="1"/>
    <col min="2" max="2" width="13.28515625" style="26" hidden="1" customWidth="1"/>
    <col min="3" max="3" width="7.140625" style="26" hidden="1" customWidth="1"/>
    <col min="4" max="4" width="31.28515625" style="26" customWidth="1"/>
    <col min="5" max="5" width="12.5703125" style="26" customWidth="1"/>
    <col min="6" max="6" width="10.140625" style="26" customWidth="1"/>
    <col min="7" max="7" width="10.7109375" style="26" customWidth="1"/>
    <col min="8" max="242" width="12.7109375" style="26" customWidth="1"/>
    <col min="243" max="16381" width="9.7109375" style="26"/>
  </cols>
  <sheetData>
    <row r="1" spans="2:242" ht="21" hidden="1" customHeight="1" x14ac:dyDescent="0.2">
      <c r="B1" s="26" t="s">
        <v>246</v>
      </c>
    </row>
    <row r="2" spans="2:242" ht="15.75" hidden="1" customHeight="1" x14ac:dyDescent="0.2">
      <c r="B2" s="26" t="s">
        <v>247</v>
      </c>
      <c r="C2" s="26">
        <v>0.99990000000000001</v>
      </c>
      <c r="H2" s="5">
        <v>101</v>
      </c>
      <c r="I2" s="5">
        <v>102</v>
      </c>
      <c r="J2" s="5">
        <v>103</v>
      </c>
      <c r="K2" s="5">
        <v>104</v>
      </c>
      <c r="L2" s="5">
        <v>105</v>
      </c>
      <c r="M2" s="5">
        <v>106</v>
      </c>
      <c r="N2" s="5">
        <v>201</v>
      </c>
      <c r="O2" s="5">
        <v>202</v>
      </c>
      <c r="P2" s="5">
        <v>203</v>
      </c>
      <c r="Q2" s="5" t="s">
        <v>202</v>
      </c>
      <c r="R2" s="5">
        <v>204</v>
      </c>
      <c r="S2" s="5">
        <v>205</v>
      </c>
      <c r="T2" s="5">
        <v>206</v>
      </c>
      <c r="U2" s="5">
        <v>207</v>
      </c>
      <c r="V2" s="5">
        <v>208</v>
      </c>
      <c r="W2" s="5">
        <v>209</v>
      </c>
      <c r="X2" s="5">
        <v>210</v>
      </c>
      <c r="Y2" s="5">
        <v>211</v>
      </c>
      <c r="Z2" s="5">
        <v>212</v>
      </c>
      <c r="AA2" s="5">
        <v>213</v>
      </c>
      <c r="AB2" s="5">
        <v>214</v>
      </c>
      <c r="AC2" s="5">
        <v>215</v>
      </c>
      <c r="AD2" s="5">
        <v>216</v>
      </c>
      <c r="AE2" s="5">
        <v>217</v>
      </c>
      <c r="AF2" s="5">
        <v>218</v>
      </c>
      <c r="AG2" s="5">
        <v>219</v>
      </c>
      <c r="AH2" s="5">
        <v>220</v>
      </c>
      <c r="AI2" s="5">
        <v>221</v>
      </c>
      <c r="AJ2" s="5">
        <v>222</v>
      </c>
      <c r="AK2" s="5">
        <v>223</v>
      </c>
      <c r="AL2" s="5">
        <v>224</v>
      </c>
      <c r="AM2" s="5">
        <v>225</v>
      </c>
      <c r="AN2" s="5">
        <v>226</v>
      </c>
      <c r="AO2" s="5">
        <v>227</v>
      </c>
      <c r="AP2" s="5">
        <v>228</v>
      </c>
      <c r="AQ2" s="5">
        <v>229</v>
      </c>
      <c r="AR2" s="5">
        <v>230</v>
      </c>
      <c r="AS2" s="5">
        <v>231</v>
      </c>
      <c r="AT2" s="5">
        <v>232</v>
      </c>
      <c r="AU2" s="5">
        <v>233</v>
      </c>
      <c r="AV2" s="5">
        <v>234</v>
      </c>
      <c r="AW2" s="5">
        <v>235</v>
      </c>
      <c r="AX2" s="5">
        <v>241</v>
      </c>
      <c r="AY2" s="5">
        <v>242</v>
      </c>
      <c r="AZ2" s="5">
        <v>243</v>
      </c>
      <c r="BA2" s="5">
        <v>244</v>
      </c>
      <c r="BB2" s="5">
        <v>245</v>
      </c>
      <c r="BC2" s="5">
        <v>246</v>
      </c>
      <c r="BD2" s="5">
        <v>247</v>
      </c>
      <c r="BE2" s="5">
        <v>248</v>
      </c>
      <c r="BF2" s="5">
        <v>301</v>
      </c>
      <c r="BG2" s="5">
        <v>302</v>
      </c>
      <c r="BH2" s="5">
        <v>303</v>
      </c>
      <c r="BI2" s="5">
        <v>304</v>
      </c>
      <c r="BJ2" s="5">
        <v>305</v>
      </c>
      <c r="BK2" s="5">
        <v>306</v>
      </c>
      <c r="BL2" s="5">
        <v>307</v>
      </c>
      <c r="BM2" s="5" t="s">
        <v>248</v>
      </c>
      <c r="BN2" s="5" t="s">
        <v>249</v>
      </c>
      <c r="BO2" s="5" t="s">
        <v>250</v>
      </c>
      <c r="BP2" s="5" t="s">
        <v>251</v>
      </c>
      <c r="BQ2" s="5" t="s">
        <v>252</v>
      </c>
      <c r="BR2" s="5" t="s">
        <v>253</v>
      </c>
      <c r="BS2" s="5" t="s">
        <v>254</v>
      </c>
      <c r="BT2" s="5" t="s">
        <v>255</v>
      </c>
      <c r="BU2" s="5" t="s">
        <v>256</v>
      </c>
      <c r="BV2" s="5" t="s">
        <v>257</v>
      </c>
      <c r="BW2" s="5" t="s">
        <v>258</v>
      </c>
      <c r="BX2" s="5" t="s">
        <v>259</v>
      </c>
      <c r="BY2" s="5" t="s">
        <v>260</v>
      </c>
      <c r="BZ2" s="5" t="s">
        <v>261</v>
      </c>
      <c r="CA2" s="5" t="s">
        <v>262</v>
      </c>
      <c r="CB2" s="5" t="s">
        <v>263</v>
      </c>
      <c r="CC2" s="5" t="s">
        <v>264</v>
      </c>
      <c r="CD2" s="5" t="s">
        <v>265</v>
      </c>
      <c r="CE2" s="5" t="s">
        <v>266</v>
      </c>
      <c r="CF2" s="5" t="s">
        <v>267</v>
      </c>
      <c r="CG2" s="5" t="s">
        <v>268</v>
      </c>
      <c r="CH2" s="5" t="s">
        <v>269</v>
      </c>
      <c r="CI2" s="5" t="s">
        <v>270</v>
      </c>
      <c r="CJ2" s="5" t="s">
        <v>271</v>
      </c>
      <c r="CK2" s="5" t="s">
        <v>272</v>
      </c>
      <c r="CL2" s="5" t="s">
        <v>273</v>
      </c>
      <c r="CM2" s="5" t="s">
        <v>274</v>
      </c>
      <c r="CN2" s="5" t="s">
        <v>275</v>
      </c>
      <c r="CO2" s="5" t="s">
        <v>276</v>
      </c>
      <c r="CP2" s="5" t="s">
        <v>277</v>
      </c>
      <c r="CQ2" s="5" t="s">
        <v>278</v>
      </c>
      <c r="CR2" s="5" t="s">
        <v>279</v>
      </c>
      <c r="CS2" s="5" t="s">
        <v>280</v>
      </c>
      <c r="CT2" s="5" t="s">
        <v>281</v>
      </c>
      <c r="CU2" s="5" t="s">
        <v>282</v>
      </c>
      <c r="CV2" s="5" t="s">
        <v>283</v>
      </c>
      <c r="CW2" s="5" t="s">
        <v>284</v>
      </c>
      <c r="CX2" s="5" t="s">
        <v>285</v>
      </c>
      <c r="CY2" s="5" t="s">
        <v>286</v>
      </c>
      <c r="CZ2" s="5" t="s">
        <v>287</v>
      </c>
      <c r="DA2" s="5" t="s">
        <v>288</v>
      </c>
      <c r="DB2" s="5" t="s">
        <v>289</v>
      </c>
      <c r="DC2" s="5" t="s">
        <v>290</v>
      </c>
      <c r="DD2" s="5" t="s">
        <v>291</v>
      </c>
      <c r="DE2" s="5" t="s">
        <v>292</v>
      </c>
      <c r="DF2" s="5" t="s">
        <v>293</v>
      </c>
      <c r="DG2" s="5" t="s">
        <v>294</v>
      </c>
      <c r="DH2" s="5" t="s">
        <v>295</v>
      </c>
      <c r="DI2" s="5" t="s">
        <v>296</v>
      </c>
      <c r="DJ2" s="5" t="s">
        <v>297</v>
      </c>
      <c r="DK2" s="5" t="s">
        <v>298</v>
      </c>
      <c r="DL2" s="5" t="s">
        <v>299</v>
      </c>
      <c r="DM2" s="5" t="s">
        <v>300</v>
      </c>
      <c r="DN2" s="5" t="s">
        <v>301</v>
      </c>
      <c r="DO2" s="5" t="s">
        <v>302</v>
      </c>
      <c r="DP2" s="5" t="s">
        <v>303</v>
      </c>
      <c r="DQ2" s="5" t="s">
        <v>304</v>
      </c>
      <c r="DR2" s="5" t="s">
        <v>305</v>
      </c>
      <c r="DS2" s="5" t="s">
        <v>306</v>
      </c>
      <c r="DT2" s="5" t="s">
        <v>307</v>
      </c>
      <c r="DU2" s="5" t="s">
        <v>308</v>
      </c>
      <c r="DV2" s="5" t="s">
        <v>309</v>
      </c>
      <c r="DW2" s="5" t="s">
        <v>310</v>
      </c>
      <c r="DX2" s="5" t="s">
        <v>311</v>
      </c>
      <c r="DY2" s="5" t="s">
        <v>312</v>
      </c>
      <c r="DZ2" s="5" t="s">
        <v>313</v>
      </c>
      <c r="EA2" s="5" t="s">
        <v>314</v>
      </c>
      <c r="EB2" s="5" t="s">
        <v>315</v>
      </c>
      <c r="EC2" s="5" t="s">
        <v>316</v>
      </c>
      <c r="ED2" s="5" t="s">
        <v>317</v>
      </c>
      <c r="EE2" s="5" t="s">
        <v>318</v>
      </c>
      <c r="EF2" s="5" t="s">
        <v>319</v>
      </c>
      <c r="EG2" s="5" t="s">
        <v>320</v>
      </c>
      <c r="EH2" s="5" t="s">
        <v>321</v>
      </c>
      <c r="EI2" s="5" t="s">
        <v>322</v>
      </c>
      <c r="EJ2" s="5" t="s">
        <v>323</v>
      </c>
      <c r="EK2" s="5" t="s">
        <v>324</v>
      </c>
      <c r="EL2" s="5" t="s">
        <v>325</v>
      </c>
      <c r="EM2" s="5" t="s">
        <v>326</v>
      </c>
      <c r="EN2" s="5" t="s">
        <v>327</v>
      </c>
      <c r="EO2" s="5" t="s">
        <v>328</v>
      </c>
      <c r="EP2" s="5" t="s">
        <v>329</v>
      </c>
      <c r="EQ2" s="5" t="s">
        <v>330</v>
      </c>
      <c r="ER2" s="5" t="s">
        <v>331</v>
      </c>
      <c r="ES2" s="5" t="s">
        <v>332</v>
      </c>
      <c r="ET2" s="5" t="s">
        <v>333</v>
      </c>
      <c r="EU2" s="5" t="s">
        <v>334</v>
      </c>
      <c r="EV2" s="5" t="s">
        <v>335</v>
      </c>
      <c r="EW2" s="5" t="s">
        <v>336</v>
      </c>
      <c r="EX2" s="5" t="s">
        <v>337</v>
      </c>
      <c r="EY2" s="5" t="s">
        <v>338</v>
      </c>
      <c r="EZ2" s="5" t="s">
        <v>339</v>
      </c>
      <c r="FA2" s="5" t="s">
        <v>340</v>
      </c>
      <c r="FB2" s="5" t="s">
        <v>341</v>
      </c>
      <c r="FC2" s="5" t="s">
        <v>342</v>
      </c>
      <c r="FD2" s="5" t="s">
        <v>343</v>
      </c>
      <c r="FE2" s="5" t="s">
        <v>344</v>
      </c>
      <c r="FF2" s="5" t="s">
        <v>345</v>
      </c>
      <c r="FG2" s="5" t="s">
        <v>346</v>
      </c>
      <c r="FH2" s="5" t="s">
        <v>347</v>
      </c>
      <c r="FI2" s="5" t="s">
        <v>348</v>
      </c>
      <c r="FJ2" s="5" t="s">
        <v>349</v>
      </c>
      <c r="FK2" s="5" t="s">
        <v>350</v>
      </c>
      <c r="FL2" s="5" t="s">
        <v>351</v>
      </c>
      <c r="FM2" s="5" t="s">
        <v>352</v>
      </c>
      <c r="FN2" s="5" t="s">
        <v>353</v>
      </c>
      <c r="FO2" s="5" t="s">
        <v>354</v>
      </c>
      <c r="FP2" s="5" t="s">
        <v>355</v>
      </c>
      <c r="FQ2" s="5" t="s">
        <v>356</v>
      </c>
      <c r="FR2" s="5" t="s">
        <v>357</v>
      </c>
      <c r="FS2" s="5" t="s">
        <v>358</v>
      </c>
      <c r="FT2" s="5" t="s">
        <v>359</v>
      </c>
      <c r="FU2" s="5" t="s">
        <v>360</v>
      </c>
      <c r="FV2" s="5" t="s">
        <v>361</v>
      </c>
      <c r="FW2" s="5" t="s">
        <v>362</v>
      </c>
      <c r="FX2" s="5" t="s">
        <v>363</v>
      </c>
      <c r="FY2" s="5" t="s">
        <v>364</v>
      </c>
      <c r="FZ2" s="5" t="s">
        <v>365</v>
      </c>
      <c r="GA2" s="5" t="s">
        <v>366</v>
      </c>
      <c r="GB2" s="5" t="s">
        <v>367</v>
      </c>
      <c r="GC2" s="5" t="s">
        <v>368</v>
      </c>
      <c r="GD2" s="5" t="s">
        <v>369</v>
      </c>
      <c r="GE2" s="5" t="s">
        <v>370</v>
      </c>
      <c r="GF2" s="5" t="s">
        <v>371</v>
      </c>
      <c r="GG2" s="5" t="s">
        <v>372</v>
      </c>
      <c r="GH2" s="5" t="s">
        <v>373</v>
      </c>
      <c r="GI2" s="5" t="s">
        <v>374</v>
      </c>
      <c r="GJ2" s="5" t="s">
        <v>375</v>
      </c>
      <c r="GK2" s="5" t="s">
        <v>376</v>
      </c>
      <c r="GL2" s="5" t="s">
        <v>377</v>
      </c>
      <c r="GM2" s="5" t="s">
        <v>378</v>
      </c>
      <c r="GN2" s="5" t="s">
        <v>379</v>
      </c>
      <c r="GO2" s="5" t="s">
        <v>380</v>
      </c>
      <c r="GP2" s="5" t="s">
        <v>381</v>
      </c>
      <c r="GQ2" s="5" t="s">
        <v>382</v>
      </c>
      <c r="GR2" s="5" t="s">
        <v>383</v>
      </c>
      <c r="GS2" s="5" t="s">
        <v>384</v>
      </c>
      <c r="GT2" s="5" t="s">
        <v>385</v>
      </c>
      <c r="GU2" s="5" t="s">
        <v>386</v>
      </c>
      <c r="GV2" s="5" t="s">
        <v>387</v>
      </c>
      <c r="GW2" s="5" t="s">
        <v>388</v>
      </c>
      <c r="GX2" s="5" t="s">
        <v>389</v>
      </c>
      <c r="GY2" s="5" t="s">
        <v>390</v>
      </c>
      <c r="GZ2" s="5" t="s">
        <v>391</v>
      </c>
      <c r="HA2" s="5" t="s">
        <v>392</v>
      </c>
      <c r="HB2" s="5" t="s">
        <v>393</v>
      </c>
      <c r="HC2" s="5" t="s">
        <v>394</v>
      </c>
      <c r="HD2" s="5" t="s">
        <v>395</v>
      </c>
      <c r="HE2" s="5" t="s">
        <v>396</v>
      </c>
      <c r="HF2" s="5" t="s">
        <v>397</v>
      </c>
      <c r="HG2" s="5" t="s">
        <v>398</v>
      </c>
      <c r="HH2" s="5" t="s">
        <v>399</v>
      </c>
      <c r="HI2" s="5" t="s">
        <v>400</v>
      </c>
      <c r="HJ2" s="5" t="s">
        <v>401</v>
      </c>
      <c r="HK2" s="5" t="s">
        <v>402</v>
      </c>
      <c r="HL2" s="5" t="s">
        <v>403</v>
      </c>
      <c r="HM2" s="5" t="s">
        <v>404</v>
      </c>
      <c r="HN2" s="5" t="s">
        <v>405</v>
      </c>
      <c r="HO2" s="5" t="s">
        <v>406</v>
      </c>
      <c r="HP2" s="5" t="s">
        <v>407</v>
      </c>
      <c r="HQ2" s="5" t="s">
        <v>408</v>
      </c>
      <c r="HR2" s="5" t="s">
        <v>409</v>
      </c>
      <c r="HS2" s="5" t="s">
        <v>410</v>
      </c>
      <c r="HT2" s="5" t="s">
        <v>411</v>
      </c>
      <c r="HU2" s="5" t="s">
        <v>412</v>
      </c>
      <c r="HV2" s="5" t="s">
        <v>413</v>
      </c>
      <c r="HW2" s="5" t="s">
        <v>414</v>
      </c>
      <c r="HX2" s="5" t="s">
        <v>415</v>
      </c>
      <c r="HY2" s="5" t="s">
        <v>416</v>
      </c>
      <c r="HZ2" s="5" t="s">
        <v>417</v>
      </c>
      <c r="IA2" s="5" t="s">
        <v>418</v>
      </c>
      <c r="IB2" s="5" t="s">
        <v>419</v>
      </c>
      <c r="IC2" s="5" t="s">
        <v>420</v>
      </c>
      <c r="ID2" s="5" t="s">
        <v>421</v>
      </c>
      <c r="IE2" s="5" t="s">
        <v>422</v>
      </c>
      <c r="IF2" s="5" t="s">
        <v>423</v>
      </c>
      <c r="IG2" s="5" t="s">
        <v>424</v>
      </c>
      <c r="IH2" s="5" t="s">
        <v>425</v>
      </c>
    </row>
    <row r="3" spans="2:242" ht="15" hidden="1" customHeight="1" x14ac:dyDescent="0.2">
      <c r="B3" s="26" t="s">
        <v>426</v>
      </c>
      <c r="C3" s="26">
        <v>1E-4</v>
      </c>
      <c r="J3" s="120" t="s">
        <v>427</v>
      </c>
      <c r="N3" s="560" t="s">
        <v>428</v>
      </c>
      <c r="O3" s="561"/>
      <c r="P3" s="561"/>
      <c r="Q3" s="561"/>
      <c r="R3" s="561"/>
      <c r="S3" s="561"/>
      <c r="T3" s="561"/>
      <c r="U3" s="561"/>
      <c r="V3" s="561"/>
      <c r="W3" s="561"/>
      <c r="X3" s="561"/>
      <c r="Y3" s="561"/>
      <c r="Z3" s="561"/>
      <c r="AA3" s="561"/>
      <c r="AB3" s="561"/>
      <c r="AC3" s="561"/>
      <c r="AD3" s="561"/>
      <c r="AE3" s="562"/>
    </row>
    <row r="4" spans="2:242" ht="15.75" customHeight="1" thickBot="1" x14ac:dyDescent="0.25">
      <c r="D4" s="584"/>
      <c r="E4" s="563"/>
      <c r="F4" s="563"/>
      <c r="G4" s="563"/>
      <c r="H4" s="563"/>
      <c r="I4" s="563"/>
      <c r="J4" s="563"/>
      <c r="K4" s="563"/>
      <c r="L4" s="563"/>
      <c r="M4" s="563"/>
      <c r="N4" s="563"/>
      <c r="O4" s="563"/>
      <c r="P4" s="563"/>
      <c r="Q4" s="563"/>
      <c r="R4" s="559"/>
      <c r="S4" s="559"/>
      <c r="T4" s="559"/>
      <c r="U4" s="559"/>
      <c r="V4" s="559"/>
      <c r="W4" s="563"/>
      <c r="X4" s="564" t="s">
        <v>957</v>
      </c>
      <c r="Y4" s="565">
        <f>General!$M$4+1</f>
        <v>1</v>
      </c>
      <c r="Z4" s="563"/>
      <c r="AA4" s="563"/>
      <c r="AB4" s="563"/>
      <c r="AC4" s="563"/>
      <c r="AD4" s="563"/>
      <c r="AE4" s="563"/>
      <c r="AF4" s="563"/>
      <c r="AG4" s="563"/>
      <c r="AH4" s="563"/>
      <c r="AI4" s="563"/>
      <c r="AJ4" s="559"/>
      <c r="AK4" s="559"/>
      <c r="AL4" s="559"/>
      <c r="AM4" s="559"/>
      <c r="AN4" s="559"/>
      <c r="AO4" s="563"/>
      <c r="AP4" s="564" t="s">
        <v>957</v>
      </c>
      <c r="AQ4" s="565">
        <f>Y4+1</f>
        <v>2</v>
      </c>
      <c r="AR4" s="563"/>
      <c r="AS4" s="563"/>
      <c r="AT4" s="563"/>
      <c r="AU4" s="563"/>
      <c r="AV4" s="563"/>
      <c r="AW4" s="563"/>
      <c r="AX4" s="563"/>
      <c r="AY4" s="563"/>
      <c r="AZ4" s="563"/>
      <c r="BA4" s="563"/>
      <c r="BB4" s="559"/>
      <c r="BC4" s="559"/>
      <c r="BD4" s="559"/>
      <c r="BE4" s="559"/>
      <c r="BF4" s="559"/>
      <c r="BG4" s="563"/>
      <c r="BH4" s="564" t="s">
        <v>957</v>
      </c>
      <c r="BI4" s="565">
        <f>AQ4+1</f>
        <v>3</v>
      </c>
      <c r="BJ4" s="563"/>
      <c r="BK4" s="563"/>
      <c r="BL4" s="563"/>
      <c r="BM4" s="563"/>
      <c r="BN4" s="563"/>
      <c r="BO4" s="563"/>
      <c r="BP4" s="563"/>
      <c r="BQ4" s="563"/>
      <c r="BR4" s="563"/>
      <c r="BS4" s="563"/>
      <c r="BT4" s="559"/>
      <c r="BU4" s="559"/>
      <c r="BV4" s="559"/>
      <c r="BW4" s="559"/>
      <c r="BX4" s="559"/>
      <c r="BY4" s="563"/>
      <c r="BZ4" s="564" t="s">
        <v>957</v>
      </c>
      <c r="CA4" s="565">
        <f>BI4+1</f>
        <v>4</v>
      </c>
      <c r="CB4" s="563"/>
      <c r="CC4" s="563"/>
      <c r="CD4" s="563"/>
      <c r="CE4" s="563"/>
      <c r="CF4" s="563"/>
      <c r="CG4" s="563"/>
      <c r="CH4" s="563"/>
      <c r="CI4" s="563"/>
      <c r="CJ4" s="563"/>
      <c r="CK4" s="563"/>
      <c r="CL4" s="559"/>
      <c r="CM4" s="559"/>
      <c r="CN4" s="559"/>
      <c r="CO4" s="559"/>
      <c r="CP4" s="559"/>
      <c r="CQ4" s="563"/>
      <c r="CR4" s="564" t="s">
        <v>957</v>
      </c>
      <c r="CS4" s="565">
        <f>CA4+1</f>
        <v>5</v>
      </c>
      <c r="CT4" s="563"/>
      <c r="CU4" s="563"/>
      <c r="CV4" s="563"/>
      <c r="CW4" s="563"/>
      <c r="CX4" s="563"/>
      <c r="CY4" s="563"/>
      <c r="CZ4" s="563"/>
      <c r="DA4" s="563"/>
      <c r="DB4" s="563"/>
      <c r="DC4" s="563"/>
      <c r="DD4" s="559"/>
      <c r="DE4" s="559"/>
      <c r="DF4" s="559"/>
      <c r="DG4" s="559"/>
      <c r="DH4" s="559"/>
      <c r="DI4" s="563"/>
      <c r="DJ4" s="564" t="s">
        <v>957</v>
      </c>
      <c r="DK4" s="565">
        <f>CS4+1</f>
        <v>6</v>
      </c>
      <c r="DL4" s="563"/>
      <c r="DM4" s="563"/>
      <c r="DN4" s="563"/>
      <c r="DO4" s="563"/>
      <c r="DP4" s="563"/>
      <c r="DQ4" s="563"/>
      <c r="DR4" s="563"/>
      <c r="DS4" s="563"/>
      <c r="DT4" s="563"/>
      <c r="DU4" s="563"/>
      <c r="DV4" s="559"/>
      <c r="DW4" s="559"/>
      <c r="DX4" s="559"/>
      <c r="DY4" s="559"/>
      <c r="DZ4" s="559"/>
      <c r="EA4" s="563"/>
      <c r="EB4" s="564" t="s">
        <v>957</v>
      </c>
      <c r="EC4" s="565">
        <f>DK4+1</f>
        <v>7</v>
      </c>
      <c r="ED4" s="563"/>
      <c r="EE4" s="563"/>
      <c r="EF4" s="563"/>
      <c r="EG4" s="563"/>
      <c r="EH4" s="563"/>
      <c r="EI4" s="563"/>
      <c r="EJ4" s="563"/>
      <c r="EK4" s="563"/>
      <c r="EL4" s="563"/>
      <c r="EM4" s="563"/>
      <c r="EN4" s="559"/>
      <c r="EO4" s="559"/>
      <c r="EP4" s="559"/>
      <c r="EQ4" s="559"/>
      <c r="ER4" s="559"/>
      <c r="ES4" s="563"/>
      <c r="ET4" s="564" t="s">
        <v>957</v>
      </c>
      <c r="EU4" s="565">
        <f>EC4+1</f>
        <v>8</v>
      </c>
      <c r="EV4" s="563"/>
      <c r="EW4" s="563"/>
      <c r="EX4" s="563"/>
      <c r="EY4" s="563"/>
      <c r="EZ4" s="563"/>
      <c r="FA4" s="563"/>
      <c r="FB4" s="563"/>
      <c r="FC4" s="563"/>
      <c r="FD4" s="563"/>
      <c r="FE4" s="563"/>
      <c r="FF4" s="559"/>
      <c r="FG4" s="559"/>
      <c r="FH4" s="559"/>
      <c r="FI4" s="559"/>
      <c r="FJ4" s="559"/>
      <c r="FK4" s="563"/>
      <c r="FL4" s="564" t="s">
        <v>957</v>
      </c>
      <c r="FM4" s="565">
        <f>EU4+1</f>
        <v>9</v>
      </c>
      <c r="FN4" s="563"/>
      <c r="FO4" s="563"/>
      <c r="FP4" s="563"/>
      <c r="FQ4" s="563"/>
      <c r="FR4" s="563"/>
      <c r="FS4" s="563"/>
      <c r="FT4" s="563"/>
      <c r="FU4" s="563"/>
      <c r="FV4" s="563"/>
      <c r="FW4" s="563"/>
      <c r="FX4" s="559"/>
      <c r="FY4" s="559"/>
      <c r="FZ4" s="559"/>
      <c r="GA4" s="559"/>
      <c r="GB4" s="559"/>
      <c r="GC4" s="563"/>
      <c r="GD4" s="564" t="s">
        <v>957</v>
      </c>
      <c r="GE4" s="565">
        <f>FM4+1</f>
        <v>10</v>
      </c>
      <c r="GF4" s="563"/>
      <c r="GG4" s="563"/>
      <c r="GH4" s="563"/>
      <c r="GI4" s="563"/>
      <c r="GJ4" s="563"/>
      <c r="GK4" s="563"/>
      <c r="GL4" s="563"/>
      <c r="GM4" s="563"/>
      <c r="GN4" s="563"/>
      <c r="GO4" s="563"/>
      <c r="GP4" s="559"/>
      <c r="GQ4" s="559"/>
      <c r="GR4" s="559"/>
      <c r="GS4" s="559"/>
      <c r="GT4" s="559"/>
      <c r="GU4" s="563"/>
      <c r="GV4" s="564" t="s">
        <v>957</v>
      </c>
      <c r="GW4" s="565">
        <f>GE4+1</f>
        <v>11</v>
      </c>
      <c r="GX4" s="563"/>
      <c r="GY4" s="563"/>
      <c r="GZ4" s="563"/>
      <c r="HA4" s="563"/>
      <c r="HB4" s="563"/>
      <c r="HC4" s="563"/>
      <c r="HD4" s="563"/>
      <c r="HE4" s="563"/>
      <c r="HF4" s="563"/>
      <c r="HG4" s="563"/>
      <c r="HH4" s="559"/>
      <c r="HI4" s="559"/>
      <c r="HJ4" s="559"/>
      <c r="HK4" s="559"/>
      <c r="HL4" s="559"/>
      <c r="HM4" s="563"/>
      <c r="HN4" s="564" t="s">
        <v>957</v>
      </c>
      <c r="HO4" s="565">
        <f>GW4+1</f>
        <v>12</v>
      </c>
      <c r="HP4" s="563"/>
      <c r="HQ4" s="563"/>
      <c r="HR4" s="563"/>
      <c r="HS4" s="563"/>
      <c r="HT4" s="563"/>
      <c r="HU4" s="563"/>
      <c r="HV4" s="563"/>
      <c r="HW4" s="563"/>
      <c r="HX4" s="563"/>
      <c r="HY4" s="563"/>
      <c r="HZ4" s="559"/>
      <c r="IA4" s="559"/>
      <c r="IB4" s="559"/>
      <c r="IC4" s="559"/>
      <c r="ID4" s="559"/>
      <c r="IE4" s="559"/>
      <c r="IF4" s="563"/>
      <c r="IG4" s="564" t="s">
        <v>957</v>
      </c>
      <c r="IH4" s="566">
        <f>HO4+1</f>
        <v>13</v>
      </c>
    </row>
    <row r="5" spans="2:242" ht="15.75" customHeight="1" x14ac:dyDescent="0.25">
      <c r="D5" s="544"/>
      <c r="E5" s="545"/>
      <c r="F5" s="545"/>
      <c r="G5" s="559"/>
      <c r="H5" s="984" t="s">
        <v>970</v>
      </c>
      <c r="I5" s="984"/>
      <c r="J5" s="984"/>
      <c r="K5" s="984"/>
      <c r="L5" s="984"/>
      <c r="M5" s="984"/>
      <c r="N5" s="984"/>
      <c r="O5" s="984"/>
      <c r="P5" s="984"/>
      <c r="Q5" s="984"/>
      <c r="R5" s="984"/>
      <c r="S5" s="984"/>
      <c r="T5" s="984"/>
      <c r="U5" s="984"/>
      <c r="V5" s="559"/>
      <c r="W5" s="987" t="s">
        <v>851</v>
      </c>
      <c r="X5" s="988"/>
      <c r="Y5" s="546" t="str">
        <f>IF(ISBLANK(General!$E$6),"",General!$E$6)</f>
        <v/>
      </c>
      <c r="Z5" s="984" t="s">
        <v>964</v>
      </c>
      <c r="AA5" s="984"/>
      <c r="AB5" s="984"/>
      <c r="AC5" s="984"/>
      <c r="AD5" s="984"/>
      <c r="AE5" s="984"/>
      <c r="AF5" s="984"/>
      <c r="AG5" s="984"/>
      <c r="AH5" s="984"/>
      <c r="AI5" s="984"/>
      <c r="AJ5" s="984"/>
      <c r="AK5" s="984"/>
      <c r="AL5" s="984"/>
      <c r="AM5" s="984"/>
      <c r="AN5" s="559"/>
      <c r="AO5" s="987" t="s">
        <v>851</v>
      </c>
      <c r="AP5" s="988"/>
      <c r="AQ5" s="546" t="str">
        <f>IF(ISBLANK(General!$E$6),"",General!$E$6)</f>
        <v/>
      </c>
      <c r="AR5" s="984" t="s">
        <v>964</v>
      </c>
      <c r="AS5" s="984"/>
      <c r="AT5" s="984"/>
      <c r="AU5" s="984"/>
      <c r="AV5" s="984"/>
      <c r="AW5" s="984"/>
      <c r="AX5" s="984"/>
      <c r="AY5" s="984"/>
      <c r="AZ5" s="984"/>
      <c r="BA5" s="984"/>
      <c r="BB5" s="984"/>
      <c r="BC5" s="984"/>
      <c r="BD5" s="984"/>
      <c r="BE5" s="984"/>
      <c r="BF5" s="559"/>
      <c r="BG5" s="987" t="s">
        <v>851</v>
      </c>
      <c r="BH5" s="988"/>
      <c r="BI5" s="546" t="str">
        <f>IF(ISBLANK(General!$E$6),"",General!$E$6)</f>
        <v/>
      </c>
      <c r="BJ5" s="984" t="s">
        <v>964</v>
      </c>
      <c r="BK5" s="984"/>
      <c r="BL5" s="984"/>
      <c r="BM5" s="984"/>
      <c r="BN5" s="984"/>
      <c r="BO5" s="984"/>
      <c r="BP5" s="984"/>
      <c r="BQ5" s="984"/>
      <c r="BR5" s="984"/>
      <c r="BS5" s="984"/>
      <c r="BT5" s="984"/>
      <c r="BU5" s="984"/>
      <c r="BV5" s="984"/>
      <c r="BW5" s="984"/>
      <c r="BX5" s="559"/>
      <c r="BY5" s="987" t="s">
        <v>851</v>
      </c>
      <c r="BZ5" s="988"/>
      <c r="CA5" s="546" t="str">
        <f>IF(ISBLANK(General!$E$6),"",General!$E$6)</f>
        <v/>
      </c>
      <c r="CB5" s="984" t="s">
        <v>964</v>
      </c>
      <c r="CC5" s="984"/>
      <c r="CD5" s="984"/>
      <c r="CE5" s="984"/>
      <c r="CF5" s="984"/>
      <c r="CG5" s="984"/>
      <c r="CH5" s="984"/>
      <c r="CI5" s="984"/>
      <c r="CJ5" s="984"/>
      <c r="CK5" s="984"/>
      <c r="CL5" s="984"/>
      <c r="CM5" s="984"/>
      <c r="CN5" s="984"/>
      <c r="CO5" s="984"/>
      <c r="CP5" s="559"/>
      <c r="CQ5" s="987" t="s">
        <v>851</v>
      </c>
      <c r="CR5" s="988"/>
      <c r="CS5" s="546" t="str">
        <f>IF(ISBLANK(General!$E$6),"",General!$E$6)</f>
        <v/>
      </c>
      <c r="CT5" s="984" t="s">
        <v>964</v>
      </c>
      <c r="CU5" s="984"/>
      <c r="CV5" s="984"/>
      <c r="CW5" s="984"/>
      <c r="CX5" s="984"/>
      <c r="CY5" s="984"/>
      <c r="CZ5" s="984"/>
      <c r="DA5" s="984"/>
      <c r="DB5" s="984"/>
      <c r="DC5" s="984"/>
      <c r="DD5" s="984"/>
      <c r="DE5" s="984"/>
      <c r="DF5" s="984"/>
      <c r="DG5" s="984"/>
      <c r="DH5" s="559"/>
      <c r="DI5" s="987" t="s">
        <v>851</v>
      </c>
      <c r="DJ5" s="988"/>
      <c r="DK5" s="546" t="str">
        <f>IF(ISBLANK(General!$E$6),"",General!$E$6)</f>
        <v/>
      </c>
      <c r="DL5" s="984" t="s">
        <v>964</v>
      </c>
      <c r="DM5" s="984"/>
      <c r="DN5" s="984"/>
      <c r="DO5" s="984"/>
      <c r="DP5" s="984"/>
      <c r="DQ5" s="984"/>
      <c r="DR5" s="984"/>
      <c r="DS5" s="984"/>
      <c r="DT5" s="984"/>
      <c r="DU5" s="984"/>
      <c r="DV5" s="984"/>
      <c r="DW5" s="984"/>
      <c r="DX5" s="984"/>
      <c r="DY5" s="984"/>
      <c r="DZ5" s="559"/>
      <c r="EA5" s="987" t="s">
        <v>851</v>
      </c>
      <c r="EB5" s="988"/>
      <c r="EC5" s="546" t="str">
        <f>IF(ISBLANK(General!$E$6),"",General!$E$6)</f>
        <v/>
      </c>
      <c r="ED5" s="984" t="s">
        <v>964</v>
      </c>
      <c r="EE5" s="984"/>
      <c r="EF5" s="984"/>
      <c r="EG5" s="984"/>
      <c r="EH5" s="984"/>
      <c r="EI5" s="984"/>
      <c r="EJ5" s="984"/>
      <c r="EK5" s="984"/>
      <c r="EL5" s="984"/>
      <c r="EM5" s="984"/>
      <c r="EN5" s="984"/>
      <c r="EO5" s="984"/>
      <c r="EP5" s="984"/>
      <c r="EQ5" s="984"/>
      <c r="ER5" s="559"/>
      <c r="ES5" s="987" t="s">
        <v>851</v>
      </c>
      <c r="ET5" s="988"/>
      <c r="EU5" s="546" t="str">
        <f>IF(ISBLANK(General!$E$6),"",General!$E$6)</f>
        <v/>
      </c>
      <c r="EV5" s="984" t="s">
        <v>964</v>
      </c>
      <c r="EW5" s="984"/>
      <c r="EX5" s="984"/>
      <c r="EY5" s="984"/>
      <c r="EZ5" s="984"/>
      <c r="FA5" s="984"/>
      <c r="FB5" s="984"/>
      <c r="FC5" s="984"/>
      <c r="FD5" s="984"/>
      <c r="FE5" s="984"/>
      <c r="FF5" s="984"/>
      <c r="FG5" s="984"/>
      <c r="FH5" s="984"/>
      <c r="FI5" s="984"/>
      <c r="FJ5" s="559"/>
      <c r="FK5" s="987" t="s">
        <v>851</v>
      </c>
      <c r="FL5" s="988"/>
      <c r="FM5" s="546" t="str">
        <f>IF(ISBLANK(General!$E$6),"",General!$E$6)</f>
        <v/>
      </c>
      <c r="FN5" s="984" t="s">
        <v>964</v>
      </c>
      <c r="FO5" s="984"/>
      <c r="FP5" s="984"/>
      <c r="FQ5" s="984"/>
      <c r="FR5" s="984"/>
      <c r="FS5" s="984"/>
      <c r="FT5" s="984"/>
      <c r="FU5" s="984"/>
      <c r="FV5" s="984"/>
      <c r="FW5" s="984"/>
      <c r="FX5" s="984"/>
      <c r="FY5" s="984"/>
      <c r="FZ5" s="984"/>
      <c r="GA5" s="984"/>
      <c r="GB5" s="559"/>
      <c r="GC5" s="987" t="s">
        <v>851</v>
      </c>
      <c r="GD5" s="988"/>
      <c r="GE5" s="546" t="str">
        <f>IF(ISBLANK(General!$E$6),"",General!$E$6)</f>
        <v/>
      </c>
      <c r="GF5" s="984" t="s">
        <v>964</v>
      </c>
      <c r="GG5" s="984"/>
      <c r="GH5" s="984"/>
      <c r="GI5" s="984"/>
      <c r="GJ5" s="984"/>
      <c r="GK5" s="984"/>
      <c r="GL5" s="984"/>
      <c r="GM5" s="984"/>
      <c r="GN5" s="984"/>
      <c r="GO5" s="984"/>
      <c r="GP5" s="984"/>
      <c r="GQ5" s="984"/>
      <c r="GR5" s="984"/>
      <c r="GS5" s="984"/>
      <c r="GT5" s="559"/>
      <c r="GU5" s="987" t="s">
        <v>851</v>
      </c>
      <c r="GV5" s="988"/>
      <c r="GW5" s="546" t="str">
        <f>IF(ISBLANK(General!$E$6),"",General!$E$6)</f>
        <v/>
      </c>
      <c r="GX5" s="984" t="s">
        <v>964</v>
      </c>
      <c r="GY5" s="984"/>
      <c r="GZ5" s="984"/>
      <c r="HA5" s="984"/>
      <c r="HB5" s="984"/>
      <c r="HC5" s="984"/>
      <c r="HD5" s="984"/>
      <c r="HE5" s="984"/>
      <c r="HF5" s="984"/>
      <c r="HG5" s="984"/>
      <c r="HH5" s="984"/>
      <c r="HI5" s="984"/>
      <c r="HJ5" s="984"/>
      <c r="HK5" s="984"/>
      <c r="HL5" s="559"/>
      <c r="HM5" s="987" t="s">
        <v>851</v>
      </c>
      <c r="HN5" s="988"/>
      <c r="HO5" s="546" t="str">
        <f>IF(ISBLANK(General!$E$6),"",General!$E$6)</f>
        <v/>
      </c>
      <c r="HP5" s="984" t="s">
        <v>964</v>
      </c>
      <c r="HQ5" s="984"/>
      <c r="HR5" s="984"/>
      <c r="HS5" s="984"/>
      <c r="HT5" s="984"/>
      <c r="HU5" s="984"/>
      <c r="HV5" s="984"/>
      <c r="HW5" s="984"/>
      <c r="HX5" s="984"/>
      <c r="HY5" s="984"/>
      <c r="HZ5" s="984"/>
      <c r="IA5" s="984"/>
      <c r="IB5" s="984"/>
      <c r="IC5" s="984"/>
      <c r="ID5" s="557"/>
      <c r="IE5" s="559"/>
      <c r="IF5" s="987" t="s">
        <v>851</v>
      </c>
      <c r="IG5" s="988"/>
      <c r="IH5" s="546" t="str">
        <f>IF(ISBLANK(General!$E$6),"",General!$E$6)</f>
        <v/>
      </c>
    </row>
    <row r="6" spans="2:242" ht="15.75" customHeight="1" x14ac:dyDescent="0.2">
      <c r="D6" s="547"/>
      <c r="E6" s="548"/>
      <c r="F6" s="549"/>
      <c r="G6" s="555"/>
      <c r="H6" s="985"/>
      <c r="I6" s="985"/>
      <c r="J6" s="985"/>
      <c r="K6" s="985"/>
      <c r="L6" s="985"/>
      <c r="M6" s="985"/>
      <c r="N6" s="985"/>
      <c r="O6" s="985"/>
      <c r="P6" s="985"/>
      <c r="Q6" s="985"/>
      <c r="R6" s="985"/>
      <c r="S6" s="985"/>
      <c r="T6" s="985"/>
      <c r="U6" s="985"/>
      <c r="V6" s="256"/>
      <c r="W6" s="989" t="s">
        <v>958</v>
      </c>
      <c r="X6" s="990"/>
      <c r="Y6" s="550" t="str">
        <f>IF(ISBLANK(General!$E$12),"",General!$E$12)</f>
        <v/>
      </c>
      <c r="Z6" s="985"/>
      <c r="AA6" s="985"/>
      <c r="AB6" s="985"/>
      <c r="AC6" s="985"/>
      <c r="AD6" s="985"/>
      <c r="AE6" s="985"/>
      <c r="AF6" s="985"/>
      <c r="AG6" s="985"/>
      <c r="AH6" s="985"/>
      <c r="AI6" s="985"/>
      <c r="AJ6" s="985"/>
      <c r="AK6" s="985"/>
      <c r="AL6" s="985"/>
      <c r="AM6" s="985"/>
      <c r="AN6" s="256"/>
      <c r="AO6" s="989" t="s">
        <v>958</v>
      </c>
      <c r="AP6" s="990"/>
      <c r="AQ6" s="550" t="str">
        <f>IF(ISBLANK(General!$E$12),"",General!$E$12)</f>
        <v/>
      </c>
      <c r="AR6" s="985"/>
      <c r="AS6" s="985"/>
      <c r="AT6" s="985"/>
      <c r="AU6" s="985"/>
      <c r="AV6" s="985"/>
      <c r="AW6" s="985"/>
      <c r="AX6" s="985"/>
      <c r="AY6" s="985"/>
      <c r="AZ6" s="985"/>
      <c r="BA6" s="985"/>
      <c r="BB6" s="985"/>
      <c r="BC6" s="985"/>
      <c r="BD6" s="985"/>
      <c r="BE6" s="985"/>
      <c r="BF6" s="256"/>
      <c r="BG6" s="989" t="s">
        <v>958</v>
      </c>
      <c r="BH6" s="990"/>
      <c r="BI6" s="550" t="str">
        <f>IF(ISBLANK(General!$E$12),"",General!$E$12)</f>
        <v/>
      </c>
      <c r="BJ6" s="985"/>
      <c r="BK6" s="985"/>
      <c r="BL6" s="985"/>
      <c r="BM6" s="985"/>
      <c r="BN6" s="985"/>
      <c r="BO6" s="985"/>
      <c r="BP6" s="985"/>
      <c r="BQ6" s="985"/>
      <c r="BR6" s="985"/>
      <c r="BS6" s="985"/>
      <c r="BT6" s="985"/>
      <c r="BU6" s="985"/>
      <c r="BV6" s="985"/>
      <c r="BW6" s="985"/>
      <c r="BX6" s="256"/>
      <c r="BY6" s="989" t="s">
        <v>958</v>
      </c>
      <c r="BZ6" s="990"/>
      <c r="CA6" s="550" t="str">
        <f>IF(ISBLANK(General!$E$12),"",General!$E$12)</f>
        <v/>
      </c>
      <c r="CB6" s="985"/>
      <c r="CC6" s="985"/>
      <c r="CD6" s="985"/>
      <c r="CE6" s="985"/>
      <c r="CF6" s="985"/>
      <c r="CG6" s="985"/>
      <c r="CH6" s="985"/>
      <c r="CI6" s="985"/>
      <c r="CJ6" s="985"/>
      <c r="CK6" s="985"/>
      <c r="CL6" s="985"/>
      <c r="CM6" s="985"/>
      <c r="CN6" s="985"/>
      <c r="CO6" s="985"/>
      <c r="CP6" s="256"/>
      <c r="CQ6" s="989" t="s">
        <v>958</v>
      </c>
      <c r="CR6" s="990"/>
      <c r="CS6" s="550" t="str">
        <f>IF(ISBLANK(General!$E$12),"",General!$E$12)</f>
        <v/>
      </c>
      <c r="CT6" s="985"/>
      <c r="CU6" s="985"/>
      <c r="CV6" s="985"/>
      <c r="CW6" s="985"/>
      <c r="CX6" s="985"/>
      <c r="CY6" s="985"/>
      <c r="CZ6" s="985"/>
      <c r="DA6" s="985"/>
      <c r="DB6" s="985"/>
      <c r="DC6" s="985"/>
      <c r="DD6" s="985"/>
      <c r="DE6" s="985"/>
      <c r="DF6" s="985"/>
      <c r="DG6" s="985"/>
      <c r="DH6" s="256"/>
      <c r="DI6" s="989" t="s">
        <v>958</v>
      </c>
      <c r="DJ6" s="990"/>
      <c r="DK6" s="550" t="str">
        <f>IF(ISBLANK(General!$E$12),"",General!$E$12)</f>
        <v/>
      </c>
      <c r="DL6" s="985"/>
      <c r="DM6" s="985"/>
      <c r="DN6" s="985"/>
      <c r="DO6" s="985"/>
      <c r="DP6" s="985"/>
      <c r="DQ6" s="985"/>
      <c r="DR6" s="985"/>
      <c r="DS6" s="985"/>
      <c r="DT6" s="985"/>
      <c r="DU6" s="985"/>
      <c r="DV6" s="985"/>
      <c r="DW6" s="985"/>
      <c r="DX6" s="985"/>
      <c r="DY6" s="985"/>
      <c r="DZ6" s="256"/>
      <c r="EA6" s="989" t="s">
        <v>958</v>
      </c>
      <c r="EB6" s="990"/>
      <c r="EC6" s="550" t="str">
        <f>IF(ISBLANK(General!$E$12),"",General!$E$12)</f>
        <v/>
      </c>
      <c r="ED6" s="985"/>
      <c r="EE6" s="985"/>
      <c r="EF6" s="985"/>
      <c r="EG6" s="985"/>
      <c r="EH6" s="985"/>
      <c r="EI6" s="985"/>
      <c r="EJ6" s="985"/>
      <c r="EK6" s="985"/>
      <c r="EL6" s="985"/>
      <c r="EM6" s="985"/>
      <c r="EN6" s="985"/>
      <c r="EO6" s="985"/>
      <c r="EP6" s="985"/>
      <c r="EQ6" s="985"/>
      <c r="ER6" s="256"/>
      <c r="ES6" s="989" t="s">
        <v>958</v>
      </c>
      <c r="ET6" s="990"/>
      <c r="EU6" s="550" t="str">
        <f>IF(ISBLANK(General!$E$12),"",General!$E$12)</f>
        <v/>
      </c>
      <c r="EV6" s="985"/>
      <c r="EW6" s="985"/>
      <c r="EX6" s="985"/>
      <c r="EY6" s="985"/>
      <c r="EZ6" s="985"/>
      <c r="FA6" s="985"/>
      <c r="FB6" s="985"/>
      <c r="FC6" s="985"/>
      <c r="FD6" s="985"/>
      <c r="FE6" s="985"/>
      <c r="FF6" s="985"/>
      <c r="FG6" s="985"/>
      <c r="FH6" s="985"/>
      <c r="FI6" s="985"/>
      <c r="FJ6" s="256"/>
      <c r="FK6" s="989" t="s">
        <v>958</v>
      </c>
      <c r="FL6" s="990"/>
      <c r="FM6" s="550" t="str">
        <f>IF(ISBLANK(General!$E$12),"",General!$E$12)</f>
        <v/>
      </c>
      <c r="FN6" s="985"/>
      <c r="FO6" s="985"/>
      <c r="FP6" s="985"/>
      <c r="FQ6" s="985"/>
      <c r="FR6" s="985"/>
      <c r="FS6" s="985"/>
      <c r="FT6" s="985"/>
      <c r="FU6" s="985"/>
      <c r="FV6" s="985"/>
      <c r="FW6" s="985"/>
      <c r="FX6" s="985"/>
      <c r="FY6" s="985"/>
      <c r="FZ6" s="985"/>
      <c r="GA6" s="985"/>
      <c r="GB6" s="256"/>
      <c r="GC6" s="989" t="s">
        <v>958</v>
      </c>
      <c r="GD6" s="990"/>
      <c r="GE6" s="550" t="str">
        <f>IF(ISBLANK(General!$E$12),"",General!$E$12)</f>
        <v/>
      </c>
      <c r="GF6" s="985"/>
      <c r="GG6" s="985"/>
      <c r="GH6" s="985"/>
      <c r="GI6" s="985"/>
      <c r="GJ6" s="985"/>
      <c r="GK6" s="985"/>
      <c r="GL6" s="985"/>
      <c r="GM6" s="985"/>
      <c r="GN6" s="985"/>
      <c r="GO6" s="985"/>
      <c r="GP6" s="985"/>
      <c r="GQ6" s="985"/>
      <c r="GR6" s="985"/>
      <c r="GS6" s="985"/>
      <c r="GT6" s="256"/>
      <c r="GU6" s="989" t="s">
        <v>958</v>
      </c>
      <c r="GV6" s="990"/>
      <c r="GW6" s="550" t="str">
        <f>IF(ISBLANK(General!$E$12),"",General!$E$12)</f>
        <v/>
      </c>
      <c r="GX6" s="985"/>
      <c r="GY6" s="985"/>
      <c r="GZ6" s="985"/>
      <c r="HA6" s="985"/>
      <c r="HB6" s="985"/>
      <c r="HC6" s="985"/>
      <c r="HD6" s="985"/>
      <c r="HE6" s="985"/>
      <c r="HF6" s="985"/>
      <c r="HG6" s="985"/>
      <c r="HH6" s="985"/>
      <c r="HI6" s="985"/>
      <c r="HJ6" s="985"/>
      <c r="HK6" s="985"/>
      <c r="HL6" s="256"/>
      <c r="HM6" s="989" t="s">
        <v>958</v>
      </c>
      <c r="HN6" s="990"/>
      <c r="HO6" s="550" t="str">
        <f>IF(ISBLANK(General!$E$12),"",General!$E$12)</f>
        <v/>
      </c>
      <c r="HP6" s="985"/>
      <c r="HQ6" s="985"/>
      <c r="HR6" s="985"/>
      <c r="HS6" s="985"/>
      <c r="HT6" s="985"/>
      <c r="HU6" s="985"/>
      <c r="HV6" s="985"/>
      <c r="HW6" s="985"/>
      <c r="HX6" s="985"/>
      <c r="HY6" s="985"/>
      <c r="HZ6" s="985"/>
      <c r="IA6" s="985"/>
      <c r="IB6" s="985"/>
      <c r="IC6" s="985"/>
      <c r="ID6" s="558"/>
      <c r="IE6" s="256"/>
      <c r="IF6" s="989" t="s">
        <v>958</v>
      </c>
      <c r="IG6" s="990"/>
      <c r="IH6" s="550" t="str">
        <f>IF(ISBLANK(General!$E$12),"",General!$E$12)</f>
        <v/>
      </c>
    </row>
    <row r="7" spans="2:242" ht="15.75" customHeight="1" x14ac:dyDescent="0.2">
      <c r="D7" s="547"/>
      <c r="E7" s="548"/>
      <c r="F7" s="549"/>
      <c r="G7" s="555"/>
      <c r="H7" s="985"/>
      <c r="I7" s="985"/>
      <c r="J7" s="985"/>
      <c r="K7" s="985"/>
      <c r="L7" s="985"/>
      <c r="M7" s="985"/>
      <c r="N7" s="985"/>
      <c r="O7" s="985"/>
      <c r="P7" s="985"/>
      <c r="Q7" s="985"/>
      <c r="R7" s="985"/>
      <c r="S7" s="985"/>
      <c r="T7" s="985"/>
      <c r="U7" s="985"/>
      <c r="V7" s="256"/>
      <c r="W7" s="989" t="s">
        <v>959</v>
      </c>
      <c r="X7" s="990"/>
      <c r="Y7" s="551" t="str">
        <f>IF(ISBLANK(General!$E$13),"",General!$E$13)</f>
        <v/>
      </c>
      <c r="Z7" s="985"/>
      <c r="AA7" s="985"/>
      <c r="AB7" s="985"/>
      <c r="AC7" s="985"/>
      <c r="AD7" s="985"/>
      <c r="AE7" s="985"/>
      <c r="AF7" s="985"/>
      <c r="AG7" s="985"/>
      <c r="AH7" s="985"/>
      <c r="AI7" s="985"/>
      <c r="AJ7" s="985"/>
      <c r="AK7" s="985"/>
      <c r="AL7" s="985"/>
      <c r="AM7" s="985"/>
      <c r="AN7" s="256"/>
      <c r="AO7" s="989" t="s">
        <v>959</v>
      </c>
      <c r="AP7" s="990"/>
      <c r="AQ7" s="551" t="str">
        <f>IF(ISBLANK(General!$E$13),"",General!$E$13)</f>
        <v/>
      </c>
      <c r="AR7" s="985"/>
      <c r="AS7" s="985"/>
      <c r="AT7" s="985"/>
      <c r="AU7" s="985"/>
      <c r="AV7" s="985"/>
      <c r="AW7" s="985"/>
      <c r="AX7" s="985"/>
      <c r="AY7" s="985"/>
      <c r="AZ7" s="985"/>
      <c r="BA7" s="985"/>
      <c r="BB7" s="985"/>
      <c r="BC7" s="985"/>
      <c r="BD7" s="985"/>
      <c r="BE7" s="985"/>
      <c r="BF7" s="256"/>
      <c r="BG7" s="989" t="s">
        <v>959</v>
      </c>
      <c r="BH7" s="990"/>
      <c r="BI7" s="551" t="str">
        <f>IF(ISBLANK(General!$E$13),"",General!$E$13)</f>
        <v/>
      </c>
      <c r="BJ7" s="985"/>
      <c r="BK7" s="985"/>
      <c r="BL7" s="985"/>
      <c r="BM7" s="985"/>
      <c r="BN7" s="985"/>
      <c r="BO7" s="985"/>
      <c r="BP7" s="985"/>
      <c r="BQ7" s="985"/>
      <c r="BR7" s="985"/>
      <c r="BS7" s="985"/>
      <c r="BT7" s="985"/>
      <c r="BU7" s="985"/>
      <c r="BV7" s="985"/>
      <c r="BW7" s="985"/>
      <c r="BX7" s="256"/>
      <c r="BY7" s="989" t="s">
        <v>959</v>
      </c>
      <c r="BZ7" s="990"/>
      <c r="CA7" s="551" t="str">
        <f>IF(ISBLANK(General!$E$13),"",General!$E$13)</f>
        <v/>
      </c>
      <c r="CB7" s="985"/>
      <c r="CC7" s="985"/>
      <c r="CD7" s="985"/>
      <c r="CE7" s="985"/>
      <c r="CF7" s="985"/>
      <c r="CG7" s="985"/>
      <c r="CH7" s="985"/>
      <c r="CI7" s="985"/>
      <c r="CJ7" s="985"/>
      <c r="CK7" s="985"/>
      <c r="CL7" s="985"/>
      <c r="CM7" s="985"/>
      <c r="CN7" s="985"/>
      <c r="CO7" s="985"/>
      <c r="CP7" s="256"/>
      <c r="CQ7" s="989" t="s">
        <v>959</v>
      </c>
      <c r="CR7" s="990"/>
      <c r="CS7" s="551" t="str">
        <f>IF(ISBLANK(General!$E$13),"",General!$E$13)</f>
        <v/>
      </c>
      <c r="CT7" s="985"/>
      <c r="CU7" s="985"/>
      <c r="CV7" s="985"/>
      <c r="CW7" s="985"/>
      <c r="CX7" s="985"/>
      <c r="CY7" s="985"/>
      <c r="CZ7" s="985"/>
      <c r="DA7" s="985"/>
      <c r="DB7" s="985"/>
      <c r="DC7" s="985"/>
      <c r="DD7" s="985"/>
      <c r="DE7" s="985"/>
      <c r="DF7" s="985"/>
      <c r="DG7" s="985"/>
      <c r="DH7" s="256"/>
      <c r="DI7" s="989" t="s">
        <v>959</v>
      </c>
      <c r="DJ7" s="990"/>
      <c r="DK7" s="551" t="str">
        <f>IF(ISBLANK(General!$E$13),"",General!$E$13)</f>
        <v/>
      </c>
      <c r="DL7" s="985"/>
      <c r="DM7" s="985"/>
      <c r="DN7" s="985"/>
      <c r="DO7" s="985"/>
      <c r="DP7" s="985"/>
      <c r="DQ7" s="985"/>
      <c r="DR7" s="985"/>
      <c r="DS7" s="985"/>
      <c r="DT7" s="985"/>
      <c r="DU7" s="985"/>
      <c r="DV7" s="985"/>
      <c r="DW7" s="985"/>
      <c r="DX7" s="985"/>
      <c r="DY7" s="985"/>
      <c r="DZ7" s="256"/>
      <c r="EA7" s="989" t="s">
        <v>959</v>
      </c>
      <c r="EB7" s="990"/>
      <c r="EC7" s="551" t="str">
        <f>IF(ISBLANK(General!$E$13),"",General!$E$13)</f>
        <v/>
      </c>
      <c r="ED7" s="985"/>
      <c r="EE7" s="985"/>
      <c r="EF7" s="985"/>
      <c r="EG7" s="985"/>
      <c r="EH7" s="985"/>
      <c r="EI7" s="985"/>
      <c r="EJ7" s="985"/>
      <c r="EK7" s="985"/>
      <c r="EL7" s="985"/>
      <c r="EM7" s="985"/>
      <c r="EN7" s="985"/>
      <c r="EO7" s="985"/>
      <c r="EP7" s="985"/>
      <c r="EQ7" s="985"/>
      <c r="ER7" s="256"/>
      <c r="ES7" s="989" t="s">
        <v>959</v>
      </c>
      <c r="ET7" s="990"/>
      <c r="EU7" s="551" t="str">
        <f>IF(ISBLANK(General!$E$13),"",General!$E$13)</f>
        <v/>
      </c>
      <c r="EV7" s="985"/>
      <c r="EW7" s="985"/>
      <c r="EX7" s="985"/>
      <c r="EY7" s="985"/>
      <c r="EZ7" s="985"/>
      <c r="FA7" s="985"/>
      <c r="FB7" s="985"/>
      <c r="FC7" s="985"/>
      <c r="FD7" s="985"/>
      <c r="FE7" s="985"/>
      <c r="FF7" s="985"/>
      <c r="FG7" s="985"/>
      <c r="FH7" s="985"/>
      <c r="FI7" s="985"/>
      <c r="FJ7" s="256"/>
      <c r="FK7" s="989" t="s">
        <v>959</v>
      </c>
      <c r="FL7" s="990"/>
      <c r="FM7" s="551" t="str">
        <f>IF(ISBLANK(General!$E$13),"",General!$E$13)</f>
        <v/>
      </c>
      <c r="FN7" s="985"/>
      <c r="FO7" s="985"/>
      <c r="FP7" s="985"/>
      <c r="FQ7" s="985"/>
      <c r="FR7" s="985"/>
      <c r="FS7" s="985"/>
      <c r="FT7" s="985"/>
      <c r="FU7" s="985"/>
      <c r="FV7" s="985"/>
      <c r="FW7" s="985"/>
      <c r="FX7" s="985"/>
      <c r="FY7" s="985"/>
      <c r="FZ7" s="985"/>
      <c r="GA7" s="985"/>
      <c r="GB7" s="256"/>
      <c r="GC7" s="989" t="s">
        <v>959</v>
      </c>
      <c r="GD7" s="990"/>
      <c r="GE7" s="551" t="str">
        <f>IF(ISBLANK(General!$E$13),"",General!$E$13)</f>
        <v/>
      </c>
      <c r="GF7" s="985"/>
      <c r="GG7" s="985"/>
      <c r="GH7" s="985"/>
      <c r="GI7" s="985"/>
      <c r="GJ7" s="985"/>
      <c r="GK7" s="985"/>
      <c r="GL7" s="985"/>
      <c r="GM7" s="985"/>
      <c r="GN7" s="985"/>
      <c r="GO7" s="985"/>
      <c r="GP7" s="985"/>
      <c r="GQ7" s="985"/>
      <c r="GR7" s="985"/>
      <c r="GS7" s="985"/>
      <c r="GT7" s="256"/>
      <c r="GU7" s="989" t="s">
        <v>959</v>
      </c>
      <c r="GV7" s="990"/>
      <c r="GW7" s="551" t="str">
        <f>IF(ISBLANK(General!$E$13),"",General!$E$13)</f>
        <v/>
      </c>
      <c r="GX7" s="985"/>
      <c r="GY7" s="985"/>
      <c r="GZ7" s="985"/>
      <c r="HA7" s="985"/>
      <c r="HB7" s="985"/>
      <c r="HC7" s="985"/>
      <c r="HD7" s="985"/>
      <c r="HE7" s="985"/>
      <c r="HF7" s="985"/>
      <c r="HG7" s="985"/>
      <c r="HH7" s="985"/>
      <c r="HI7" s="985"/>
      <c r="HJ7" s="985"/>
      <c r="HK7" s="985"/>
      <c r="HL7" s="256"/>
      <c r="HM7" s="989" t="s">
        <v>959</v>
      </c>
      <c r="HN7" s="990"/>
      <c r="HO7" s="551" t="str">
        <f>IF(ISBLANK(General!$E$13),"",General!$E$13)</f>
        <v/>
      </c>
      <c r="HP7" s="985"/>
      <c r="HQ7" s="985"/>
      <c r="HR7" s="985"/>
      <c r="HS7" s="985"/>
      <c r="HT7" s="985"/>
      <c r="HU7" s="985"/>
      <c r="HV7" s="985"/>
      <c r="HW7" s="985"/>
      <c r="HX7" s="985"/>
      <c r="HY7" s="985"/>
      <c r="HZ7" s="985"/>
      <c r="IA7" s="985"/>
      <c r="IB7" s="985"/>
      <c r="IC7" s="985"/>
      <c r="ID7" s="558"/>
      <c r="IE7" s="256"/>
      <c r="IF7" s="989" t="s">
        <v>959</v>
      </c>
      <c r="IG7" s="990"/>
      <c r="IH7" s="551" t="str">
        <f>IF(ISBLANK(General!$E$13),"",General!$E$13)</f>
        <v/>
      </c>
    </row>
    <row r="8" spans="2:242" ht="15.75" customHeight="1" x14ac:dyDescent="0.2">
      <c r="D8" s="552"/>
      <c r="E8" s="553"/>
      <c r="F8" s="553"/>
      <c r="G8" s="556"/>
      <c r="H8" s="986"/>
      <c r="I8" s="986"/>
      <c r="J8" s="986"/>
      <c r="K8" s="986"/>
      <c r="L8" s="986"/>
      <c r="M8" s="986"/>
      <c r="N8" s="986"/>
      <c r="O8" s="986"/>
      <c r="P8" s="986"/>
      <c r="Q8" s="986"/>
      <c r="R8" s="986"/>
      <c r="S8" s="986"/>
      <c r="T8" s="986"/>
      <c r="U8" s="986"/>
      <c r="V8" s="256"/>
      <c r="W8" s="989" t="s">
        <v>960</v>
      </c>
      <c r="X8" s="990"/>
      <c r="Y8" s="554" t="s">
        <v>668</v>
      </c>
      <c r="Z8" s="986"/>
      <c r="AA8" s="986"/>
      <c r="AB8" s="986"/>
      <c r="AC8" s="986"/>
      <c r="AD8" s="986"/>
      <c r="AE8" s="986"/>
      <c r="AF8" s="986"/>
      <c r="AG8" s="986"/>
      <c r="AH8" s="986"/>
      <c r="AI8" s="986"/>
      <c r="AJ8" s="986"/>
      <c r="AK8" s="986"/>
      <c r="AL8" s="986"/>
      <c r="AM8" s="986"/>
      <c r="AN8" s="256"/>
      <c r="AO8" s="989" t="s">
        <v>960</v>
      </c>
      <c r="AP8" s="990"/>
      <c r="AQ8" s="554" t="s">
        <v>668</v>
      </c>
      <c r="AR8" s="986"/>
      <c r="AS8" s="986"/>
      <c r="AT8" s="986"/>
      <c r="AU8" s="986"/>
      <c r="AV8" s="986"/>
      <c r="AW8" s="986"/>
      <c r="AX8" s="986"/>
      <c r="AY8" s="986"/>
      <c r="AZ8" s="986"/>
      <c r="BA8" s="986"/>
      <c r="BB8" s="986"/>
      <c r="BC8" s="986"/>
      <c r="BD8" s="986"/>
      <c r="BE8" s="986"/>
      <c r="BF8" s="256"/>
      <c r="BG8" s="989" t="s">
        <v>960</v>
      </c>
      <c r="BH8" s="990"/>
      <c r="BI8" s="554" t="s">
        <v>668</v>
      </c>
      <c r="BJ8" s="986"/>
      <c r="BK8" s="986"/>
      <c r="BL8" s="986"/>
      <c r="BM8" s="986"/>
      <c r="BN8" s="986"/>
      <c r="BO8" s="986"/>
      <c r="BP8" s="986"/>
      <c r="BQ8" s="986"/>
      <c r="BR8" s="986"/>
      <c r="BS8" s="986"/>
      <c r="BT8" s="986"/>
      <c r="BU8" s="986"/>
      <c r="BV8" s="986"/>
      <c r="BW8" s="986"/>
      <c r="BX8" s="256"/>
      <c r="BY8" s="989" t="s">
        <v>960</v>
      </c>
      <c r="BZ8" s="990"/>
      <c r="CA8" s="554" t="s">
        <v>668</v>
      </c>
      <c r="CB8" s="986"/>
      <c r="CC8" s="986"/>
      <c r="CD8" s="986"/>
      <c r="CE8" s="986"/>
      <c r="CF8" s="986"/>
      <c r="CG8" s="986"/>
      <c r="CH8" s="986"/>
      <c r="CI8" s="986"/>
      <c r="CJ8" s="986"/>
      <c r="CK8" s="986"/>
      <c r="CL8" s="986"/>
      <c r="CM8" s="986"/>
      <c r="CN8" s="986"/>
      <c r="CO8" s="986"/>
      <c r="CP8" s="256"/>
      <c r="CQ8" s="989" t="s">
        <v>960</v>
      </c>
      <c r="CR8" s="990"/>
      <c r="CS8" s="554" t="s">
        <v>668</v>
      </c>
      <c r="CT8" s="986"/>
      <c r="CU8" s="986"/>
      <c r="CV8" s="986"/>
      <c r="CW8" s="986"/>
      <c r="CX8" s="986"/>
      <c r="CY8" s="986"/>
      <c r="CZ8" s="986"/>
      <c r="DA8" s="986"/>
      <c r="DB8" s="986"/>
      <c r="DC8" s="986"/>
      <c r="DD8" s="986"/>
      <c r="DE8" s="986"/>
      <c r="DF8" s="986"/>
      <c r="DG8" s="986"/>
      <c r="DH8" s="256"/>
      <c r="DI8" s="989" t="s">
        <v>960</v>
      </c>
      <c r="DJ8" s="990"/>
      <c r="DK8" s="554" t="s">
        <v>668</v>
      </c>
      <c r="DL8" s="986"/>
      <c r="DM8" s="986"/>
      <c r="DN8" s="986"/>
      <c r="DO8" s="986"/>
      <c r="DP8" s="986"/>
      <c r="DQ8" s="986"/>
      <c r="DR8" s="986"/>
      <c r="DS8" s="986"/>
      <c r="DT8" s="986"/>
      <c r="DU8" s="986"/>
      <c r="DV8" s="986"/>
      <c r="DW8" s="986"/>
      <c r="DX8" s="986"/>
      <c r="DY8" s="986"/>
      <c r="DZ8" s="256"/>
      <c r="EA8" s="989" t="s">
        <v>960</v>
      </c>
      <c r="EB8" s="990"/>
      <c r="EC8" s="554" t="s">
        <v>668</v>
      </c>
      <c r="ED8" s="986"/>
      <c r="EE8" s="986"/>
      <c r="EF8" s="986"/>
      <c r="EG8" s="986"/>
      <c r="EH8" s="986"/>
      <c r="EI8" s="986"/>
      <c r="EJ8" s="986"/>
      <c r="EK8" s="986"/>
      <c r="EL8" s="986"/>
      <c r="EM8" s="986"/>
      <c r="EN8" s="986"/>
      <c r="EO8" s="986"/>
      <c r="EP8" s="986"/>
      <c r="EQ8" s="986"/>
      <c r="ER8" s="256"/>
      <c r="ES8" s="989" t="s">
        <v>960</v>
      </c>
      <c r="ET8" s="990"/>
      <c r="EU8" s="554" t="s">
        <v>668</v>
      </c>
      <c r="EV8" s="986"/>
      <c r="EW8" s="986"/>
      <c r="EX8" s="986"/>
      <c r="EY8" s="986"/>
      <c r="EZ8" s="986"/>
      <c r="FA8" s="986"/>
      <c r="FB8" s="986"/>
      <c r="FC8" s="986"/>
      <c r="FD8" s="986"/>
      <c r="FE8" s="986"/>
      <c r="FF8" s="986"/>
      <c r="FG8" s="986"/>
      <c r="FH8" s="986"/>
      <c r="FI8" s="986"/>
      <c r="FJ8" s="256"/>
      <c r="FK8" s="989" t="s">
        <v>960</v>
      </c>
      <c r="FL8" s="990"/>
      <c r="FM8" s="554" t="s">
        <v>668</v>
      </c>
      <c r="FN8" s="986"/>
      <c r="FO8" s="986"/>
      <c r="FP8" s="986"/>
      <c r="FQ8" s="986"/>
      <c r="FR8" s="986"/>
      <c r="FS8" s="986"/>
      <c r="FT8" s="986"/>
      <c r="FU8" s="986"/>
      <c r="FV8" s="986"/>
      <c r="FW8" s="986"/>
      <c r="FX8" s="986"/>
      <c r="FY8" s="986"/>
      <c r="FZ8" s="986"/>
      <c r="GA8" s="986"/>
      <c r="GB8" s="256"/>
      <c r="GC8" s="989" t="s">
        <v>960</v>
      </c>
      <c r="GD8" s="990"/>
      <c r="GE8" s="554" t="s">
        <v>668</v>
      </c>
      <c r="GF8" s="986"/>
      <c r="GG8" s="986"/>
      <c r="GH8" s="986"/>
      <c r="GI8" s="986"/>
      <c r="GJ8" s="986"/>
      <c r="GK8" s="986"/>
      <c r="GL8" s="986"/>
      <c r="GM8" s="986"/>
      <c r="GN8" s="986"/>
      <c r="GO8" s="986"/>
      <c r="GP8" s="986"/>
      <c r="GQ8" s="986"/>
      <c r="GR8" s="986"/>
      <c r="GS8" s="986"/>
      <c r="GT8" s="256"/>
      <c r="GU8" s="989" t="s">
        <v>960</v>
      </c>
      <c r="GV8" s="990"/>
      <c r="GW8" s="554" t="s">
        <v>668</v>
      </c>
      <c r="GX8" s="986"/>
      <c r="GY8" s="986"/>
      <c r="GZ8" s="986"/>
      <c r="HA8" s="986"/>
      <c r="HB8" s="986"/>
      <c r="HC8" s="986"/>
      <c r="HD8" s="986"/>
      <c r="HE8" s="986"/>
      <c r="HF8" s="986"/>
      <c r="HG8" s="986"/>
      <c r="HH8" s="986"/>
      <c r="HI8" s="986"/>
      <c r="HJ8" s="986"/>
      <c r="HK8" s="986"/>
      <c r="HL8" s="256"/>
      <c r="HM8" s="989" t="s">
        <v>960</v>
      </c>
      <c r="HN8" s="990"/>
      <c r="HO8" s="554" t="s">
        <v>668</v>
      </c>
      <c r="HP8" s="986"/>
      <c r="HQ8" s="986"/>
      <c r="HR8" s="986"/>
      <c r="HS8" s="986"/>
      <c r="HT8" s="986"/>
      <c r="HU8" s="986"/>
      <c r="HV8" s="986"/>
      <c r="HW8" s="986"/>
      <c r="HX8" s="986"/>
      <c r="HY8" s="986"/>
      <c r="HZ8" s="985"/>
      <c r="IA8" s="985"/>
      <c r="IB8" s="985"/>
      <c r="IC8" s="985"/>
      <c r="ID8" s="558"/>
      <c r="IE8" s="256"/>
      <c r="IF8" s="989" t="s">
        <v>960</v>
      </c>
      <c r="IG8" s="990"/>
      <c r="IH8" s="554" t="s">
        <v>668</v>
      </c>
    </row>
    <row r="9" spans="2:242" ht="15.75" customHeight="1" x14ac:dyDescent="0.2">
      <c r="D9" s="1017" t="s">
        <v>897</v>
      </c>
      <c r="E9" s="1018"/>
      <c r="F9" s="1018"/>
      <c r="G9" s="1018"/>
      <c r="H9" s="961" t="str">
        <f>IF(ISBLANK(General!E8),"",General!E8)</f>
        <v/>
      </c>
      <c r="I9" s="962"/>
      <c r="J9" s="962"/>
      <c r="K9" s="962"/>
      <c r="L9" s="962"/>
      <c r="M9" s="962"/>
      <c r="N9" s="963"/>
      <c r="O9" s="970" t="s">
        <v>961</v>
      </c>
      <c r="P9" s="971"/>
      <c r="Q9" s="972"/>
      <c r="R9" s="978" t="str">
        <f>IF(ISBLANK(General!$D$33),"",General!$D$33)</f>
        <v/>
      </c>
      <c r="S9" s="979"/>
      <c r="T9" s="979"/>
      <c r="U9" s="979"/>
      <c r="V9" s="979"/>
      <c r="W9" s="979"/>
      <c r="X9" s="979"/>
      <c r="Y9" s="980"/>
      <c r="Z9" s="961" t="str">
        <f>IF(ISBLANK(General!E8),"",General!E8)</f>
        <v/>
      </c>
      <c r="AA9" s="962"/>
      <c r="AB9" s="962"/>
      <c r="AC9" s="962"/>
      <c r="AD9" s="962"/>
      <c r="AE9" s="962"/>
      <c r="AF9" s="963"/>
      <c r="AG9" s="970" t="s">
        <v>961</v>
      </c>
      <c r="AH9" s="971"/>
      <c r="AI9" s="972"/>
      <c r="AJ9" s="978" t="str">
        <f>IF(ISBLANK(General!$D$33),"",General!$D$33)</f>
        <v/>
      </c>
      <c r="AK9" s="979"/>
      <c r="AL9" s="979"/>
      <c r="AM9" s="979"/>
      <c r="AN9" s="979"/>
      <c r="AO9" s="979"/>
      <c r="AP9" s="979"/>
      <c r="AQ9" s="980"/>
      <c r="AR9" s="961" t="str">
        <f>IF(ISBLANK(General!E8),"",General!E8)</f>
        <v/>
      </c>
      <c r="AS9" s="962"/>
      <c r="AT9" s="962"/>
      <c r="AU9" s="962"/>
      <c r="AV9" s="962"/>
      <c r="AW9" s="962"/>
      <c r="AX9" s="963"/>
      <c r="AY9" s="970" t="s">
        <v>961</v>
      </c>
      <c r="AZ9" s="971"/>
      <c r="BA9" s="972"/>
      <c r="BB9" s="978" t="str">
        <f>IF(ISBLANK(General!$D$33),"",General!$D$33)</f>
        <v/>
      </c>
      <c r="BC9" s="979"/>
      <c r="BD9" s="979"/>
      <c r="BE9" s="979"/>
      <c r="BF9" s="979"/>
      <c r="BG9" s="979"/>
      <c r="BH9" s="979"/>
      <c r="BI9" s="980"/>
      <c r="BJ9" s="961" t="str">
        <f>IF(ISBLANK(General!E8),"",General!E8)</f>
        <v/>
      </c>
      <c r="BK9" s="962"/>
      <c r="BL9" s="962"/>
      <c r="BM9" s="962"/>
      <c r="BN9" s="962"/>
      <c r="BO9" s="962"/>
      <c r="BP9" s="963"/>
      <c r="BQ9" s="970" t="s">
        <v>961</v>
      </c>
      <c r="BR9" s="971"/>
      <c r="BS9" s="972"/>
      <c r="BT9" s="978" t="str">
        <f>IF(ISBLANK(General!$D$33),"",General!$D$33)</f>
        <v/>
      </c>
      <c r="BU9" s="979"/>
      <c r="BV9" s="979"/>
      <c r="BW9" s="979"/>
      <c r="BX9" s="979"/>
      <c r="BY9" s="979"/>
      <c r="BZ9" s="979"/>
      <c r="CA9" s="980"/>
      <c r="CB9" s="961" t="str">
        <f>IF(ISBLANK(General!E8),"",General!E8)</f>
        <v/>
      </c>
      <c r="CC9" s="962"/>
      <c r="CD9" s="962"/>
      <c r="CE9" s="962"/>
      <c r="CF9" s="962"/>
      <c r="CG9" s="962"/>
      <c r="CH9" s="963"/>
      <c r="CI9" s="970" t="s">
        <v>961</v>
      </c>
      <c r="CJ9" s="971"/>
      <c r="CK9" s="972"/>
      <c r="CL9" s="978" t="str">
        <f>IF(ISBLANK(General!$D$33),"",General!$D$33)</f>
        <v/>
      </c>
      <c r="CM9" s="979"/>
      <c r="CN9" s="979"/>
      <c r="CO9" s="979"/>
      <c r="CP9" s="979"/>
      <c r="CQ9" s="979"/>
      <c r="CR9" s="979"/>
      <c r="CS9" s="980"/>
      <c r="CT9" s="961" t="str">
        <f>IF(ISBLANK(General!E8),"",General!E8)</f>
        <v/>
      </c>
      <c r="CU9" s="962"/>
      <c r="CV9" s="962"/>
      <c r="CW9" s="962"/>
      <c r="CX9" s="962"/>
      <c r="CY9" s="962"/>
      <c r="CZ9" s="963"/>
      <c r="DA9" s="970" t="s">
        <v>961</v>
      </c>
      <c r="DB9" s="971"/>
      <c r="DC9" s="972"/>
      <c r="DD9" s="978" t="str">
        <f>IF(ISBLANK(General!$D$33),"",General!$D$33)</f>
        <v/>
      </c>
      <c r="DE9" s="979"/>
      <c r="DF9" s="979"/>
      <c r="DG9" s="979"/>
      <c r="DH9" s="979"/>
      <c r="DI9" s="979"/>
      <c r="DJ9" s="979"/>
      <c r="DK9" s="980"/>
      <c r="DL9" s="961" t="str">
        <f>IF(ISBLANK(General!E8),"",General!E8)</f>
        <v/>
      </c>
      <c r="DM9" s="962"/>
      <c r="DN9" s="962"/>
      <c r="DO9" s="962"/>
      <c r="DP9" s="962"/>
      <c r="DQ9" s="962"/>
      <c r="DR9" s="963"/>
      <c r="DS9" s="970" t="s">
        <v>961</v>
      </c>
      <c r="DT9" s="971"/>
      <c r="DU9" s="972"/>
      <c r="DV9" s="978" t="str">
        <f>IF(ISBLANK(General!$D$33),"",General!$D$33)</f>
        <v/>
      </c>
      <c r="DW9" s="979"/>
      <c r="DX9" s="979"/>
      <c r="DY9" s="979"/>
      <c r="DZ9" s="979"/>
      <c r="EA9" s="979"/>
      <c r="EB9" s="979"/>
      <c r="EC9" s="980"/>
      <c r="ED9" s="961" t="str">
        <f>IF(ISBLANK(General!E8),"",General!E8)</f>
        <v/>
      </c>
      <c r="EE9" s="962"/>
      <c r="EF9" s="962"/>
      <c r="EG9" s="962"/>
      <c r="EH9" s="962"/>
      <c r="EI9" s="962"/>
      <c r="EJ9" s="963"/>
      <c r="EK9" s="970" t="s">
        <v>961</v>
      </c>
      <c r="EL9" s="971"/>
      <c r="EM9" s="972"/>
      <c r="EN9" s="978" t="str">
        <f>IF(ISBLANK(General!$D$33),"",General!$D$33)</f>
        <v/>
      </c>
      <c r="EO9" s="979"/>
      <c r="EP9" s="979"/>
      <c r="EQ9" s="979"/>
      <c r="ER9" s="979"/>
      <c r="ES9" s="979"/>
      <c r="ET9" s="979"/>
      <c r="EU9" s="980"/>
      <c r="EV9" s="961" t="str">
        <f>IF(ISBLANK(General!E8),"",General!E8)</f>
        <v/>
      </c>
      <c r="EW9" s="962"/>
      <c r="EX9" s="962"/>
      <c r="EY9" s="962"/>
      <c r="EZ9" s="962"/>
      <c r="FA9" s="962"/>
      <c r="FB9" s="963"/>
      <c r="FC9" s="970" t="s">
        <v>961</v>
      </c>
      <c r="FD9" s="971"/>
      <c r="FE9" s="972"/>
      <c r="FF9" s="978" t="str">
        <f>IF(ISBLANK(General!$D$33),"",General!$D$33)</f>
        <v/>
      </c>
      <c r="FG9" s="979"/>
      <c r="FH9" s="979"/>
      <c r="FI9" s="979"/>
      <c r="FJ9" s="979"/>
      <c r="FK9" s="979"/>
      <c r="FL9" s="979"/>
      <c r="FM9" s="980"/>
      <c r="FN9" s="961" t="str">
        <f>IF(ISBLANK(General!E8),"",General!E8)</f>
        <v/>
      </c>
      <c r="FO9" s="962"/>
      <c r="FP9" s="962"/>
      <c r="FQ9" s="962"/>
      <c r="FR9" s="962"/>
      <c r="FS9" s="962"/>
      <c r="FT9" s="963"/>
      <c r="FU9" s="970" t="s">
        <v>961</v>
      </c>
      <c r="FV9" s="971"/>
      <c r="FW9" s="972"/>
      <c r="FX9" s="978" t="str">
        <f>IF(ISBLANK(General!$D$33),"",General!$D$33)</f>
        <v/>
      </c>
      <c r="FY9" s="979"/>
      <c r="FZ9" s="979"/>
      <c r="GA9" s="979"/>
      <c r="GB9" s="979"/>
      <c r="GC9" s="979"/>
      <c r="GD9" s="979"/>
      <c r="GE9" s="980"/>
      <c r="GF9" s="961" t="str">
        <f>IF(ISBLANK(General!E8),"",General!E8)</f>
        <v/>
      </c>
      <c r="GG9" s="962"/>
      <c r="GH9" s="962"/>
      <c r="GI9" s="962"/>
      <c r="GJ9" s="962"/>
      <c r="GK9" s="962"/>
      <c r="GL9" s="963"/>
      <c r="GM9" s="970" t="s">
        <v>961</v>
      </c>
      <c r="GN9" s="971"/>
      <c r="GO9" s="972"/>
      <c r="GP9" s="978" t="str">
        <f>IF(ISBLANK(General!$D$33),"",General!$D$33)</f>
        <v/>
      </c>
      <c r="GQ9" s="979"/>
      <c r="GR9" s="979"/>
      <c r="GS9" s="979"/>
      <c r="GT9" s="979"/>
      <c r="GU9" s="979"/>
      <c r="GV9" s="979"/>
      <c r="GW9" s="980"/>
      <c r="GX9" s="961" t="str">
        <f>IF(ISBLANK(General!E8),"",General!E8)</f>
        <v/>
      </c>
      <c r="GY9" s="962"/>
      <c r="GZ9" s="962"/>
      <c r="HA9" s="962"/>
      <c r="HB9" s="962"/>
      <c r="HC9" s="962"/>
      <c r="HD9" s="963"/>
      <c r="HE9" s="970" t="s">
        <v>961</v>
      </c>
      <c r="HF9" s="971"/>
      <c r="HG9" s="972"/>
      <c r="HH9" s="978" t="str">
        <f>IF(ISBLANK(General!$D$33),"",General!$D$33)</f>
        <v/>
      </c>
      <c r="HI9" s="979"/>
      <c r="HJ9" s="979"/>
      <c r="HK9" s="979"/>
      <c r="HL9" s="979"/>
      <c r="HM9" s="979"/>
      <c r="HN9" s="979"/>
      <c r="HO9" s="980"/>
      <c r="HP9" s="961" t="str">
        <f>IF(ISBLANK(General!E8),"",General!E8)</f>
        <v/>
      </c>
      <c r="HQ9" s="962"/>
      <c r="HR9" s="962"/>
      <c r="HS9" s="962"/>
      <c r="HT9" s="962"/>
      <c r="HU9" s="962"/>
      <c r="HV9" s="963"/>
      <c r="HW9" s="970" t="s">
        <v>961</v>
      </c>
      <c r="HX9" s="971"/>
      <c r="HY9" s="972"/>
      <c r="HZ9" s="978" t="str">
        <f>IF(ISBLANK(General!$D$33),"",General!$D$33)</f>
        <v/>
      </c>
      <c r="IA9" s="979"/>
      <c r="IB9" s="979"/>
      <c r="IC9" s="979"/>
      <c r="ID9" s="979"/>
      <c r="IE9" s="979"/>
      <c r="IF9" s="979"/>
      <c r="IG9" s="979"/>
      <c r="IH9" s="980"/>
    </row>
    <row r="10" spans="2:242" ht="15.75" customHeight="1" x14ac:dyDescent="0.2">
      <c r="D10" s="991" t="s">
        <v>962</v>
      </c>
      <c r="E10" s="992"/>
      <c r="F10" s="992"/>
      <c r="G10" s="992"/>
      <c r="H10" s="964" t="str">
        <f>IF(ISBLANK(General!E9),"",General!E9)</f>
        <v/>
      </c>
      <c r="I10" s="965"/>
      <c r="J10" s="965"/>
      <c r="K10" s="965"/>
      <c r="L10" s="965"/>
      <c r="M10" s="965"/>
      <c r="N10" s="966"/>
      <c r="O10" s="975" t="s">
        <v>963</v>
      </c>
      <c r="P10" s="976"/>
      <c r="Q10" s="977"/>
      <c r="R10" s="981" t="str">
        <f>IF(ISBLANK(General!$E$33),"",General!$E$33)</f>
        <v/>
      </c>
      <c r="S10" s="982"/>
      <c r="T10" s="982"/>
      <c r="U10" s="982"/>
      <c r="V10" s="982"/>
      <c r="W10" s="982"/>
      <c r="X10" s="982"/>
      <c r="Y10" s="983"/>
      <c r="Z10" s="964" t="str">
        <f>IF(ISBLANK(General!E9),"",General!E9)</f>
        <v/>
      </c>
      <c r="AA10" s="965"/>
      <c r="AB10" s="965"/>
      <c r="AC10" s="965"/>
      <c r="AD10" s="965"/>
      <c r="AE10" s="965"/>
      <c r="AF10" s="966"/>
      <c r="AG10" s="975" t="s">
        <v>963</v>
      </c>
      <c r="AH10" s="976"/>
      <c r="AI10" s="977"/>
      <c r="AJ10" s="981" t="str">
        <f>IF(ISBLANK(General!$E$33),"",General!$E$33)</f>
        <v/>
      </c>
      <c r="AK10" s="982"/>
      <c r="AL10" s="982"/>
      <c r="AM10" s="982"/>
      <c r="AN10" s="982"/>
      <c r="AO10" s="982"/>
      <c r="AP10" s="982"/>
      <c r="AQ10" s="983"/>
      <c r="AR10" s="964" t="str">
        <f>IF(ISBLANK(General!E9),"",General!E9)</f>
        <v/>
      </c>
      <c r="AS10" s="965"/>
      <c r="AT10" s="965"/>
      <c r="AU10" s="965"/>
      <c r="AV10" s="965"/>
      <c r="AW10" s="965"/>
      <c r="AX10" s="966"/>
      <c r="AY10" s="975" t="s">
        <v>963</v>
      </c>
      <c r="AZ10" s="976"/>
      <c r="BA10" s="977"/>
      <c r="BB10" s="981" t="str">
        <f>IF(ISBLANK(General!$E$33),"",General!$E$33)</f>
        <v/>
      </c>
      <c r="BC10" s="982"/>
      <c r="BD10" s="982"/>
      <c r="BE10" s="982"/>
      <c r="BF10" s="982"/>
      <c r="BG10" s="982"/>
      <c r="BH10" s="982"/>
      <c r="BI10" s="983"/>
      <c r="BJ10" s="964" t="str">
        <f>IF(ISBLANK(General!E9),"",General!E9)</f>
        <v/>
      </c>
      <c r="BK10" s="965"/>
      <c r="BL10" s="965"/>
      <c r="BM10" s="965"/>
      <c r="BN10" s="965"/>
      <c r="BO10" s="965"/>
      <c r="BP10" s="966"/>
      <c r="BQ10" s="975" t="s">
        <v>963</v>
      </c>
      <c r="BR10" s="976"/>
      <c r="BS10" s="977"/>
      <c r="BT10" s="981" t="str">
        <f>IF(ISBLANK(General!$E$33),"",General!$E$33)</f>
        <v/>
      </c>
      <c r="BU10" s="982"/>
      <c r="BV10" s="982"/>
      <c r="BW10" s="982"/>
      <c r="BX10" s="982"/>
      <c r="BY10" s="982"/>
      <c r="BZ10" s="982"/>
      <c r="CA10" s="983"/>
      <c r="CB10" s="964" t="str">
        <f>IF(ISBLANK(General!E9),"",General!E9)</f>
        <v/>
      </c>
      <c r="CC10" s="965"/>
      <c r="CD10" s="965"/>
      <c r="CE10" s="965"/>
      <c r="CF10" s="965"/>
      <c r="CG10" s="965"/>
      <c r="CH10" s="966"/>
      <c r="CI10" s="975" t="s">
        <v>963</v>
      </c>
      <c r="CJ10" s="976"/>
      <c r="CK10" s="977"/>
      <c r="CL10" s="981" t="str">
        <f>IF(ISBLANK(General!$E$33),"",General!$E$33)</f>
        <v/>
      </c>
      <c r="CM10" s="982"/>
      <c r="CN10" s="982"/>
      <c r="CO10" s="982"/>
      <c r="CP10" s="982"/>
      <c r="CQ10" s="982"/>
      <c r="CR10" s="982"/>
      <c r="CS10" s="983"/>
      <c r="CT10" s="964" t="str">
        <f>IF(ISBLANK(General!E9),"",General!E9)</f>
        <v/>
      </c>
      <c r="CU10" s="965"/>
      <c r="CV10" s="965"/>
      <c r="CW10" s="965"/>
      <c r="CX10" s="965"/>
      <c r="CY10" s="965"/>
      <c r="CZ10" s="966"/>
      <c r="DA10" s="975" t="s">
        <v>963</v>
      </c>
      <c r="DB10" s="976"/>
      <c r="DC10" s="977"/>
      <c r="DD10" s="981" t="str">
        <f>IF(ISBLANK(General!$E$33),"",General!$E$33)</f>
        <v/>
      </c>
      <c r="DE10" s="982"/>
      <c r="DF10" s="982"/>
      <c r="DG10" s="982"/>
      <c r="DH10" s="982"/>
      <c r="DI10" s="982"/>
      <c r="DJ10" s="982"/>
      <c r="DK10" s="983"/>
      <c r="DL10" s="964" t="str">
        <f>IF(ISBLANK(General!E9),"",General!E9)</f>
        <v/>
      </c>
      <c r="DM10" s="965"/>
      <c r="DN10" s="965"/>
      <c r="DO10" s="965"/>
      <c r="DP10" s="965"/>
      <c r="DQ10" s="965"/>
      <c r="DR10" s="966"/>
      <c r="DS10" s="975" t="s">
        <v>963</v>
      </c>
      <c r="DT10" s="976"/>
      <c r="DU10" s="977"/>
      <c r="DV10" s="981" t="str">
        <f>IF(ISBLANK(General!$E$33),"",General!$E$33)</f>
        <v/>
      </c>
      <c r="DW10" s="982"/>
      <c r="DX10" s="982"/>
      <c r="DY10" s="982"/>
      <c r="DZ10" s="982"/>
      <c r="EA10" s="982"/>
      <c r="EB10" s="982"/>
      <c r="EC10" s="983"/>
      <c r="ED10" s="964" t="str">
        <f>IF(ISBLANK(General!E9),"",General!E9)</f>
        <v/>
      </c>
      <c r="EE10" s="965"/>
      <c r="EF10" s="965"/>
      <c r="EG10" s="965"/>
      <c r="EH10" s="965"/>
      <c r="EI10" s="965"/>
      <c r="EJ10" s="966"/>
      <c r="EK10" s="975" t="s">
        <v>963</v>
      </c>
      <c r="EL10" s="976"/>
      <c r="EM10" s="977"/>
      <c r="EN10" s="981" t="str">
        <f>IF(ISBLANK(General!$E$33),"",General!$E$33)</f>
        <v/>
      </c>
      <c r="EO10" s="982"/>
      <c r="EP10" s="982"/>
      <c r="EQ10" s="982"/>
      <c r="ER10" s="982"/>
      <c r="ES10" s="982"/>
      <c r="ET10" s="982"/>
      <c r="EU10" s="983"/>
      <c r="EV10" s="964" t="str">
        <f>IF(ISBLANK(General!E9),"",General!E9)</f>
        <v/>
      </c>
      <c r="EW10" s="965"/>
      <c r="EX10" s="965"/>
      <c r="EY10" s="965"/>
      <c r="EZ10" s="965"/>
      <c r="FA10" s="965"/>
      <c r="FB10" s="966"/>
      <c r="FC10" s="975" t="s">
        <v>963</v>
      </c>
      <c r="FD10" s="976"/>
      <c r="FE10" s="977"/>
      <c r="FF10" s="981" t="str">
        <f>IF(ISBLANK(General!$E$33),"",General!$E$33)</f>
        <v/>
      </c>
      <c r="FG10" s="982"/>
      <c r="FH10" s="982"/>
      <c r="FI10" s="982"/>
      <c r="FJ10" s="982"/>
      <c r="FK10" s="982"/>
      <c r="FL10" s="982"/>
      <c r="FM10" s="983"/>
      <c r="FN10" s="964" t="str">
        <f>IF(ISBLANK(General!E9),"",General!E9)</f>
        <v/>
      </c>
      <c r="FO10" s="965"/>
      <c r="FP10" s="965"/>
      <c r="FQ10" s="965"/>
      <c r="FR10" s="965"/>
      <c r="FS10" s="965"/>
      <c r="FT10" s="966"/>
      <c r="FU10" s="975" t="s">
        <v>963</v>
      </c>
      <c r="FV10" s="976"/>
      <c r="FW10" s="977"/>
      <c r="FX10" s="981" t="str">
        <f>IF(ISBLANK(General!$E$33),"",General!$E$33)</f>
        <v/>
      </c>
      <c r="FY10" s="982"/>
      <c r="FZ10" s="982"/>
      <c r="GA10" s="982"/>
      <c r="GB10" s="982"/>
      <c r="GC10" s="982"/>
      <c r="GD10" s="982"/>
      <c r="GE10" s="983"/>
      <c r="GF10" s="964" t="str">
        <f>IF(ISBLANK(General!E9),"",General!E9)</f>
        <v/>
      </c>
      <c r="GG10" s="965"/>
      <c r="GH10" s="965"/>
      <c r="GI10" s="965"/>
      <c r="GJ10" s="965"/>
      <c r="GK10" s="965"/>
      <c r="GL10" s="966"/>
      <c r="GM10" s="975" t="s">
        <v>963</v>
      </c>
      <c r="GN10" s="976"/>
      <c r="GO10" s="977"/>
      <c r="GP10" s="981" t="str">
        <f>IF(ISBLANK(General!$E$33),"",General!$E$33)</f>
        <v/>
      </c>
      <c r="GQ10" s="982"/>
      <c r="GR10" s="982"/>
      <c r="GS10" s="982"/>
      <c r="GT10" s="982"/>
      <c r="GU10" s="982"/>
      <c r="GV10" s="982"/>
      <c r="GW10" s="983"/>
      <c r="GX10" s="964" t="str">
        <f>IF(ISBLANK(General!E9),"",General!E9)</f>
        <v/>
      </c>
      <c r="GY10" s="965"/>
      <c r="GZ10" s="965"/>
      <c r="HA10" s="965"/>
      <c r="HB10" s="965"/>
      <c r="HC10" s="965"/>
      <c r="HD10" s="966"/>
      <c r="HE10" s="975" t="s">
        <v>963</v>
      </c>
      <c r="HF10" s="976"/>
      <c r="HG10" s="977"/>
      <c r="HH10" s="981" t="str">
        <f>IF(ISBLANK(General!$E$33),"",General!$E$33)</f>
        <v/>
      </c>
      <c r="HI10" s="982"/>
      <c r="HJ10" s="982"/>
      <c r="HK10" s="982"/>
      <c r="HL10" s="982"/>
      <c r="HM10" s="982"/>
      <c r="HN10" s="982"/>
      <c r="HO10" s="983"/>
      <c r="HP10" s="964" t="str">
        <f>IF(ISBLANK(General!E9),"",General!E9)</f>
        <v/>
      </c>
      <c r="HQ10" s="965"/>
      <c r="HR10" s="965"/>
      <c r="HS10" s="965"/>
      <c r="HT10" s="965"/>
      <c r="HU10" s="965"/>
      <c r="HV10" s="966"/>
      <c r="HW10" s="975" t="s">
        <v>963</v>
      </c>
      <c r="HX10" s="976"/>
      <c r="HY10" s="977"/>
      <c r="HZ10" s="981" t="str">
        <f>IF(ISBLANK(General!$E$33),"",General!$E$33)</f>
        <v/>
      </c>
      <c r="IA10" s="982"/>
      <c r="IB10" s="982"/>
      <c r="IC10" s="982"/>
      <c r="ID10" s="982"/>
      <c r="IE10" s="982"/>
      <c r="IF10" s="982"/>
      <c r="IG10" s="982"/>
      <c r="IH10" s="983"/>
    </row>
    <row r="11" spans="2:242" ht="15.75" customHeight="1" x14ac:dyDescent="0.2">
      <c r="D11" s="1015" t="s">
        <v>932</v>
      </c>
      <c r="E11" s="1016"/>
      <c r="F11" s="1016"/>
      <c r="G11" s="1016"/>
      <c r="H11" s="967" t="str">
        <f>IF(ISBLANK(General!E17),"",General!E17)</f>
        <v/>
      </c>
      <c r="I11" s="968"/>
      <c r="J11" s="968"/>
      <c r="K11" s="968"/>
      <c r="L11" s="968"/>
      <c r="M11" s="968"/>
      <c r="N11" s="969"/>
      <c r="O11" s="954" t="s">
        <v>930</v>
      </c>
      <c r="P11" s="955"/>
      <c r="Q11" s="956"/>
      <c r="R11" s="957" t="str">
        <f>IF(ISBLANK(General!$E$16),"",General!$E$16)</f>
        <v/>
      </c>
      <c r="S11" s="958"/>
      <c r="T11" s="958"/>
      <c r="U11" s="958"/>
      <c r="V11" s="958"/>
      <c r="W11" s="958"/>
      <c r="X11" s="958"/>
      <c r="Y11" s="959"/>
      <c r="Z11" s="967" t="str">
        <f>IF(ISBLANK(General!E17),"",General!E17)</f>
        <v/>
      </c>
      <c r="AA11" s="968"/>
      <c r="AB11" s="968"/>
      <c r="AC11" s="968"/>
      <c r="AD11" s="968"/>
      <c r="AE11" s="968"/>
      <c r="AF11" s="969"/>
      <c r="AG11" s="954" t="s">
        <v>930</v>
      </c>
      <c r="AH11" s="955"/>
      <c r="AI11" s="956"/>
      <c r="AJ11" s="957" t="str">
        <f>IF(ISBLANK(General!$E$16),"",General!$E$16)</f>
        <v/>
      </c>
      <c r="AK11" s="958"/>
      <c r="AL11" s="958"/>
      <c r="AM11" s="958"/>
      <c r="AN11" s="958"/>
      <c r="AO11" s="958"/>
      <c r="AP11" s="958"/>
      <c r="AQ11" s="959"/>
      <c r="AR11" s="967" t="str">
        <f>IF(ISBLANK(General!E17),"",General!E17)</f>
        <v/>
      </c>
      <c r="AS11" s="968"/>
      <c r="AT11" s="968"/>
      <c r="AU11" s="968"/>
      <c r="AV11" s="968"/>
      <c r="AW11" s="968"/>
      <c r="AX11" s="969"/>
      <c r="AY11" s="954" t="s">
        <v>930</v>
      </c>
      <c r="AZ11" s="955"/>
      <c r="BA11" s="956"/>
      <c r="BB11" s="957" t="str">
        <f>IF(ISBLANK(General!$E$16),"",General!$E$16)</f>
        <v/>
      </c>
      <c r="BC11" s="958"/>
      <c r="BD11" s="958"/>
      <c r="BE11" s="958"/>
      <c r="BF11" s="958"/>
      <c r="BG11" s="958"/>
      <c r="BH11" s="958"/>
      <c r="BI11" s="959"/>
      <c r="BJ11" s="967" t="str">
        <f>IF(ISBLANK(General!E17),"",General!E17)</f>
        <v/>
      </c>
      <c r="BK11" s="968"/>
      <c r="BL11" s="968"/>
      <c r="BM11" s="968"/>
      <c r="BN11" s="968"/>
      <c r="BO11" s="968"/>
      <c r="BP11" s="969"/>
      <c r="BQ11" s="954" t="s">
        <v>930</v>
      </c>
      <c r="BR11" s="955"/>
      <c r="BS11" s="956"/>
      <c r="BT11" s="957" t="str">
        <f>IF(ISBLANK(General!$E$16),"",General!$E$16)</f>
        <v/>
      </c>
      <c r="BU11" s="958"/>
      <c r="BV11" s="958"/>
      <c r="BW11" s="958"/>
      <c r="BX11" s="958"/>
      <c r="BY11" s="958"/>
      <c r="BZ11" s="958"/>
      <c r="CA11" s="959"/>
      <c r="CB11" s="967" t="str">
        <f>IF(ISBLANK(General!E17),"",General!E17)</f>
        <v/>
      </c>
      <c r="CC11" s="968"/>
      <c r="CD11" s="968"/>
      <c r="CE11" s="968"/>
      <c r="CF11" s="968"/>
      <c r="CG11" s="968"/>
      <c r="CH11" s="969"/>
      <c r="CI11" s="954" t="s">
        <v>930</v>
      </c>
      <c r="CJ11" s="955"/>
      <c r="CK11" s="956"/>
      <c r="CL11" s="957" t="str">
        <f>IF(ISBLANK(General!$E$16),"",General!$E$16)</f>
        <v/>
      </c>
      <c r="CM11" s="958"/>
      <c r="CN11" s="958"/>
      <c r="CO11" s="958"/>
      <c r="CP11" s="958"/>
      <c r="CQ11" s="958"/>
      <c r="CR11" s="958"/>
      <c r="CS11" s="959"/>
      <c r="CT11" s="967" t="str">
        <f>IF(ISBLANK(General!E17),"",General!E17)</f>
        <v/>
      </c>
      <c r="CU11" s="968"/>
      <c r="CV11" s="968"/>
      <c r="CW11" s="968"/>
      <c r="CX11" s="968"/>
      <c r="CY11" s="968"/>
      <c r="CZ11" s="969"/>
      <c r="DA11" s="954" t="s">
        <v>930</v>
      </c>
      <c r="DB11" s="955"/>
      <c r="DC11" s="956"/>
      <c r="DD11" s="957" t="str">
        <f>IF(ISBLANK(General!$E$16),"",General!$E$16)</f>
        <v/>
      </c>
      <c r="DE11" s="958"/>
      <c r="DF11" s="958"/>
      <c r="DG11" s="958"/>
      <c r="DH11" s="958"/>
      <c r="DI11" s="958"/>
      <c r="DJ11" s="958"/>
      <c r="DK11" s="959"/>
      <c r="DL11" s="967" t="str">
        <f>IF(ISBLANK(General!E17),"",General!E17)</f>
        <v/>
      </c>
      <c r="DM11" s="968"/>
      <c r="DN11" s="968"/>
      <c r="DO11" s="968"/>
      <c r="DP11" s="968"/>
      <c r="DQ11" s="968"/>
      <c r="DR11" s="969"/>
      <c r="DS11" s="954" t="s">
        <v>930</v>
      </c>
      <c r="DT11" s="955"/>
      <c r="DU11" s="956"/>
      <c r="DV11" s="957" t="str">
        <f>IF(ISBLANK(General!$E$16),"",General!$E$16)</f>
        <v/>
      </c>
      <c r="DW11" s="958"/>
      <c r="DX11" s="958"/>
      <c r="DY11" s="958"/>
      <c r="DZ11" s="958"/>
      <c r="EA11" s="958"/>
      <c r="EB11" s="958"/>
      <c r="EC11" s="959"/>
      <c r="ED11" s="967" t="str">
        <f>IF(ISBLANK(General!E17),"",General!E17)</f>
        <v/>
      </c>
      <c r="EE11" s="968"/>
      <c r="EF11" s="968"/>
      <c r="EG11" s="968"/>
      <c r="EH11" s="968"/>
      <c r="EI11" s="968"/>
      <c r="EJ11" s="969"/>
      <c r="EK11" s="954" t="s">
        <v>930</v>
      </c>
      <c r="EL11" s="955"/>
      <c r="EM11" s="956"/>
      <c r="EN11" s="957" t="str">
        <f>IF(ISBLANK(General!$E$16),"",General!$E$16)</f>
        <v/>
      </c>
      <c r="EO11" s="958"/>
      <c r="EP11" s="958"/>
      <c r="EQ11" s="958"/>
      <c r="ER11" s="958"/>
      <c r="ES11" s="958"/>
      <c r="ET11" s="958"/>
      <c r="EU11" s="959"/>
      <c r="EV11" s="967" t="str">
        <f>IF(ISBLANK(General!E17),"",General!E17)</f>
        <v/>
      </c>
      <c r="EW11" s="968"/>
      <c r="EX11" s="968"/>
      <c r="EY11" s="968"/>
      <c r="EZ11" s="968"/>
      <c r="FA11" s="968"/>
      <c r="FB11" s="969"/>
      <c r="FC11" s="954" t="s">
        <v>930</v>
      </c>
      <c r="FD11" s="955"/>
      <c r="FE11" s="956"/>
      <c r="FF11" s="957" t="str">
        <f>IF(ISBLANK(General!$E$16),"",General!$E$16)</f>
        <v/>
      </c>
      <c r="FG11" s="958"/>
      <c r="FH11" s="958"/>
      <c r="FI11" s="958"/>
      <c r="FJ11" s="958"/>
      <c r="FK11" s="958"/>
      <c r="FL11" s="958"/>
      <c r="FM11" s="959"/>
      <c r="FN11" s="967" t="str">
        <f>IF(ISBLANK(General!E17),"",General!E17)</f>
        <v/>
      </c>
      <c r="FO11" s="968"/>
      <c r="FP11" s="968"/>
      <c r="FQ11" s="968"/>
      <c r="FR11" s="968"/>
      <c r="FS11" s="968"/>
      <c r="FT11" s="969"/>
      <c r="FU11" s="954" t="s">
        <v>930</v>
      </c>
      <c r="FV11" s="955"/>
      <c r="FW11" s="956"/>
      <c r="FX11" s="957" t="str">
        <f>IF(ISBLANK(General!$E$16),"",General!$E$16)</f>
        <v/>
      </c>
      <c r="FY11" s="958"/>
      <c r="FZ11" s="958"/>
      <c r="GA11" s="958"/>
      <c r="GB11" s="958"/>
      <c r="GC11" s="958"/>
      <c r="GD11" s="958"/>
      <c r="GE11" s="959"/>
      <c r="GF11" s="967" t="str">
        <f>IF(ISBLANK(General!E17),"",General!E17)</f>
        <v/>
      </c>
      <c r="GG11" s="968"/>
      <c r="GH11" s="968"/>
      <c r="GI11" s="968"/>
      <c r="GJ11" s="968"/>
      <c r="GK11" s="968"/>
      <c r="GL11" s="969"/>
      <c r="GM11" s="954" t="s">
        <v>930</v>
      </c>
      <c r="GN11" s="955"/>
      <c r="GO11" s="956"/>
      <c r="GP11" s="957" t="str">
        <f>IF(ISBLANK(General!$E$16),"",General!$E$16)</f>
        <v/>
      </c>
      <c r="GQ11" s="958"/>
      <c r="GR11" s="958"/>
      <c r="GS11" s="958"/>
      <c r="GT11" s="958"/>
      <c r="GU11" s="958"/>
      <c r="GV11" s="958"/>
      <c r="GW11" s="959"/>
      <c r="GX11" s="967" t="str">
        <f>IF(ISBLANK(General!E17),"",General!E17)</f>
        <v/>
      </c>
      <c r="GY11" s="968"/>
      <c r="GZ11" s="968"/>
      <c r="HA11" s="968"/>
      <c r="HB11" s="968"/>
      <c r="HC11" s="968"/>
      <c r="HD11" s="969"/>
      <c r="HE11" s="954" t="s">
        <v>930</v>
      </c>
      <c r="HF11" s="955"/>
      <c r="HG11" s="956"/>
      <c r="HH11" s="957" t="str">
        <f>IF(ISBLANK(General!$E$16),"",General!$E$16)</f>
        <v/>
      </c>
      <c r="HI11" s="958"/>
      <c r="HJ11" s="958"/>
      <c r="HK11" s="958"/>
      <c r="HL11" s="958"/>
      <c r="HM11" s="958"/>
      <c r="HN11" s="958"/>
      <c r="HO11" s="959"/>
      <c r="HP11" s="967" t="str">
        <f>IF(ISBLANK(General!E17),"",General!E17)</f>
        <v/>
      </c>
      <c r="HQ11" s="968"/>
      <c r="HR11" s="968"/>
      <c r="HS11" s="968"/>
      <c r="HT11" s="968"/>
      <c r="HU11" s="968"/>
      <c r="HV11" s="969"/>
      <c r="HW11" s="954" t="s">
        <v>930</v>
      </c>
      <c r="HX11" s="955"/>
      <c r="HY11" s="956"/>
      <c r="HZ11" s="957" t="str">
        <f>IF(ISBLANK(General!$E$16),"",General!$E$16)</f>
        <v/>
      </c>
      <c r="IA11" s="958"/>
      <c r="IB11" s="958"/>
      <c r="IC11" s="958"/>
      <c r="ID11" s="958"/>
      <c r="IE11" s="958"/>
      <c r="IF11" s="958"/>
      <c r="IG11" s="958"/>
      <c r="IH11" s="959"/>
    </row>
    <row r="12" spans="2:242" ht="15.75" customHeight="1" x14ac:dyDescent="0.25">
      <c r="D12" s="1013" t="s">
        <v>965</v>
      </c>
      <c r="E12" s="1014"/>
      <c r="F12" s="1014"/>
      <c r="G12" s="1014"/>
      <c r="H12" s="1014"/>
      <c r="I12" s="1014"/>
      <c r="J12" s="1014"/>
      <c r="K12" s="1014"/>
      <c r="L12" s="1014"/>
      <c r="M12" s="1014"/>
      <c r="N12" s="1014"/>
      <c r="O12" s="1014"/>
      <c r="P12" s="1014"/>
      <c r="Q12" s="1014"/>
      <c r="R12" s="1014"/>
      <c r="S12" s="1014"/>
      <c r="T12" s="1014"/>
      <c r="U12" s="1014"/>
      <c r="V12" s="1014"/>
      <c r="W12" s="1014"/>
      <c r="X12" s="1014"/>
      <c r="Y12" s="1014"/>
      <c r="Z12" s="960" t="s">
        <v>966</v>
      </c>
      <c r="AA12" s="960"/>
      <c r="AB12" s="960"/>
      <c r="AC12" s="960"/>
      <c r="AD12" s="960"/>
      <c r="AE12" s="960"/>
      <c r="AF12" s="960"/>
      <c r="AG12" s="960"/>
      <c r="AH12" s="960"/>
      <c r="AI12" s="960"/>
      <c r="AJ12" s="960"/>
      <c r="AK12" s="960"/>
      <c r="AL12" s="960"/>
      <c r="AM12" s="960"/>
      <c r="AN12" s="960"/>
      <c r="AO12" s="960"/>
      <c r="AP12" s="960"/>
      <c r="AQ12" s="960"/>
      <c r="AR12" s="974" t="s">
        <v>967</v>
      </c>
      <c r="AS12" s="974"/>
      <c r="AT12" s="974"/>
      <c r="AU12" s="974"/>
      <c r="AV12" s="974"/>
      <c r="AW12" s="974"/>
      <c r="AX12" s="974"/>
      <c r="AY12" s="974"/>
      <c r="AZ12" s="974"/>
      <c r="BA12" s="974"/>
      <c r="BB12" s="974"/>
      <c r="BC12" s="974"/>
      <c r="BD12" s="974"/>
      <c r="BE12" s="974"/>
      <c r="BF12" s="974"/>
      <c r="BG12" s="974"/>
      <c r="BH12" s="974"/>
      <c r="BI12" s="974"/>
      <c r="BJ12" s="960" t="s">
        <v>967</v>
      </c>
      <c r="BK12" s="960"/>
      <c r="BL12" s="960"/>
      <c r="BM12" s="960"/>
      <c r="BN12" s="960"/>
      <c r="BO12" s="960"/>
      <c r="BP12" s="960"/>
      <c r="BQ12" s="960"/>
      <c r="BR12" s="960"/>
      <c r="BS12" s="960"/>
      <c r="BT12" s="960"/>
      <c r="BU12" s="960"/>
      <c r="BV12" s="960"/>
      <c r="BW12" s="960"/>
      <c r="BX12" s="960"/>
      <c r="BY12" s="960"/>
      <c r="BZ12" s="960"/>
      <c r="CA12" s="960"/>
      <c r="CB12" s="960" t="s">
        <v>966</v>
      </c>
      <c r="CC12" s="960"/>
      <c r="CD12" s="960"/>
      <c r="CE12" s="960"/>
      <c r="CF12" s="960"/>
      <c r="CG12" s="960"/>
      <c r="CH12" s="960"/>
      <c r="CI12" s="960"/>
      <c r="CJ12" s="960"/>
      <c r="CK12" s="960"/>
      <c r="CL12" s="960"/>
      <c r="CM12" s="960"/>
      <c r="CN12" s="960"/>
      <c r="CO12" s="960"/>
      <c r="CP12" s="960"/>
      <c r="CQ12" s="960"/>
      <c r="CR12" s="960"/>
      <c r="CS12" s="960"/>
      <c r="CT12" s="960" t="s">
        <v>966</v>
      </c>
      <c r="CU12" s="960"/>
      <c r="CV12" s="960"/>
      <c r="CW12" s="960"/>
      <c r="CX12" s="960"/>
      <c r="CY12" s="960"/>
      <c r="CZ12" s="960"/>
      <c r="DA12" s="960"/>
      <c r="DB12" s="960"/>
      <c r="DC12" s="960"/>
      <c r="DD12" s="960"/>
      <c r="DE12" s="960"/>
      <c r="DF12" s="960"/>
      <c r="DG12" s="960"/>
      <c r="DH12" s="960"/>
      <c r="DI12" s="960"/>
      <c r="DJ12" s="960"/>
      <c r="DK12" s="960"/>
      <c r="DL12" s="960" t="s">
        <v>966</v>
      </c>
      <c r="DM12" s="960"/>
      <c r="DN12" s="960"/>
      <c r="DO12" s="960"/>
      <c r="DP12" s="960"/>
      <c r="DQ12" s="960"/>
      <c r="DR12" s="960"/>
      <c r="DS12" s="960"/>
      <c r="DT12" s="960"/>
      <c r="DU12" s="960"/>
      <c r="DV12" s="960"/>
      <c r="DW12" s="960"/>
      <c r="DX12" s="960"/>
      <c r="DY12" s="960"/>
      <c r="DZ12" s="960"/>
      <c r="EA12" s="960"/>
      <c r="EB12" s="960"/>
      <c r="EC12" s="960"/>
      <c r="ED12" s="960" t="s">
        <v>966</v>
      </c>
      <c r="EE12" s="960"/>
      <c r="EF12" s="960"/>
      <c r="EG12" s="960"/>
      <c r="EH12" s="960"/>
      <c r="EI12" s="960"/>
      <c r="EJ12" s="960"/>
      <c r="EK12" s="960"/>
      <c r="EL12" s="960"/>
      <c r="EM12" s="960"/>
      <c r="EN12" s="960"/>
      <c r="EO12" s="960"/>
      <c r="EP12" s="960"/>
      <c r="EQ12" s="960"/>
      <c r="ER12" s="960"/>
      <c r="ES12" s="960"/>
      <c r="ET12" s="960"/>
      <c r="EU12" s="960"/>
      <c r="EV12" s="960" t="s">
        <v>966</v>
      </c>
      <c r="EW12" s="960"/>
      <c r="EX12" s="960"/>
      <c r="EY12" s="960"/>
      <c r="EZ12" s="960"/>
      <c r="FA12" s="960"/>
      <c r="FB12" s="960"/>
      <c r="FC12" s="960"/>
      <c r="FD12" s="960"/>
      <c r="FE12" s="960"/>
      <c r="FF12" s="960"/>
      <c r="FG12" s="960"/>
      <c r="FH12" s="960"/>
      <c r="FI12" s="960"/>
      <c r="FJ12" s="960"/>
      <c r="FK12" s="960"/>
      <c r="FL12" s="960"/>
      <c r="FM12" s="960"/>
      <c r="FN12" s="960" t="s">
        <v>966</v>
      </c>
      <c r="FO12" s="960"/>
      <c r="FP12" s="960"/>
      <c r="FQ12" s="960"/>
      <c r="FR12" s="960"/>
      <c r="FS12" s="960"/>
      <c r="FT12" s="960"/>
      <c r="FU12" s="960"/>
      <c r="FV12" s="960"/>
      <c r="FW12" s="960"/>
      <c r="FX12" s="960"/>
      <c r="FY12" s="960"/>
      <c r="FZ12" s="960"/>
      <c r="GA12" s="960"/>
      <c r="GB12" s="960"/>
      <c r="GC12" s="960"/>
      <c r="GD12" s="960"/>
      <c r="GE12" s="960"/>
      <c r="GF12" s="960" t="s">
        <v>966</v>
      </c>
      <c r="GG12" s="960"/>
      <c r="GH12" s="960"/>
      <c r="GI12" s="960"/>
      <c r="GJ12" s="960"/>
      <c r="GK12" s="960"/>
      <c r="GL12" s="960"/>
      <c r="GM12" s="960"/>
      <c r="GN12" s="960"/>
      <c r="GO12" s="960"/>
      <c r="GP12" s="960"/>
      <c r="GQ12" s="960"/>
      <c r="GR12" s="960"/>
      <c r="GS12" s="960"/>
      <c r="GT12" s="960"/>
      <c r="GU12" s="960"/>
      <c r="GV12" s="960"/>
      <c r="GW12" s="960"/>
      <c r="GX12" s="960" t="s">
        <v>966</v>
      </c>
      <c r="GY12" s="960"/>
      <c r="GZ12" s="960"/>
      <c r="HA12" s="960"/>
      <c r="HB12" s="960"/>
      <c r="HC12" s="960"/>
      <c r="HD12" s="960"/>
      <c r="HE12" s="960"/>
      <c r="HF12" s="960"/>
      <c r="HG12" s="960"/>
      <c r="HH12" s="960"/>
      <c r="HI12" s="960"/>
      <c r="HJ12" s="960"/>
      <c r="HK12" s="960"/>
      <c r="HL12" s="960"/>
      <c r="HM12" s="960"/>
      <c r="HN12" s="960"/>
      <c r="HO12" s="960"/>
      <c r="HP12" s="960" t="s">
        <v>968</v>
      </c>
      <c r="HQ12" s="960"/>
      <c r="HR12" s="960"/>
      <c r="HS12" s="960"/>
      <c r="HT12" s="960"/>
      <c r="HU12" s="960"/>
      <c r="HV12" s="960"/>
      <c r="HW12" s="960"/>
      <c r="HX12" s="960"/>
      <c r="HY12" s="960"/>
      <c r="HZ12" s="960"/>
      <c r="IA12" s="960"/>
      <c r="IB12" s="960"/>
      <c r="IC12" s="960"/>
      <c r="ID12" s="960"/>
      <c r="IE12" s="960"/>
      <c r="IF12" s="960"/>
      <c r="IG12" s="960"/>
      <c r="IH12" s="973"/>
    </row>
    <row r="13" spans="2:242" ht="65.099999999999994" customHeight="1" x14ac:dyDescent="0.2">
      <c r="D13" s="993" t="s">
        <v>784</v>
      </c>
      <c r="E13" s="994"/>
      <c r="F13" s="994"/>
      <c r="G13" s="994"/>
      <c r="H13" s="533" t="s">
        <v>429</v>
      </c>
      <c r="I13" s="533" t="s">
        <v>430</v>
      </c>
      <c r="J13" s="534" t="s">
        <v>431</v>
      </c>
      <c r="K13" s="533" t="s">
        <v>432</v>
      </c>
      <c r="L13" s="533" t="s">
        <v>433</v>
      </c>
      <c r="M13" s="533" t="s">
        <v>434</v>
      </c>
      <c r="N13" s="533" t="s">
        <v>435</v>
      </c>
      <c r="O13" s="533" t="s">
        <v>436</v>
      </c>
      <c r="P13" s="533" t="s">
        <v>437</v>
      </c>
      <c r="Q13" s="533" t="s">
        <v>438</v>
      </c>
      <c r="R13" s="533" t="s">
        <v>439</v>
      </c>
      <c r="S13" s="533" t="s">
        <v>440</v>
      </c>
      <c r="T13" s="533" t="s">
        <v>441</v>
      </c>
      <c r="U13" s="533" t="s">
        <v>442</v>
      </c>
      <c r="V13" s="533" t="s">
        <v>443</v>
      </c>
      <c r="W13" s="533" t="s">
        <v>444</v>
      </c>
      <c r="X13" s="533" t="s">
        <v>445</v>
      </c>
      <c r="Y13" s="533" t="s">
        <v>446</v>
      </c>
      <c r="Z13" s="533" t="s">
        <v>447</v>
      </c>
      <c r="AA13" s="533" t="s">
        <v>448</v>
      </c>
      <c r="AB13" s="533" t="s">
        <v>449</v>
      </c>
      <c r="AC13" s="533" t="s">
        <v>450</v>
      </c>
      <c r="AD13" s="533" t="s">
        <v>451</v>
      </c>
      <c r="AE13" s="533" t="s">
        <v>452</v>
      </c>
      <c r="AF13" s="533" t="s">
        <v>453</v>
      </c>
      <c r="AG13" s="533" t="s">
        <v>454</v>
      </c>
      <c r="AH13" s="533" t="s">
        <v>455</v>
      </c>
      <c r="AI13" s="533" t="s">
        <v>456</v>
      </c>
      <c r="AJ13" s="533" t="s">
        <v>457</v>
      </c>
      <c r="AK13" s="533" t="s">
        <v>458</v>
      </c>
      <c r="AL13" s="533" t="s">
        <v>459</v>
      </c>
      <c r="AM13" s="533" t="s">
        <v>460</v>
      </c>
      <c r="AN13" s="533" t="s">
        <v>461</v>
      </c>
      <c r="AO13" s="533" t="s">
        <v>462</v>
      </c>
      <c r="AP13" s="533" t="s">
        <v>463</v>
      </c>
      <c r="AQ13" s="533" t="s">
        <v>464</v>
      </c>
      <c r="AR13" s="533" t="s">
        <v>465</v>
      </c>
      <c r="AS13" s="533" t="s">
        <v>466</v>
      </c>
      <c r="AT13" s="533" t="s">
        <v>467</v>
      </c>
      <c r="AU13" s="533" t="s">
        <v>468</v>
      </c>
      <c r="AV13" s="533" t="s">
        <v>469</v>
      </c>
      <c r="AW13" s="533" t="s">
        <v>470</v>
      </c>
      <c r="AX13" s="533" t="s">
        <v>471</v>
      </c>
      <c r="AY13" s="533" t="s">
        <v>472</v>
      </c>
      <c r="AZ13" s="533" t="s">
        <v>473</v>
      </c>
      <c r="BA13" s="533" t="s">
        <v>474</v>
      </c>
      <c r="BB13" s="533" t="s">
        <v>475</v>
      </c>
      <c r="BC13" s="533" t="s">
        <v>476</v>
      </c>
      <c r="BD13" s="533" t="s">
        <v>477</v>
      </c>
      <c r="BE13" s="533" t="s">
        <v>478</v>
      </c>
      <c r="BF13" s="533" t="s">
        <v>479</v>
      </c>
      <c r="BG13" s="533" t="s">
        <v>480</v>
      </c>
      <c r="BH13" s="533" t="s">
        <v>481</v>
      </c>
      <c r="BI13" s="533" t="s">
        <v>482</v>
      </c>
      <c r="BJ13" s="533" t="s">
        <v>483</v>
      </c>
      <c r="BK13" s="533" t="s">
        <v>484</v>
      </c>
      <c r="BL13" s="533" t="s">
        <v>485</v>
      </c>
      <c r="BM13" s="533"/>
      <c r="BN13" s="533"/>
      <c r="BO13" s="533"/>
      <c r="BP13" s="533"/>
      <c r="BQ13" s="533"/>
      <c r="BR13" s="533"/>
      <c r="BS13" s="533"/>
      <c r="BT13" s="533"/>
      <c r="BU13" s="533"/>
      <c r="BV13" s="533"/>
      <c r="BW13" s="533"/>
      <c r="BX13" s="533"/>
      <c r="BY13" s="533"/>
      <c r="BZ13" s="533"/>
      <c r="CA13" s="533"/>
      <c r="CB13" s="533"/>
      <c r="CC13" s="533"/>
      <c r="CD13" s="533"/>
      <c r="CE13" s="533"/>
      <c r="CF13" s="533"/>
      <c r="CG13" s="533"/>
      <c r="CH13" s="533"/>
      <c r="CI13" s="533"/>
      <c r="CJ13" s="533"/>
      <c r="CK13" s="533"/>
      <c r="CL13" s="533"/>
      <c r="CM13" s="533"/>
      <c r="CN13" s="533"/>
      <c r="CO13" s="533"/>
      <c r="CP13" s="533"/>
      <c r="CQ13" s="533"/>
      <c r="CR13" s="533"/>
      <c r="CS13" s="533"/>
      <c r="CT13" s="533"/>
      <c r="CU13" s="533"/>
      <c r="CV13" s="533"/>
      <c r="CW13" s="533"/>
      <c r="CX13" s="533"/>
      <c r="CY13" s="533"/>
      <c r="CZ13" s="533"/>
      <c r="DA13" s="533"/>
      <c r="DB13" s="533"/>
      <c r="DC13" s="533"/>
      <c r="DD13" s="533"/>
      <c r="DE13" s="533"/>
      <c r="DF13" s="533"/>
      <c r="DG13" s="533"/>
      <c r="DH13" s="533"/>
      <c r="DI13" s="533"/>
      <c r="DJ13" s="533"/>
      <c r="DK13" s="533"/>
      <c r="DL13" s="533"/>
      <c r="DM13" s="533"/>
      <c r="DN13" s="533"/>
      <c r="DO13" s="533"/>
      <c r="DP13" s="533"/>
      <c r="DQ13" s="533"/>
      <c r="DR13" s="533"/>
      <c r="DS13" s="533"/>
      <c r="DT13" s="533"/>
      <c r="DU13" s="533"/>
      <c r="DV13" s="533"/>
      <c r="DW13" s="533"/>
      <c r="DX13" s="533"/>
      <c r="DY13" s="533"/>
      <c r="DZ13" s="533"/>
      <c r="EA13" s="533"/>
      <c r="EB13" s="533"/>
      <c r="EC13" s="533"/>
      <c r="ED13" s="533"/>
      <c r="EE13" s="533"/>
      <c r="EF13" s="533"/>
      <c r="EG13" s="533"/>
      <c r="EH13" s="533"/>
      <c r="EI13" s="533"/>
      <c r="EJ13" s="533"/>
      <c r="EK13" s="533"/>
      <c r="EL13" s="533"/>
      <c r="EM13" s="533"/>
      <c r="EN13" s="533"/>
      <c r="EO13" s="533"/>
      <c r="EP13" s="533"/>
      <c r="EQ13" s="533"/>
      <c r="ER13" s="533"/>
      <c r="ES13" s="533"/>
      <c r="ET13" s="533"/>
      <c r="EU13" s="533"/>
      <c r="EV13" s="533"/>
      <c r="EW13" s="533"/>
      <c r="EX13" s="533"/>
      <c r="EY13" s="533"/>
      <c r="EZ13" s="533"/>
      <c r="FA13" s="533"/>
      <c r="FB13" s="533"/>
      <c r="FC13" s="533"/>
      <c r="FD13" s="533"/>
      <c r="FE13" s="533"/>
      <c r="FF13" s="533"/>
      <c r="FG13" s="533"/>
      <c r="FH13" s="533"/>
      <c r="FI13" s="533"/>
      <c r="FJ13" s="533"/>
      <c r="FK13" s="533"/>
      <c r="FL13" s="533"/>
      <c r="FM13" s="533"/>
      <c r="FN13" s="533"/>
      <c r="FO13" s="533"/>
      <c r="FP13" s="533"/>
      <c r="FQ13" s="533"/>
      <c r="FR13" s="533"/>
      <c r="FS13" s="533"/>
      <c r="FT13" s="533"/>
      <c r="FU13" s="533"/>
      <c r="FV13" s="533"/>
      <c r="FW13" s="533"/>
      <c r="FX13" s="533"/>
      <c r="FY13" s="533"/>
      <c r="FZ13" s="533"/>
      <c r="GA13" s="533"/>
      <c r="GB13" s="533"/>
      <c r="GC13" s="533"/>
      <c r="GD13" s="533"/>
      <c r="GE13" s="533"/>
      <c r="GF13" s="533"/>
      <c r="GG13" s="533"/>
      <c r="GH13" s="533"/>
      <c r="GI13" s="533"/>
      <c r="GJ13" s="533"/>
      <c r="GK13" s="533"/>
      <c r="GL13" s="533"/>
      <c r="GM13" s="533"/>
      <c r="GN13" s="533"/>
      <c r="GO13" s="533"/>
      <c r="GP13" s="533"/>
      <c r="GQ13" s="533"/>
      <c r="GR13" s="533"/>
      <c r="GS13" s="533"/>
      <c r="GT13" s="533"/>
      <c r="GU13" s="533"/>
      <c r="GV13" s="533"/>
      <c r="GW13" s="533"/>
      <c r="GX13" s="533"/>
      <c r="GY13" s="533"/>
      <c r="GZ13" s="533"/>
      <c r="HA13" s="533"/>
      <c r="HB13" s="533"/>
      <c r="HC13" s="533"/>
      <c r="HD13" s="533"/>
      <c r="HE13" s="533"/>
      <c r="HF13" s="533"/>
      <c r="HG13" s="533"/>
      <c r="HH13" s="533"/>
      <c r="HI13" s="533"/>
      <c r="HJ13" s="533"/>
      <c r="HK13" s="533"/>
      <c r="HL13" s="533"/>
      <c r="HM13" s="533"/>
      <c r="HN13" s="533"/>
      <c r="HO13" s="533"/>
      <c r="HP13" s="533"/>
      <c r="HQ13" s="533"/>
      <c r="HR13" s="533"/>
      <c r="HS13" s="533"/>
      <c r="HT13" s="533"/>
      <c r="HU13" s="533"/>
      <c r="HV13" s="533"/>
      <c r="HW13" s="533"/>
      <c r="HX13" s="533"/>
      <c r="HY13" s="533"/>
      <c r="HZ13" s="533"/>
      <c r="IA13" s="533"/>
      <c r="IB13" s="533"/>
      <c r="IC13" s="533"/>
      <c r="ID13" s="533"/>
      <c r="IE13" s="533"/>
      <c r="IF13" s="533"/>
      <c r="IG13" s="533"/>
      <c r="IH13" s="567"/>
    </row>
    <row r="14" spans="2:242" ht="15.95" customHeight="1" x14ac:dyDescent="0.2">
      <c r="D14" s="995" t="s">
        <v>486</v>
      </c>
      <c r="E14" s="996"/>
      <c r="F14" s="996"/>
      <c r="G14" s="997"/>
      <c r="H14" s="121">
        <v>101</v>
      </c>
      <c r="I14" s="121">
        <v>102</v>
      </c>
      <c r="J14" s="121">
        <v>103</v>
      </c>
      <c r="K14" s="121">
        <v>104</v>
      </c>
      <c r="L14" s="121">
        <v>105</v>
      </c>
      <c r="M14" s="121">
        <v>106</v>
      </c>
      <c r="N14" s="121">
        <v>201</v>
      </c>
      <c r="O14" s="121">
        <v>202</v>
      </c>
      <c r="P14" s="121">
        <v>203</v>
      </c>
      <c r="Q14" s="121" t="s">
        <v>202</v>
      </c>
      <c r="R14" s="121">
        <v>204</v>
      </c>
      <c r="S14" s="121">
        <v>205</v>
      </c>
      <c r="T14" s="121">
        <v>206</v>
      </c>
      <c r="U14" s="121">
        <v>207</v>
      </c>
      <c r="V14" s="121">
        <v>208</v>
      </c>
      <c r="W14" s="121">
        <v>209</v>
      </c>
      <c r="X14" s="121">
        <v>210</v>
      </c>
      <c r="Y14" s="121">
        <v>211</v>
      </c>
      <c r="Z14" s="121">
        <v>212</v>
      </c>
      <c r="AA14" s="121">
        <v>213</v>
      </c>
      <c r="AB14" s="121">
        <v>214</v>
      </c>
      <c r="AC14" s="121">
        <v>215</v>
      </c>
      <c r="AD14" s="121">
        <v>216</v>
      </c>
      <c r="AE14" s="121">
        <v>217</v>
      </c>
      <c r="AF14" s="121">
        <v>218</v>
      </c>
      <c r="AG14" s="121">
        <v>219</v>
      </c>
      <c r="AH14" s="121">
        <v>220</v>
      </c>
      <c r="AI14" s="121">
        <v>221</v>
      </c>
      <c r="AJ14" s="121">
        <v>222</v>
      </c>
      <c r="AK14" s="121">
        <v>223</v>
      </c>
      <c r="AL14" s="121">
        <v>224</v>
      </c>
      <c r="AM14" s="121">
        <v>225</v>
      </c>
      <c r="AN14" s="121">
        <v>226</v>
      </c>
      <c r="AO14" s="121">
        <v>227</v>
      </c>
      <c r="AP14" s="121">
        <v>228</v>
      </c>
      <c r="AQ14" s="121">
        <v>229</v>
      </c>
      <c r="AR14" s="121">
        <v>230</v>
      </c>
      <c r="AS14" s="121">
        <v>231</v>
      </c>
      <c r="AT14" s="121">
        <v>232</v>
      </c>
      <c r="AU14" s="121">
        <v>233</v>
      </c>
      <c r="AV14" s="121">
        <v>234</v>
      </c>
      <c r="AW14" s="121">
        <v>235</v>
      </c>
      <c r="AX14" s="121">
        <v>241</v>
      </c>
      <c r="AY14" s="121">
        <v>242</v>
      </c>
      <c r="AZ14" s="121">
        <v>243</v>
      </c>
      <c r="BA14" s="121">
        <v>244</v>
      </c>
      <c r="BB14" s="121">
        <v>245</v>
      </c>
      <c r="BC14" s="121">
        <v>246</v>
      </c>
      <c r="BD14" s="121">
        <v>247</v>
      </c>
      <c r="BE14" s="121">
        <v>248</v>
      </c>
      <c r="BF14" s="121">
        <v>301</v>
      </c>
      <c r="BG14" s="121">
        <v>302</v>
      </c>
      <c r="BH14" s="121">
        <v>303</v>
      </c>
      <c r="BI14" s="121">
        <v>304</v>
      </c>
      <c r="BJ14" s="121">
        <v>305</v>
      </c>
      <c r="BK14" s="121">
        <v>306</v>
      </c>
      <c r="BL14" s="121">
        <v>307</v>
      </c>
      <c r="BM14" s="121" t="s">
        <v>248</v>
      </c>
      <c r="BN14" s="121" t="s">
        <v>249</v>
      </c>
      <c r="BO14" s="121" t="s">
        <v>250</v>
      </c>
      <c r="BP14" s="121" t="s">
        <v>251</v>
      </c>
      <c r="BQ14" s="121" t="s">
        <v>252</v>
      </c>
      <c r="BR14" s="121" t="s">
        <v>253</v>
      </c>
      <c r="BS14" s="121" t="s">
        <v>254</v>
      </c>
      <c r="BT14" s="121" t="s">
        <v>255</v>
      </c>
      <c r="BU14" s="121" t="s">
        <v>256</v>
      </c>
      <c r="BV14" s="121" t="s">
        <v>257</v>
      </c>
      <c r="BW14" s="121" t="s">
        <v>258</v>
      </c>
      <c r="BX14" s="121" t="s">
        <v>259</v>
      </c>
      <c r="BY14" s="121" t="s">
        <v>260</v>
      </c>
      <c r="BZ14" s="121" t="s">
        <v>261</v>
      </c>
      <c r="CA14" s="121" t="s">
        <v>262</v>
      </c>
      <c r="CB14" s="121" t="s">
        <v>263</v>
      </c>
      <c r="CC14" s="121" t="s">
        <v>264</v>
      </c>
      <c r="CD14" s="121" t="s">
        <v>265</v>
      </c>
      <c r="CE14" s="121" t="s">
        <v>266</v>
      </c>
      <c r="CF14" s="121" t="s">
        <v>267</v>
      </c>
      <c r="CG14" s="121" t="s">
        <v>268</v>
      </c>
      <c r="CH14" s="121" t="s">
        <v>269</v>
      </c>
      <c r="CI14" s="121" t="s">
        <v>270</v>
      </c>
      <c r="CJ14" s="121" t="s">
        <v>271</v>
      </c>
      <c r="CK14" s="121" t="s">
        <v>272</v>
      </c>
      <c r="CL14" s="121" t="s">
        <v>273</v>
      </c>
      <c r="CM14" s="121" t="s">
        <v>274</v>
      </c>
      <c r="CN14" s="121" t="s">
        <v>275</v>
      </c>
      <c r="CO14" s="121" t="s">
        <v>276</v>
      </c>
      <c r="CP14" s="121" t="s">
        <v>277</v>
      </c>
      <c r="CQ14" s="121" t="s">
        <v>278</v>
      </c>
      <c r="CR14" s="121" t="s">
        <v>279</v>
      </c>
      <c r="CS14" s="121" t="s">
        <v>280</v>
      </c>
      <c r="CT14" s="121" t="s">
        <v>281</v>
      </c>
      <c r="CU14" s="121" t="s">
        <v>282</v>
      </c>
      <c r="CV14" s="121" t="s">
        <v>283</v>
      </c>
      <c r="CW14" s="121" t="s">
        <v>284</v>
      </c>
      <c r="CX14" s="121" t="s">
        <v>285</v>
      </c>
      <c r="CY14" s="121" t="s">
        <v>286</v>
      </c>
      <c r="CZ14" s="121" t="s">
        <v>287</v>
      </c>
      <c r="DA14" s="121" t="s">
        <v>288</v>
      </c>
      <c r="DB14" s="121" t="s">
        <v>289</v>
      </c>
      <c r="DC14" s="121" t="s">
        <v>290</v>
      </c>
      <c r="DD14" s="121" t="s">
        <v>291</v>
      </c>
      <c r="DE14" s="121" t="s">
        <v>292</v>
      </c>
      <c r="DF14" s="121" t="s">
        <v>293</v>
      </c>
      <c r="DG14" s="121" t="s">
        <v>294</v>
      </c>
      <c r="DH14" s="121" t="s">
        <v>295</v>
      </c>
      <c r="DI14" s="121" t="s">
        <v>296</v>
      </c>
      <c r="DJ14" s="121" t="s">
        <v>297</v>
      </c>
      <c r="DK14" s="121" t="s">
        <v>298</v>
      </c>
      <c r="DL14" s="121" t="s">
        <v>299</v>
      </c>
      <c r="DM14" s="121" t="s">
        <v>300</v>
      </c>
      <c r="DN14" s="121" t="s">
        <v>301</v>
      </c>
      <c r="DO14" s="121" t="s">
        <v>302</v>
      </c>
      <c r="DP14" s="121" t="s">
        <v>303</v>
      </c>
      <c r="DQ14" s="121" t="s">
        <v>304</v>
      </c>
      <c r="DR14" s="121" t="s">
        <v>305</v>
      </c>
      <c r="DS14" s="121" t="s">
        <v>306</v>
      </c>
      <c r="DT14" s="121" t="s">
        <v>307</v>
      </c>
      <c r="DU14" s="121" t="s">
        <v>308</v>
      </c>
      <c r="DV14" s="121" t="s">
        <v>309</v>
      </c>
      <c r="DW14" s="121" t="s">
        <v>310</v>
      </c>
      <c r="DX14" s="121" t="s">
        <v>311</v>
      </c>
      <c r="DY14" s="121" t="s">
        <v>312</v>
      </c>
      <c r="DZ14" s="121" t="s">
        <v>313</v>
      </c>
      <c r="EA14" s="121" t="s">
        <v>314</v>
      </c>
      <c r="EB14" s="121" t="s">
        <v>315</v>
      </c>
      <c r="EC14" s="121" t="s">
        <v>316</v>
      </c>
      <c r="ED14" s="121" t="s">
        <v>317</v>
      </c>
      <c r="EE14" s="121" t="s">
        <v>318</v>
      </c>
      <c r="EF14" s="121" t="s">
        <v>319</v>
      </c>
      <c r="EG14" s="121" t="s">
        <v>320</v>
      </c>
      <c r="EH14" s="121" t="s">
        <v>321</v>
      </c>
      <c r="EI14" s="121" t="s">
        <v>322</v>
      </c>
      <c r="EJ14" s="121" t="s">
        <v>323</v>
      </c>
      <c r="EK14" s="121" t="s">
        <v>324</v>
      </c>
      <c r="EL14" s="121" t="s">
        <v>325</v>
      </c>
      <c r="EM14" s="121" t="s">
        <v>326</v>
      </c>
      <c r="EN14" s="121" t="s">
        <v>327</v>
      </c>
      <c r="EO14" s="121" t="s">
        <v>328</v>
      </c>
      <c r="EP14" s="121" t="s">
        <v>329</v>
      </c>
      <c r="EQ14" s="121" t="s">
        <v>330</v>
      </c>
      <c r="ER14" s="121" t="s">
        <v>331</v>
      </c>
      <c r="ES14" s="121" t="s">
        <v>332</v>
      </c>
      <c r="ET14" s="121" t="s">
        <v>333</v>
      </c>
      <c r="EU14" s="121" t="s">
        <v>334</v>
      </c>
      <c r="EV14" s="121" t="s">
        <v>335</v>
      </c>
      <c r="EW14" s="121" t="s">
        <v>336</v>
      </c>
      <c r="EX14" s="121" t="s">
        <v>337</v>
      </c>
      <c r="EY14" s="121" t="s">
        <v>338</v>
      </c>
      <c r="EZ14" s="121" t="s">
        <v>339</v>
      </c>
      <c r="FA14" s="121" t="s">
        <v>340</v>
      </c>
      <c r="FB14" s="121" t="s">
        <v>341</v>
      </c>
      <c r="FC14" s="121" t="s">
        <v>342</v>
      </c>
      <c r="FD14" s="121" t="s">
        <v>343</v>
      </c>
      <c r="FE14" s="121" t="s">
        <v>344</v>
      </c>
      <c r="FF14" s="121" t="s">
        <v>345</v>
      </c>
      <c r="FG14" s="121" t="s">
        <v>346</v>
      </c>
      <c r="FH14" s="121" t="s">
        <v>347</v>
      </c>
      <c r="FI14" s="121" t="s">
        <v>348</v>
      </c>
      <c r="FJ14" s="121" t="s">
        <v>349</v>
      </c>
      <c r="FK14" s="121" t="s">
        <v>350</v>
      </c>
      <c r="FL14" s="121" t="s">
        <v>351</v>
      </c>
      <c r="FM14" s="121" t="s">
        <v>352</v>
      </c>
      <c r="FN14" s="121" t="s">
        <v>353</v>
      </c>
      <c r="FO14" s="121" t="s">
        <v>354</v>
      </c>
      <c r="FP14" s="121" t="s">
        <v>355</v>
      </c>
      <c r="FQ14" s="121" t="s">
        <v>356</v>
      </c>
      <c r="FR14" s="121" t="s">
        <v>357</v>
      </c>
      <c r="FS14" s="121" t="s">
        <v>358</v>
      </c>
      <c r="FT14" s="121" t="s">
        <v>359</v>
      </c>
      <c r="FU14" s="121" t="s">
        <v>360</v>
      </c>
      <c r="FV14" s="121" t="s">
        <v>361</v>
      </c>
      <c r="FW14" s="121" t="s">
        <v>362</v>
      </c>
      <c r="FX14" s="121" t="s">
        <v>363</v>
      </c>
      <c r="FY14" s="121" t="s">
        <v>364</v>
      </c>
      <c r="FZ14" s="121" t="s">
        <v>365</v>
      </c>
      <c r="GA14" s="121" t="s">
        <v>366</v>
      </c>
      <c r="GB14" s="121" t="s">
        <v>367</v>
      </c>
      <c r="GC14" s="121" t="s">
        <v>368</v>
      </c>
      <c r="GD14" s="121" t="s">
        <v>369</v>
      </c>
      <c r="GE14" s="121" t="s">
        <v>370</v>
      </c>
      <c r="GF14" s="121" t="s">
        <v>371</v>
      </c>
      <c r="GG14" s="121" t="s">
        <v>372</v>
      </c>
      <c r="GH14" s="121" t="s">
        <v>373</v>
      </c>
      <c r="GI14" s="121" t="s">
        <v>374</v>
      </c>
      <c r="GJ14" s="121" t="s">
        <v>375</v>
      </c>
      <c r="GK14" s="121" t="s">
        <v>376</v>
      </c>
      <c r="GL14" s="121" t="s">
        <v>377</v>
      </c>
      <c r="GM14" s="121" t="s">
        <v>378</v>
      </c>
      <c r="GN14" s="121" t="s">
        <v>379</v>
      </c>
      <c r="GO14" s="121" t="s">
        <v>380</v>
      </c>
      <c r="GP14" s="121" t="s">
        <v>381</v>
      </c>
      <c r="GQ14" s="121" t="s">
        <v>382</v>
      </c>
      <c r="GR14" s="121" t="s">
        <v>383</v>
      </c>
      <c r="GS14" s="121" t="s">
        <v>384</v>
      </c>
      <c r="GT14" s="121" t="s">
        <v>385</v>
      </c>
      <c r="GU14" s="121" t="s">
        <v>386</v>
      </c>
      <c r="GV14" s="121" t="s">
        <v>387</v>
      </c>
      <c r="GW14" s="121" t="s">
        <v>388</v>
      </c>
      <c r="GX14" s="121" t="s">
        <v>389</v>
      </c>
      <c r="GY14" s="121" t="s">
        <v>390</v>
      </c>
      <c r="GZ14" s="121" t="s">
        <v>391</v>
      </c>
      <c r="HA14" s="121" t="s">
        <v>392</v>
      </c>
      <c r="HB14" s="121" t="s">
        <v>393</v>
      </c>
      <c r="HC14" s="121" t="s">
        <v>394</v>
      </c>
      <c r="HD14" s="121" t="s">
        <v>395</v>
      </c>
      <c r="HE14" s="121" t="s">
        <v>396</v>
      </c>
      <c r="HF14" s="121" t="s">
        <v>397</v>
      </c>
      <c r="HG14" s="121" t="s">
        <v>398</v>
      </c>
      <c r="HH14" s="121" t="s">
        <v>399</v>
      </c>
      <c r="HI14" s="121" t="s">
        <v>400</v>
      </c>
      <c r="HJ14" s="121" t="s">
        <v>401</v>
      </c>
      <c r="HK14" s="121" t="s">
        <v>402</v>
      </c>
      <c r="HL14" s="121" t="s">
        <v>403</v>
      </c>
      <c r="HM14" s="121" t="s">
        <v>404</v>
      </c>
      <c r="HN14" s="121" t="s">
        <v>405</v>
      </c>
      <c r="HO14" s="121" t="s">
        <v>406</v>
      </c>
      <c r="HP14" s="121" t="s">
        <v>407</v>
      </c>
      <c r="HQ14" s="121" t="s">
        <v>408</v>
      </c>
      <c r="HR14" s="121" t="s">
        <v>409</v>
      </c>
      <c r="HS14" s="121" t="s">
        <v>410</v>
      </c>
      <c r="HT14" s="121" t="s">
        <v>411</v>
      </c>
      <c r="HU14" s="121" t="s">
        <v>412</v>
      </c>
      <c r="HV14" s="121" t="s">
        <v>413</v>
      </c>
      <c r="HW14" s="121" t="s">
        <v>414</v>
      </c>
      <c r="HX14" s="121" t="s">
        <v>415</v>
      </c>
      <c r="HY14" s="121" t="s">
        <v>416</v>
      </c>
      <c r="HZ14" s="121" t="s">
        <v>417</v>
      </c>
      <c r="IA14" s="121" t="s">
        <v>418</v>
      </c>
      <c r="IB14" s="121" t="s">
        <v>419</v>
      </c>
      <c r="IC14" s="121" t="s">
        <v>420</v>
      </c>
      <c r="ID14" s="121" t="s">
        <v>421</v>
      </c>
      <c r="IE14" s="121" t="s">
        <v>422</v>
      </c>
      <c r="IF14" s="121" t="s">
        <v>423</v>
      </c>
      <c r="IG14" s="121" t="s">
        <v>424</v>
      </c>
      <c r="IH14" s="568" t="s">
        <v>425</v>
      </c>
    </row>
    <row r="15" spans="2:242" ht="15.95" customHeight="1" x14ac:dyDescent="0.25">
      <c r="D15" s="1007" t="s">
        <v>487</v>
      </c>
      <c r="E15" s="1008"/>
      <c r="F15" s="1008"/>
      <c r="G15" s="1008"/>
      <c r="H15" s="1008"/>
      <c r="I15" s="1008"/>
      <c r="J15" s="1008"/>
      <c r="K15" s="1008"/>
      <c r="L15" s="1008"/>
      <c r="M15" s="1008"/>
      <c r="N15" s="1008"/>
      <c r="O15" s="1008"/>
      <c r="P15" s="1008"/>
      <c r="Q15" s="1008"/>
      <c r="R15" s="1008"/>
      <c r="S15" s="1008"/>
      <c r="T15" s="1008"/>
      <c r="U15" s="1008"/>
      <c r="V15" s="1008"/>
      <c r="W15" s="1008"/>
      <c r="X15" s="1008"/>
      <c r="Y15" s="1008"/>
      <c r="Z15" s="1008"/>
      <c r="AA15" s="1008"/>
      <c r="AB15" s="1008"/>
      <c r="AC15" s="1008"/>
      <c r="AD15" s="1008"/>
      <c r="AE15" s="1008"/>
      <c r="AF15" s="1008"/>
      <c r="AG15" s="1008"/>
      <c r="AH15" s="1008"/>
      <c r="AI15" s="1008"/>
      <c r="AJ15" s="1008"/>
      <c r="AK15" s="1008"/>
      <c r="AL15" s="1008"/>
      <c r="AM15" s="1008"/>
      <c r="AN15" s="1008"/>
      <c r="AO15" s="1008"/>
      <c r="AP15" s="1008"/>
      <c r="AQ15" s="1008"/>
      <c r="AR15" s="1008"/>
      <c r="AS15" s="1008"/>
      <c r="AT15" s="1008"/>
      <c r="AU15" s="1008"/>
      <c r="AV15" s="1008"/>
      <c r="AW15" s="1008"/>
      <c r="AX15" s="1008"/>
      <c r="AY15" s="1008"/>
      <c r="AZ15" s="1008"/>
      <c r="BA15" s="1008"/>
      <c r="BB15" s="1008"/>
      <c r="BC15" s="1008"/>
      <c r="BD15" s="1008"/>
      <c r="BE15" s="1008"/>
      <c r="BF15" s="1008"/>
      <c r="BG15" s="1008"/>
      <c r="BH15" s="1008"/>
      <c r="BI15" s="1008"/>
      <c r="BJ15" s="1008"/>
      <c r="BK15" s="1008"/>
      <c r="BL15" s="1008"/>
      <c r="BM15" s="1008"/>
      <c r="BN15" s="1008"/>
      <c r="BO15" s="1008"/>
      <c r="BP15" s="1008"/>
      <c r="BQ15" s="1008"/>
      <c r="BR15" s="1008"/>
      <c r="BS15" s="1008"/>
      <c r="BT15" s="1008"/>
      <c r="BU15" s="1008"/>
      <c r="BV15" s="1008"/>
      <c r="BW15" s="1008"/>
      <c r="BX15" s="1008"/>
      <c r="BY15" s="1008"/>
      <c r="BZ15" s="1008"/>
      <c r="CA15" s="1008"/>
      <c r="CB15" s="1008"/>
      <c r="CC15" s="1008"/>
      <c r="CD15" s="1008"/>
      <c r="CE15" s="1008"/>
      <c r="CF15" s="1008"/>
      <c r="CG15" s="1008"/>
      <c r="CH15" s="1008"/>
      <c r="CI15" s="1008"/>
      <c r="CJ15" s="1008"/>
      <c r="CK15" s="1008"/>
      <c r="CL15" s="1008"/>
      <c r="CM15" s="1008"/>
      <c r="CN15" s="1008"/>
      <c r="CO15" s="1008"/>
      <c r="CP15" s="1008"/>
      <c r="CQ15" s="1008"/>
      <c r="CR15" s="1008"/>
      <c r="CS15" s="1008"/>
      <c r="CT15" s="1008"/>
      <c r="CU15" s="1008"/>
      <c r="CV15" s="1008"/>
      <c r="CW15" s="1008"/>
      <c r="CX15" s="1008"/>
      <c r="CY15" s="1008"/>
      <c r="CZ15" s="1008"/>
      <c r="DA15" s="1008"/>
      <c r="DB15" s="1008"/>
      <c r="DC15" s="1008"/>
      <c r="DD15" s="1008"/>
      <c r="DE15" s="1008"/>
      <c r="DF15" s="1008"/>
      <c r="DG15" s="1008"/>
      <c r="DH15" s="1008"/>
      <c r="DI15" s="1008"/>
      <c r="DJ15" s="1008"/>
      <c r="DK15" s="1008"/>
      <c r="DL15" s="1008"/>
      <c r="DM15" s="1008"/>
      <c r="DN15" s="1008"/>
      <c r="DO15" s="1008"/>
      <c r="DP15" s="1008"/>
      <c r="DQ15" s="1008"/>
      <c r="DR15" s="1008"/>
      <c r="DS15" s="1008"/>
      <c r="DT15" s="1008"/>
      <c r="DU15" s="1008"/>
      <c r="DV15" s="1008"/>
      <c r="DW15" s="1008"/>
      <c r="DX15" s="1008"/>
      <c r="DY15" s="1008"/>
      <c r="DZ15" s="1008"/>
      <c r="EA15" s="1008"/>
      <c r="EB15" s="1008"/>
      <c r="EC15" s="1008"/>
      <c r="ED15" s="1008"/>
      <c r="EE15" s="1008"/>
      <c r="EF15" s="1008"/>
      <c r="EG15" s="1008"/>
      <c r="EH15" s="1008"/>
      <c r="EI15" s="1008"/>
      <c r="EJ15" s="1008"/>
      <c r="EK15" s="1008"/>
      <c r="EL15" s="1008"/>
      <c r="EM15" s="1008"/>
      <c r="EN15" s="1008"/>
      <c r="EO15" s="1008"/>
      <c r="EP15" s="1008"/>
      <c r="EQ15" s="1008"/>
      <c r="ER15" s="1008"/>
      <c r="ES15" s="1008"/>
      <c r="ET15" s="1008"/>
      <c r="EU15" s="1008"/>
      <c r="EV15" s="1008"/>
      <c r="EW15" s="1008"/>
      <c r="EX15" s="1008"/>
      <c r="EY15" s="1008"/>
      <c r="EZ15" s="1008"/>
      <c r="FA15" s="1008"/>
      <c r="FB15" s="1008"/>
      <c r="FC15" s="1008"/>
      <c r="FD15" s="1008"/>
      <c r="FE15" s="1008"/>
      <c r="FF15" s="1008"/>
      <c r="FG15" s="1008"/>
      <c r="FH15" s="1008"/>
      <c r="FI15" s="1008"/>
      <c r="FJ15" s="1008"/>
      <c r="FK15" s="1008"/>
      <c r="FL15" s="1008"/>
      <c r="FM15" s="1008"/>
      <c r="FN15" s="1008"/>
      <c r="FO15" s="1008"/>
      <c r="FP15" s="1008"/>
      <c r="FQ15" s="1008"/>
      <c r="FR15" s="1008"/>
      <c r="FS15" s="1008"/>
      <c r="FT15" s="1008"/>
      <c r="FU15" s="1008"/>
      <c r="FV15" s="1008"/>
      <c r="FW15" s="1008"/>
      <c r="FX15" s="1008"/>
      <c r="FY15" s="1008"/>
      <c r="FZ15" s="1008"/>
      <c r="GA15" s="1008"/>
      <c r="GB15" s="1008"/>
      <c r="GC15" s="1008"/>
      <c r="GD15" s="1008"/>
      <c r="GE15" s="1008"/>
      <c r="GF15" s="1008"/>
      <c r="GG15" s="1008"/>
      <c r="GH15" s="1008"/>
      <c r="GI15" s="1008"/>
      <c r="GJ15" s="1008"/>
      <c r="GK15" s="1008"/>
      <c r="GL15" s="1008"/>
      <c r="GM15" s="1008"/>
      <c r="GN15" s="1008"/>
      <c r="GO15" s="1008"/>
      <c r="GP15" s="1008"/>
      <c r="GQ15" s="1008"/>
      <c r="GR15" s="1008"/>
      <c r="GS15" s="1008"/>
      <c r="GT15" s="1008"/>
      <c r="GU15" s="1008"/>
      <c r="GV15" s="1008"/>
      <c r="GW15" s="1008"/>
      <c r="GX15" s="1008"/>
      <c r="GY15" s="1008"/>
      <c r="GZ15" s="1008"/>
      <c r="HA15" s="1008"/>
      <c r="HB15" s="1008"/>
      <c r="HC15" s="1008"/>
      <c r="HD15" s="1008"/>
      <c r="HE15" s="1008"/>
      <c r="HF15" s="1008"/>
      <c r="HG15" s="1008"/>
      <c r="HH15" s="1008"/>
      <c r="HI15" s="1008"/>
      <c r="HJ15" s="1008"/>
      <c r="HK15" s="1008"/>
      <c r="HL15" s="1008"/>
      <c r="HM15" s="1008"/>
      <c r="HN15" s="1008"/>
      <c r="HO15" s="1008"/>
      <c r="HP15" s="1008"/>
      <c r="HQ15" s="1008"/>
      <c r="HR15" s="1008"/>
      <c r="HS15" s="1008"/>
      <c r="HT15" s="1008"/>
      <c r="HU15" s="1008"/>
      <c r="HV15" s="1008"/>
      <c r="HW15" s="1008"/>
      <c r="HX15" s="1008"/>
      <c r="HY15" s="1008"/>
      <c r="HZ15" s="1008"/>
      <c r="IA15" s="1008"/>
      <c r="IB15" s="1008"/>
      <c r="IC15" s="1008"/>
      <c r="ID15" s="1008"/>
      <c r="IE15" s="1008"/>
      <c r="IF15" s="1008"/>
      <c r="IG15" s="1008"/>
      <c r="IH15" s="1009"/>
    </row>
    <row r="16" spans="2:242" s="500" customFormat="1" ht="15.95" customHeight="1" x14ac:dyDescent="0.2">
      <c r="D16" s="1004" t="s">
        <v>488</v>
      </c>
      <c r="E16" s="1005"/>
      <c r="F16" s="1005"/>
      <c r="G16" s="1006"/>
      <c r="H16" s="502" t="str">
        <f>IF(H23&gt;$C$2,"VAPOR",IF(H23&lt;$C$3,"LIQUID","MIXED"))</f>
        <v>VAPOR</v>
      </c>
      <c r="I16" s="502" t="str">
        <f t="shared" ref="I16:CI16" si="0">IF(I23&gt;$C$2,"VAPOR",IF(I23&lt;$C$3,"LIQUID","MIXED"))</f>
        <v>VAPOR</v>
      </c>
      <c r="J16" s="502" t="str">
        <f>IF(J23&gt;$C$2,"VAPOR",IF(J23&lt;$C$3,"LIQUID","MIXED"))</f>
        <v>VAPOR</v>
      </c>
      <c r="K16" s="502" t="str">
        <f t="shared" si="0"/>
        <v>VAPOR</v>
      </c>
      <c r="L16" s="502" t="str">
        <f t="shared" si="0"/>
        <v>VAPOR</v>
      </c>
      <c r="M16" s="502" t="str">
        <f t="shared" si="0"/>
        <v>VAPOR</v>
      </c>
      <c r="N16" s="502" t="str">
        <f t="shared" si="0"/>
        <v>VAPOR</v>
      </c>
      <c r="O16" s="502" t="str">
        <f t="shared" si="0"/>
        <v>LIQUID</v>
      </c>
      <c r="P16" s="502" t="str">
        <f t="shared" si="0"/>
        <v>VAPOR</v>
      </c>
      <c r="Q16" s="502" t="str">
        <f t="shared" si="0"/>
        <v>VAPOR</v>
      </c>
      <c r="R16" s="502" t="str">
        <f t="shared" si="0"/>
        <v>LIQUID</v>
      </c>
      <c r="S16" s="502" t="str">
        <f t="shared" si="0"/>
        <v>LIQUID</v>
      </c>
      <c r="T16" s="502" t="str">
        <f t="shared" si="0"/>
        <v>LIQUID</v>
      </c>
      <c r="U16" s="502" t="str">
        <f t="shared" si="0"/>
        <v>LIQUID</v>
      </c>
      <c r="V16" s="502" t="str">
        <f t="shared" si="0"/>
        <v>VAPOR</v>
      </c>
      <c r="W16" s="502" t="str">
        <f t="shared" si="0"/>
        <v>LIQUID</v>
      </c>
      <c r="X16" s="502" t="str">
        <f t="shared" si="0"/>
        <v>LIQUID</v>
      </c>
      <c r="Y16" s="502" t="str">
        <f t="shared" si="0"/>
        <v>LIQUID</v>
      </c>
      <c r="Z16" s="502" t="str">
        <f t="shared" si="0"/>
        <v>LIQUID</v>
      </c>
      <c r="AA16" s="502" t="str">
        <f t="shared" si="0"/>
        <v>VAPOR</v>
      </c>
      <c r="AB16" s="502" t="str">
        <f t="shared" si="0"/>
        <v>VAPOR</v>
      </c>
      <c r="AC16" s="502" t="str">
        <f t="shared" si="0"/>
        <v>VAPOR</v>
      </c>
      <c r="AD16" s="502" t="str">
        <f t="shared" si="0"/>
        <v>VAPOR</v>
      </c>
      <c r="AE16" s="502" t="str">
        <f t="shared" si="0"/>
        <v>VAPOR</v>
      </c>
      <c r="AF16" s="502" t="str">
        <f t="shared" si="0"/>
        <v>VAPOR</v>
      </c>
      <c r="AG16" s="502" t="str">
        <f t="shared" si="0"/>
        <v>VAPOR</v>
      </c>
      <c r="AH16" s="502" t="str">
        <f t="shared" si="0"/>
        <v>VAPOR</v>
      </c>
      <c r="AI16" s="502" t="str">
        <f t="shared" si="0"/>
        <v>VAPOR</v>
      </c>
      <c r="AJ16" s="502" t="str">
        <f t="shared" si="0"/>
        <v>LIQUID</v>
      </c>
      <c r="AK16" s="502" t="str">
        <f t="shared" si="0"/>
        <v>VAPOR</v>
      </c>
      <c r="AL16" s="502" t="str">
        <f t="shared" si="0"/>
        <v>LIQUID</v>
      </c>
      <c r="AM16" s="502" t="str">
        <f t="shared" si="0"/>
        <v>LIQUID</v>
      </c>
      <c r="AN16" s="502" t="str">
        <f t="shared" si="0"/>
        <v>LIQUID</v>
      </c>
      <c r="AO16" s="502" t="str">
        <f t="shared" si="0"/>
        <v>LIQUID</v>
      </c>
      <c r="AP16" s="502" t="str">
        <f t="shared" si="0"/>
        <v>VAPOR</v>
      </c>
      <c r="AQ16" s="502" t="str">
        <f t="shared" si="0"/>
        <v>VAPOR</v>
      </c>
      <c r="AR16" s="502" t="str">
        <f t="shared" si="0"/>
        <v>LIQUID</v>
      </c>
      <c r="AS16" s="502" t="str">
        <f t="shared" si="0"/>
        <v>LIQUID</v>
      </c>
      <c r="AT16" s="502" t="str">
        <f t="shared" si="0"/>
        <v>LIQUID</v>
      </c>
      <c r="AU16" s="502" t="str">
        <f t="shared" si="0"/>
        <v>VAPOR</v>
      </c>
      <c r="AV16" s="502" t="str">
        <f t="shared" si="0"/>
        <v>LIQUID</v>
      </c>
      <c r="AW16" s="502" t="str">
        <f t="shared" si="0"/>
        <v>LIQUID</v>
      </c>
      <c r="AX16" s="502" t="str">
        <f t="shared" si="0"/>
        <v>VAPOR</v>
      </c>
      <c r="AY16" s="502" t="str">
        <f t="shared" si="0"/>
        <v>LIQUID</v>
      </c>
      <c r="AZ16" s="502" t="str">
        <f t="shared" si="0"/>
        <v>VAPOR</v>
      </c>
      <c r="BA16" s="502" t="str">
        <f t="shared" si="0"/>
        <v>LIQUID</v>
      </c>
      <c r="BB16" s="502" t="str">
        <f t="shared" si="0"/>
        <v>VAPOR</v>
      </c>
      <c r="BC16" s="502" t="str">
        <f t="shared" si="0"/>
        <v>VAPOR</v>
      </c>
      <c r="BD16" s="502" t="str">
        <f t="shared" si="0"/>
        <v>VAPOR</v>
      </c>
      <c r="BE16" s="502" t="str">
        <f t="shared" si="0"/>
        <v>LIQUID</v>
      </c>
      <c r="BF16" s="502" t="str">
        <f t="shared" si="0"/>
        <v>VAPOR</v>
      </c>
      <c r="BG16" s="502" t="str">
        <f t="shared" si="0"/>
        <v>LIQUID</v>
      </c>
      <c r="BH16" s="502" t="str">
        <f t="shared" si="0"/>
        <v>LIQUID</v>
      </c>
      <c r="BI16" s="502" t="str">
        <f t="shared" si="0"/>
        <v>VAPOR</v>
      </c>
      <c r="BJ16" s="502" t="str">
        <f t="shared" si="0"/>
        <v>LIQUID</v>
      </c>
      <c r="BK16" s="502" t="str">
        <f t="shared" si="0"/>
        <v>LIQUID</v>
      </c>
      <c r="BL16" s="502" t="str">
        <f t="shared" si="0"/>
        <v>LIQUID</v>
      </c>
      <c r="BM16" s="502" t="str">
        <f t="shared" si="0"/>
        <v>VAPOR</v>
      </c>
      <c r="BN16" s="502" t="str">
        <f t="shared" si="0"/>
        <v>VAPOR</v>
      </c>
      <c r="BO16" s="502" t="str">
        <f t="shared" si="0"/>
        <v>VAPOR</v>
      </c>
      <c r="BP16" s="502" t="str">
        <f t="shared" si="0"/>
        <v>VAPOR</v>
      </c>
      <c r="BQ16" s="502" t="str">
        <f t="shared" si="0"/>
        <v>VAPOR</v>
      </c>
      <c r="BR16" s="502" t="str">
        <f t="shared" si="0"/>
        <v>LIQUID</v>
      </c>
      <c r="BS16" s="502" t="str">
        <f t="shared" si="0"/>
        <v>LIQUID</v>
      </c>
      <c r="BT16" s="502" t="str">
        <f t="shared" si="0"/>
        <v>MIXED</v>
      </c>
      <c r="BU16" s="502" t="str">
        <f t="shared" si="0"/>
        <v>LIQUID</v>
      </c>
      <c r="BV16" s="502" t="str">
        <f t="shared" si="0"/>
        <v>LIQUID</v>
      </c>
      <c r="BW16" s="502" t="str">
        <f t="shared" si="0"/>
        <v>LIQUID</v>
      </c>
      <c r="BX16" s="502" t="str">
        <f t="shared" si="0"/>
        <v>LIQUID</v>
      </c>
      <c r="BY16" s="502" t="str">
        <f t="shared" si="0"/>
        <v>LIQUID</v>
      </c>
      <c r="BZ16" s="502" t="str">
        <f t="shared" si="0"/>
        <v>LIQUID</v>
      </c>
      <c r="CA16" s="502" t="str">
        <f t="shared" si="0"/>
        <v>LIQUID</v>
      </c>
      <c r="CB16" s="502" t="str">
        <f t="shared" si="0"/>
        <v>LIQUID</v>
      </c>
      <c r="CC16" s="502" t="str">
        <f t="shared" si="0"/>
        <v>VAPOR</v>
      </c>
      <c r="CD16" s="502" t="str">
        <f t="shared" si="0"/>
        <v>MIXED</v>
      </c>
      <c r="CE16" s="502" t="str">
        <f t="shared" si="0"/>
        <v>VAPOR</v>
      </c>
      <c r="CF16" s="502" t="str">
        <f t="shared" si="0"/>
        <v>LIQUID</v>
      </c>
      <c r="CG16" s="502" t="str">
        <f t="shared" si="0"/>
        <v>LIQUID</v>
      </c>
      <c r="CH16" s="502" t="str">
        <f t="shared" si="0"/>
        <v>MIXED</v>
      </c>
      <c r="CI16" s="502" t="str">
        <f t="shared" si="0"/>
        <v>LIQUID</v>
      </c>
      <c r="CJ16" s="502" t="str">
        <f t="shared" ref="CJ16:EU16" si="1">IF(CJ23&gt;$C$2,"VAPOR",IF(CJ23&lt;$C$3,"LIQUID","MIXED"))</f>
        <v>LIQUID</v>
      </c>
      <c r="CK16" s="502" t="str">
        <f t="shared" si="1"/>
        <v>VAPOR</v>
      </c>
      <c r="CL16" s="502" t="str">
        <f t="shared" si="1"/>
        <v>MIXED</v>
      </c>
      <c r="CM16" s="502" t="str">
        <f t="shared" si="1"/>
        <v>VAPOR</v>
      </c>
      <c r="CN16" s="502" t="str">
        <f t="shared" si="1"/>
        <v>MIXED</v>
      </c>
      <c r="CO16" s="502" t="str">
        <f t="shared" si="1"/>
        <v>LIQUID</v>
      </c>
      <c r="CP16" s="502" t="str">
        <f t="shared" si="1"/>
        <v>LIQUID</v>
      </c>
      <c r="CQ16" s="502" t="str">
        <f t="shared" si="1"/>
        <v>LIQUID</v>
      </c>
      <c r="CR16" s="502" t="str">
        <f t="shared" si="1"/>
        <v>LIQUID</v>
      </c>
      <c r="CS16" s="502" t="str">
        <f t="shared" si="1"/>
        <v>LIQUID</v>
      </c>
      <c r="CT16" s="502" t="str">
        <f t="shared" si="1"/>
        <v>LIQUID</v>
      </c>
      <c r="CU16" s="502" t="str">
        <f t="shared" si="1"/>
        <v>MIXED</v>
      </c>
      <c r="CV16" s="502" t="str">
        <f t="shared" si="1"/>
        <v>VAPOR</v>
      </c>
      <c r="CW16" s="502" t="str">
        <f t="shared" si="1"/>
        <v>LIQUID</v>
      </c>
      <c r="CX16" s="502" t="str">
        <f t="shared" si="1"/>
        <v>LIQUID</v>
      </c>
      <c r="CY16" s="502" t="str">
        <f t="shared" si="1"/>
        <v>LIQUID</v>
      </c>
      <c r="CZ16" s="502" t="str">
        <f t="shared" si="1"/>
        <v>LIQUID</v>
      </c>
      <c r="DA16" s="502" t="str">
        <f t="shared" si="1"/>
        <v>LIQUID</v>
      </c>
      <c r="DB16" s="502" t="str">
        <f t="shared" si="1"/>
        <v>MIXED</v>
      </c>
      <c r="DC16" s="502" t="str">
        <f t="shared" si="1"/>
        <v>LIQUID</v>
      </c>
      <c r="DD16" s="502" t="str">
        <f t="shared" si="1"/>
        <v>LIQUID</v>
      </c>
      <c r="DE16" s="502" t="str">
        <f t="shared" si="1"/>
        <v>LIQUID</v>
      </c>
      <c r="DF16" s="502" t="str">
        <f t="shared" si="1"/>
        <v>LIQUID</v>
      </c>
      <c r="DG16" s="502" t="str">
        <f t="shared" si="1"/>
        <v>LIQUID</v>
      </c>
      <c r="DH16" s="502" t="str">
        <f t="shared" si="1"/>
        <v>LIQUID</v>
      </c>
      <c r="DI16" s="502" t="str">
        <f t="shared" si="1"/>
        <v>VAPOR</v>
      </c>
      <c r="DJ16" s="502" t="str">
        <f t="shared" si="1"/>
        <v>LIQUID</v>
      </c>
      <c r="DK16" s="502" t="str">
        <f t="shared" si="1"/>
        <v>LIQUID</v>
      </c>
      <c r="DL16" s="502" t="str">
        <f t="shared" si="1"/>
        <v>VAPOR</v>
      </c>
      <c r="DM16" s="502" t="str">
        <f t="shared" si="1"/>
        <v>VAPOR</v>
      </c>
      <c r="DN16" s="502" t="str">
        <f t="shared" si="1"/>
        <v>VAPOR</v>
      </c>
      <c r="DO16" s="502" t="str">
        <f t="shared" si="1"/>
        <v>LIQUID</v>
      </c>
      <c r="DP16" s="502" t="str">
        <f t="shared" si="1"/>
        <v>LIQUID</v>
      </c>
      <c r="DQ16" s="502" t="str">
        <f t="shared" si="1"/>
        <v>LIQUID</v>
      </c>
      <c r="DR16" s="502" t="str">
        <f t="shared" si="1"/>
        <v>LIQUID</v>
      </c>
      <c r="DS16" s="502" t="str">
        <f t="shared" si="1"/>
        <v>LIQUID</v>
      </c>
      <c r="DT16" s="502" t="str">
        <f t="shared" si="1"/>
        <v>LIQUID</v>
      </c>
      <c r="DU16" s="502" t="str">
        <f t="shared" si="1"/>
        <v>LIQUID</v>
      </c>
      <c r="DV16" s="502" t="str">
        <f t="shared" si="1"/>
        <v>LIQUID</v>
      </c>
      <c r="DW16" s="502" t="str">
        <f t="shared" si="1"/>
        <v>LIQUID</v>
      </c>
      <c r="DX16" s="502" t="str">
        <f t="shared" si="1"/>
        <v>LIQUID</v>
      </c>
      <c r="DY16" s="502" t="str">
        <f t="shared" si="1"/>
        <v>LIQUID</v>
      </c>
      <c r="DZ16" s="502" t="str">
        <f t="shared" si="1"/>
        <v>LIQUID</v>
      </c>
      <c r="EA16" s="502" t="str">
        <f t="shared" si="1"/>
        <v>LIQUID</v>
      </c>
      <c r="EB16" s="502" t="str">
        <f t="shared" si="1"/>
        <v>LIQUID</v>
      </c>
      <c r="EC16" s="502" t="str">
        <f t="shared" si="1"/>
        <v>LIQUID</v>
      </c>
      <c r="ED16" s="502" t="str">
        <f t="shared" si="1"/>
        <v>LIQUID</v>
      </c>
      <c r="EE16" s="502" t="str">
        <f t="shared" si="1"/>
        <v>VAPOR</v>
      </c>
      <c r="EF16" s="502" t="str">
        <f t="shared" si="1"/>
        <v>LIQUID</v>
      </c>
      <c r="EG16" s="502" t="str">
        <f t="shared" si="1"/>
        <v>VAPOR</v>
      </c>
      <c r="EH16" s="502" t="str">
        <f t="shared" si="1"/>
        <v>LIQUID</v>
      </c>
      <c r="EI16" s="502" t="str">
        <f t="shared" si="1"/>
        <v>MIXED</v>
      </c>
      <c r="EJ16" s="502" t="str">
        <f t="shared" si="1"/>
        <v>MIXED</v>
      </c>
      <c r="EK16" s="502" t="str">
        <f t="shared" si="1"/>
        <v>LIQUID</v>
      </c>
      <c r="EL16" s="502" t="str">
        <f t="shared" si="1"/>
        <v>VAPOR</v>
      </c>
      <c r="EM16" s="502" t="str">
        <f t="shared" si="1"/>
        <v>MIXED</v>
      </c>
      <c r="EN16" s="502" t="str">
        <f t="shared" si="1"/>
        <v>VAPOR</v>
      </c>
      <c r="EO16" s="502" t="str">
        <f t="shared" si="1"/>
        <v>MIXED</v>
      </c>
      <c r="EP16" s="502" t="str">
        <f t="shared" si="1"/>
        <v>LIQUID</v>
      </c>
      <c r="EQ16" s="502" t="str">
        <f t="shared" si="1"/>
        <v>LIQUID</v>
      </c>
      <c r="ER16" s="502" t="str">
        <f t="shared" si="1"/>
        <v>LIQUID</v>
      </c>
      <c r="ES16" s="502" t="str">
        <f t="shared" si="1"/>
        <v>VAPOR</v>
      </c>
      <c r="ET16" s="502" t="str">
        <f t="shared" si="1"/>
        <v>LIQUID</v>
      </c>
      <c r="EU16" s="502" t="str">
        <f t="shared" si="1"/>
        <v>LIQUID</v>
      </c>
      <c r="EV16" s="502" t="str">
        <f t="shared" ref="EV16:FT16" si="2">IF(EV23&gt;$C$2,"VAPOR",IF(EV23&lt;$C$3,"LIQUID","MIXED"))</f>
        <v>VAPOR</v>
      </c>
      <c r="EW16" s="502" t="str">
        <f t="shared" si="2"/>
        <v>VAPOR</v>
      </c>
      <c r="EX16" s="502" t="str">
        <f t="shared" si="2"/>
        <v>VAPOR</v>
      </c>
      <c r="EY16" s="502" t="str">
        <f t="shared" si="2"/>
        <v>VAPOR</v>
      </c>
      <c r="EZ16" s="502" t="str">
        <f t="shared" si="2"/>
        <v>VAPOR</v>
      </c>
      <c r="FA16" s="502" t="str">
        <f t="shared" si="2"/>
        <v>VAPOR</v>
      </c>
      <c r="FB16" s="502" t="str">
        <f t="shared" si="2"/>
        <v>VAPOR</v>
      </c>
      <c r="FC16" s="502" t="str">
        <f t="shared" si="2"/>
        <v>VAPOR</v>
      </c>
      <c r="FD16" s="502" t="str">
        <f t="shared" si="2"/>
        <v>VAPOR</v>
      </c>
      <c r="FE16" s="502" t="str">
        <f t="shared" si="2"/>
        <v>VAPOR</v>
      </c>
      <c r="FF16" s="502" t="str">
        <f t="shared" si="2"/>
        <v>VAPOR</v>
      </c>
      <c r="FG16" s="502" t="str">
        <f t="shared" si="2"/>
        <v>VAPOR</v>
      </c>
      <c r="FH16" s="502" t="str">
        <f t="shared" si="2"/>
        <v>VAPOR</v>
      </c>
      <c r="FI16" s="502" t="str">
        <f t="shared" si="2"/>
        <v>VAPOR</v>
      </c>
      <c r="FJ16" s="502" t="str">
        <f t="shared" si="2"/>
        <v>VAPOR</v>
      </c>
      <c r="FK16" s="502" t="str">
        <f t="shared" si="2"/>
        <v>VAPOR</v>
      </c>
      <c r="FL16" s="502" t="str">
        <f t="shared" si="2"/>
        <v>VAPOR</v>
      </c>
      <c r="FM16" s="502" t="str">
        <f t="shared" si="2"/>
        <v>VAPOR</v>
      </c>
      <c r="FN16" s="502" t="str">
        <f t="shared" si="2"/>
        <v>VAPOR</v>
      </c>
      <c r="FO16" s="502" t="str">
        <f t="shared" si="2"/>
        <v>VAPOR</v>
      </c>
      <c r="FP16" s="502" t="str">
        <f t="shared" si="2"/>
        <v>VAPOR</v>
      </c>
      <c r="FQ16" s="502" t="str">
        <f t="shared" si="2"/>
        <v>VAPOR</v>
      </c>
      <c r="FR16" s="502" t="str">
        <f t="shared" si="2"/>
        <v>VAPOR</v>
      </c>
      <c r="FS16" s="502" t="str">
        <f t="shared" si="2"/>
        <v>VAPOR</v>
      </c>
      <c r="FT16" s="502" t="str">
        <f t="shared" si="2"/>
        <v>VAPOR</v>
      </c>
      <c r="FU16" s="502" t="str">
        <f>IF(FU23&gt;$C$2,"VAPOR",IF(FU23&lt;$C$3,"LIQUID","MIXED"))</f>
        <v>LIQUID</v>
      </c>
      <c r="FV16" s="502" t="str">
        <f>IF(FV23&gt;$C$2,"VAPOR",IF(FV23&lt;$C$3,"LIQUID","MIXED"))</f>
        <v>LIQUID</v>
      </c>
      <c r="FW16" s="502" t="str">
        <f>IF(FW23&gt;$C$2,"VAPOR",IF(FW23&lt;$C$3,"LIQUID","MIXED"))</f>
        <v>LIQUID</v>
      </c>
      <c r="FX16" s="502" t="str">
        <f>IF(FX23&gt;$C$2,"VAPOR",IF(FX23&lt;$C$3,"LIQUID","MIXED"))</f>
        <v>VAPOR</v>
      </c>
      <c r="FY16" s="502" t="str">
        <f>IF(FY23&gt;$C$2,"VAPOR",IF(FY23&lt;$C$3,"LIQUID","MIXED"))</f>
        <v>VAPOR</v>
      </c>
      <c r="FZ16" s="502" t="str">
        <f t="shared" ref="FZ16:HV16" si="3">IF(FZ23&gt;$C$2,"VAPOR",IF(FZ23&lt;$C$3,"LIQUID","MIXED"))</f>
        <v>LIQUID</v>
      </c>
      <c r="GA16" s="502" t="str">
        <f t="shared" si="3"/>
        <v>LIQUID</v>
      </c>
      <c r="GB16" s="502" t="str">
        <f t="shared" si="3"/>
        <v>VAPOR</v>
      </c>
      <c r="GC16" s="502" t="str">
        <f t="shared" si="3"/>
        <v>LIQUID</v>
      </c>
      <c r="GD16" s="502" t="str">
        <f t="shared" si="3"/>
        <v>VAPOR</v>
      </c>
      <c r="GE16" s="502" t="str">
        <f t="shared" si="3"/>
        <v>VAPOR</v>
      </c>
      <c r="GF16" s="502" t="str">
        <f t="shared" si="3"/>
        <v>LIQUID</v>
      </c>
      <c r="GG16" s="502" t="str">
        <f t="shared" si="3"/>
        <v>VAPOR</v>
      </c>
      <c r="GH16" s="502" t="str">
        <f t="shared" si="3"/>
        <v>VAPOR</v>
      </c>
      <c r="GI16" s="502" t="str">
        <f t="shared" si="3"/>
        <v>VAPOR</v>
      </c>
      <c r="GJ16" s="502" t="str">
        <f t="shared" si="3"/>
        <v>VAPOR</v>
      </c>
      <c r="GK16" s="502" t="str">
        <f t="shared" si="3"/>
        <v>VAPOR</v>
      </c>
      <c r="GL16" s="502" t="str">
        <f t="shared" si="3"/>
        <v>VAPOR</v>
      </c>
      <c r="GM16" s="502" t="str">
        <f t="shared" si="3"/>
        <v>VAPOR</v>
      </c>
      <c r="GN16" s="502" t="str">
        <f t="shared" si="3"/>
        <v>VAPOR</v>
      </c>
      <c r="GO16" s="502" t="str">
        <f t="shared" si="3"/>
        <v>VAPOR</v>
      </c>
      <c r="GP16" s="502" t="str">
        <f t="shared" si="3"/>
        <v>MIXED</v>
      </c>
      <c r="GQ16" s="502" t="str">
        <f t="shared" si="3"/>
        <v>VAPOR</v>
      </c>
      <c r="GR16" s="502" t="str">
        <f t="shared" si="3"/>
        <v>VAPOR</v>
      </c>
      <c r="GS16" s="502" t="str">
        <f t="shared" si="3"/>
        <v>LIQUID</v>
      </c>
      <c r="GT16" s="502" t="str">
        <f t="shared" si="3"/>
        <v>LIQUID</v>
      </c>
      <c r="GU16" s="502" t="str">
        <f t="shared" si="3"/>
        <v>VAPOR</v>
      </c>
      <c r="GV16" s="502" t="str">
        <f t="shared" si="3"/>
        <v>LIQUID</v>
      </c>
      <c r="GW16" s="502" t="str">
        <f t="shared" si="3"/>
        <v>LIQUID</v>
      </c>
      <c r="GX16" s="502" t="str">
        <f t="shared" si="3"/>
        <v>LIQUID</v>
      </c>
      <c r="GY16" s="502" t="str">
        <f t="shared" si="3"/>
        <v>VAPOR</v>
      </c>
      <c r="GZ16" s="502" t="str">
        <f t="shared" si="3"/>
        <v>MIXED</v>
      </c>
      <c r="HA16" s="502" t="str">
        <f t="shared" si="3"/>
        <v>LIQUID</v>
      </c>
      <c r="HB16" s="502" t="str">
        <f t="shared" si="3"/>
        <v>LIQUID</v>
      </c>
      <c r="HC16" s="502" t="str">
        <f t="shared" si="3"/>
        <v>VAPOR</v>
      </c>
      <c r="HD16" s="502" t="str">
        <f t="shared" si="3"/>
        <v>LIQUID</v>
      </c>
      <c r="HE16" s="502" t="str">
        <f t="shared" si="3"/>
        <v>LIQUID</v>
      </c>
      <c r="HF16" s="502" t="str">
        <f t="shared" si="3"/>
        <v>LIQUID</v>
      </c>
      <c r="HG16" s="502" t="str">
        <f t="shared" si="3"/>
        <v>LIQUID</v>
      </c>
      <c r="HH16" s="502" t="str">
        <f t="shared" si="3"/>
        <v>LIQUID</v>
      </c>
      <c r="HI16" s="502" t="str">
        <f t="shared" si="3"/>
        <v>LIQUID</v>
      </c>
      <c r="HJ16" s="502" t="str">
        <f t="shared" si="3"/>
        <v>LIQUID</v>
      </c>
      <c r="HK16" s="502" t="str">
        <f t="shared" si="3"/>
        <v>LIQUID</v>
      </c>
      <c r="HL16" s="502" t="str">
        <f t="shared" si="3"/>
        <v>MIXED</v>
      </c>
      <c r="HM16" s="502" t="str">
        <f t="shared" si="3"/>
        <v>VAPOR</v>
      </c>
      <c r="HN16" s="502" t="str">
        <f t="shared" si="3"/>
        <v>LIQUID</v>
      </c>
      <c r="HO16" s="502" t="str">
        <f t="shared" si="3"/>
        <v>LIQUID</v>
      </c>
      <c r="HP16" s="502" t="str">
        <f t="shared" si="3"/>
        <v>LIQUID</v>
      </c>
      <c r="HQ16" s="502" t="str">
        <f t="shared" si="3"/>
        <v>LIQUID</v>
      </c>
      <c r="HR16" s="502" t="str">
        <f t="shared" si="3"/>
        <v>LIQUID</v>
      </c>
      <c r="HS16" s="502" t="str">
        <f t="shared" si="3"/>
        <v>VAPOR</v>
      </c>
      <c r="HT16" s="502" t="str">
        <f t="shared" si="3"/>
        <v>VAPOR</v>
      </c>
      <c r="HU16" s="502" t="str">
        <f t="shared" si="3"/>
        <v>LIQUID</v>
      </c>
      <c r="HV16" s="502" t="str">
        <f t="shared" si="3"/>
        <v>LIQUID</v>
      </c>
      <c r="HW16" s="502" t="str">
        <f>IF(HW23&gt;$C$2,"VAPOR",IF(HW23&lt;$C$3,"LIQUID","MIXED"))</f>
        <v>LIQUID</v>
      </c>
      <c r="HX16" s="502" t="str">
        <f>IF(HX23&gt;$C$2,"VAPOR",IF(HX23&lt;$C$3,"LIQUID","MIXED"))</f>
        <v>LIQUID</v>
      </c>
      <c r="HY16" s="502" t="str">
        <f t="shared" ref="HY16:IF16" si="4">IF(HY23&gt;$C$2,"VAPOR",IF(HY23&lt;$C$3,"LIQUID","MIXED"))</f>
        <v>LIQUID</v>
      </c>
      <c r="HZ16" s="502" t="str">
        <f t="shared" si="4"/>
        <v>MIXED</v>
      </c>
      <c r="IA16" s="502" t="str">
        <f t="shared" si="4"/>
        <v>VAPOR</v>
      </c>
      <c r="IB16" s="502" t="str">
        <f t="shared" si="4"/>
        <v>VAPOR</v>
      </c>
      <c r="IC16" s="502" t="str">
        <f t="shared" si="4"/>
        <v>VAPOR</v>
      </c>
      <c r="ID16" s="502" t="str">
        <f t="shared" si="4"/>
        <v>VAPOR</v>
      </c>
      <c r="IE16" s="502" t="str">
        <f t="shared" si="4"/>
        <v>VAPOR</v>
      </c>
      <c r="IF16" s="502" t="str">
        <f t="shared" si="4"/>
        <v>VAPOR</v>
      </c>
      <c r="IG16" s="502" t="str">
        <f>IF(IG23&gt;$C$2,"VAPOR",IF(IG23&lt;$C$3,"LIQUID","MIXED"))</f>
        <v>MIXED</v>
      </c>
      <c r="IH16" s="569" t="str">
        <f>IF(IH23&gt;$C$2,"VAPOR",IF(IH23&lt;$C$3,"LIQUID","MIXED"))</f>
        <v>MIXED</v>
      </c>
    </row>
    <row r="17" spans="4:242" s="503" customFormat="1" ht="15.95" customHeight="1" x14ac:dyDescent="0.2">
      <c r="D17" s="585" t="s">
        <v>489</v>
      </c>
      <c r="G17" s="504" t="s">
        <v>490</v>
      </c>
      <c r="H17" s="505">
        <v>85</v>
      </c>
      <c r="I17" s="505">
        <v>85</v>
      </c>
      <c r="J17" s="505">
        <v>94</v>
      </c>
      <c r="K17" s="505">
        <v>156.06</v>
      </c>
      <c r="L17" s="505">
        <v>154.19</v>
      </c>
      <c r="M17" s="505">
        <v>246.47</v>
      </c>
      <c r="N17" s="505">
        <v>125.2</v>
      </c>
      <c r="O17" s="505">
        <v>164.69</v>
      </c>
      <c r="P17" s="505">
        <v>164.69</v>
      </c>
      <c r="Q17" s="505">
        <v>108.458</v>
      </c>
      <c r="R17" s="505">
        <v>165.91819977154097</v>
      </c>
      <c r="S17" s="505">
        <v>208.74</v>
      </c>
      <c r="T17" s="505">
        <v>108.458</v>
      </c>
      <c r="U17" s="505">
        <v>207.61009520749965</v>
      </c>
      <c r="V17" s="505">
        <v>214.86</v>
      </c>
      <c r="W17" s="505">
        <v>221.75</v>
      </c>
      <c r="X17" s="505">
        <v>221.75</v>
      </c>
      <c r="Y17" s="505">
        <v>140</v>
      </c>
      <c r="Z17" s="505">
        <v>140</v>
      </c>
      <c r="AA17" s="506">
        <v>390</v>
      </c>
      <c r="AB17" s="505">
        <v>221.75</v>
      </c>
      <c r="AC17" s="505">
        <v>261.66000000000003</v>
      </c>
      <c r="AD17" s="505">
        <v>166.1</v>
      </c>
      <c r="AE17" s="505">
        <v>140</v>
      </c>
      <c r="AF17" s="505">
        <v>98.55</v>
      </c>
      <c r="AG17" s="505">
        <v>98.55</v>
      </c>
      <c r="AH17" s="505">
        <v>159.66</v>
      </c>
      <c r="AI17" s="505">
        <v>246.57</v>
      </c>
      <c r="AJ17" s="505">
        <v>92</v>
      </c>
      <c r="AK17" s="505">
        <v>92.46</v>
      </c>
      <c r="AL17" s="505">
        <v>117.06</v>
      </c>
      <c r="AM17" s="505">
        <v>107.22</v>
      </c>
      <c r="AN17" s="505">
        <v>117.06</v>
      </c>
      <c r="AO17" s="505">
        <v>232.74</v>
      </c>
      <c r="AP17" s="506">
        <v>324</v>
      </c>
      <c r="AQ17" s="505">
        <v>228.49</v>
      </c>
      <c r="AR17" s="505">
        <v>260.02</v>
      </c>
      <c r="AS17" s="505">
        <v>260.54000000000002</v>
      </c>
      <c r="AT17" s="505">
        <v>280.83999999999997</v>
      </c>
      <c r="AU17" s="505">
        <v>64.41</v>
      </c>
      <c r="AV17" s="505">
        <v>92.26</v>
      </c>
      <c r="AW17" s="505">
        <v>147</v>
      </c>
      <c r="AX17" s="505">
        <v>96.91</v>
      </c>
      <c r="AY17" s="505">
        <v>100</v>
      </c>
      <c r="AZ17" s="505">
        <v>92.86</v>
      </c>
      <c r="BA17" s="505">
        <v>111.31</v>
      </c>
      <c r="BB17" s="505">
        <v>278.79000000000002</v>
      </c>
      <c r="BC17" s="505">
        <v>278.79000000000002</v>
      </c>
      <c r="BD17" s="506">
        <v>323.3</v>
      </c>
      <c r="BE17" s="505">
        <v>100</v>
      </c>
      <c r="BF17" s="505">
        <v>175</v>
      </c>
      <c r="BG17" s="505">
        <v>175</v>
      </c>
      <c r="BH17" s="505">
        <v>321.8</v>
      </c>
      <c r="BI17" s="505">
        <v>289.19</v>
      </c>
      <c r="BJ17" s="505">
        <v>292.64999999999998</v>
      </c>
      <c r="BK17" s="505">
        <v>118.07</v>
      </c>
      <c r="BL17" s="505">
        <v>227.9</v>
      </c>
      <c r="BM17" s="505">
        <v>154.15</v>
      </c>
      <c r="BN17" s="505">
        <v>313.70999999999998</v>
      </c>
      <c r="BO17" s="505">
        <v>397</v>
      </c>
      <c r="BP17" s="505">
        <v>474.74</v>
      </c>
      <c r="BQ17" s="505">
        <v>397</v>
      </c>
      <c r="BR17" s="505">
        <v>107.38</v>
      </c>
      <c r="BS17" s="505">
        <v>144.78</v>
      </c>
      <c r="BT17" s="505">
        <v>126</v>
      </c>
      <c r="BU17" s="505">
        <v>261.83</v>
      </c>
      <c r="BV17" s="505">
        <v>172.97</v>
      </c>
      <c r="BW17" s="505">
        <v>232</v>
      </c>
      <c r="BX17" s="505">
        <v>147</v>
      </c>
      <c r="BY17" s="505">
        <v>117.09</v>
      </c>
      <c r="BZ17" s="505">
        <v>105</v>
      </c>
      <c r="CA17" s="505">
        <v>175.38</v>
      </c>
      <c r="CB17" s="505">
        <v>147</v>
      </c>
      <c r="CC17" s="505">
        <v>227.94</v>
      </c>
      <c r="CD17" s="505">
        <v>95</v>
      </c>
      <c r="CE17" s="505">
        <v>95</v>
      </c>
      <c r="CF17" s="505">
        <v>64.41</v>
      </c>
      <c r="CG17" s="505">
        <v>275.60000000000002</v>
      </c>
      <c r="CH17" s="505">
        <v>281.83999999999997</v>
      </c>
      <c r="CI17" s="505">
        <v>149.88999999999999</v>
      </c>
      <c r="CJ17" s="505">
        <v>92.5</v>
      </c>
      <c r="CK17" s="505">
        <v>209.07</v>
      </c>
      <c r="CL17" s="505">
        <v>113</v>
      </c>
      <c r="CM17" s="505">
        <v>300.33999999999997</v>
      </c>
      <c r="CN17" s="505">
        <v>100</v>
      </c>
      <c r="CO17" s="505">
        <v>180</v>
      </c>
      <c r="CP17" s="505">
        <v>218.66</v>
      </c>
      <c r="CQ17" s="505">
        <v>190</v>
      </c>
      <c r="CR17" s="505">
        <v>295.19</v>
      </c>
      <c r="CS17" s="505">
        <v>140</v>
      </c>
      <c r="CT17" s="505">
        <v>292.64999999999998</v>
      </c>
      <c r="CU17" s="505">
        <v>292.20999999999998</v>
      </c>
      <c r="CV17" s="505">
        <v>218.54</v>
      </c>
      <c r="CW17" s="505">
        <v>118</v>
      </c>
      <c r="CX17" s="505">
        <v>252.51</v>
      </c>
      <c r="CY17" s="505">
        <v>227.94</v>
      </c>
      <c r="CZ17" s="505">
        <v>231.84</v>
      </c>
      <c r="DA17" s="505">
        <v>100</v>
      </c>
      <c r="DB17" s="505">
        <v>169</v>
      </c>
      <c r="DC17" s="505">
        <v>132.24</v>
      </c>
      <c r="DD17" s="505">
        <v>100</v>
      </c>
      <c r="DE17" s="505">
        <v>260.8</v>
      </c>
      <c r="DF17" s="505">
        <v>260.8</v>
      </c>
      <c r="DG17" s="505">
        <v>122.05</v>
      </c>
      <c r="DH17" s="505">
        <v>212</v>
      </c>
      <c r="DI17" s="505" t="s">
        <v>668</v>
      </c>
      <c r="DJ17" s="505">
        <v>212</v>
      </c>
      <c r="DK17" s="505">
        <v>125.42</v>
      </c>
      <c r="DL17" s="505">
        <v>125.64</v>
      </c>
      <c r="DM17" s="505">
        <v>106.44</v>
      </c>
      <c r="DN17" s="505">
        <v>100</v>
      </c>
      <c r="DO17" s="505">
        <v>77</v>
      </c>
      <c r="DP17" s="505">
        <v>99.69</v>
      </c>
      <c r="DQ17" s="505">
        <v>117.06</v>
      </c>
      <c r="DR17" s="505">
        <v>117.09</v>
      </c>
      <c r="DS17" s="505">
        <v>95</v>
      </c>
      <c r="DT17" s="505">
        <v>261.83</v>
      </c>
      <c r="DU17" s="505">
        <v>99.69</v>
      </c>
      <c r="DV17" s="505">
        <v>110.05</v>
      </c>
      <c r="DW17" s="505">
        <v>175.48</v>
      </c>
      <c r="DX17" s="505">
        <v>118.07</v>
      </c>
      <c r="DY17" s="505">
        <v>227.9</v>
      </c>
      <c r="DZ17" s="505">
        <v>227.94</v>
      </c>
      <c r="EA17" s="505">
        <v>260.8</v>
      </c>
      <c r="EB17" s="505">
        <v>99.69</v>
      </c>
      <c r="EC17" s="505">
        <v>149</v>
      </c>
      <c r="ED17" s="505">
        <v>426.69</v>
      </c>
      <c r="EE17" s="505">
        <v>426.69</v>
      </c>
      <c r="EF17" s="505">
        <v>341.71</v>
      </c>
      <c r="EG17" s="505">
        <v>341.71</v>
      </c>
      <c r="EH17" s="505">
        <v>280.83999999999997</v>
      </c>
      <c r="EI17" s="505">
        <v>304.86</v>
      </c>
      <c r="EJ17" s="505">
        <v>299.2</v>
      </c>
      <c r="EK17" s="505">
        <v>271.12</v>
      </c>
      <c r="EL17" s="505">
        <v>212</v>
      </c>
      <c r="EM17" s="505">
        <v>193.94</v>
      </c>
      <c r="EN17" s="505">
        <v>212</v>
      </c>
      <c r="EO17" s="505">
        <v>211.27</v>
      </c>
      <c r="EP17" s="505">
        <v>147</v>
      </c>
      <c r="EQ17" s="505">
        <v>104</v>
      </c>
      <c r="ER17" s="505">
        <v>104</v>
      </c>
      <c r="ES17" s="505">
        <v>387.97</v>
      </c>
      <c r="ET17" s="505">
        <v>179.4</v>
      </c>
      <c r="EU17" s="505">
        <v>104</v>
      </c>
      <c r="EV17" s="505">
        <v>85</v>
      </c>
      <c r="EW17" s="505">
        <v>20</v>
      </c>
      <c r="EX17" s="505">
        <v>-36.909999999999997</v>
      </c>
      <c r="EY17" s="505">
        <v>85</v>
      </c>
      <c r="EZ17" s="505">
        <v>85</v>
      </c>
      <c r="FA17" s="505">
        <v>-13</v>
      </c>
      <c r="FB17" s="505">
        <v>-84.96</v>
      </c>
      <c r="FC17" s="505">
        <v>85</v>
      </c>
      <c r="FD17" s="505">
        <v>20</v>
      </c>
      <c r="FE17" s="505">
        <v>65</v>
      </c>
      <c r="FF17" s="505">
        <v>48.73</v>
      </c>
      <c r="FG17" s="505">
        <v>156.35</v>
      </c>
      <c r="FH17" s="505">
        <v>140.87</v>
      </c>
      <c r="FI17" s="505">
        <v>154.19</v>
      </c>
      <c r="FJ17" s="505">
        <v>99.5</v>
      </c>
      <c r="FK17" s="505">
        <v>154.19</v>
      </c>
      <c r="FL17" s="505">
        <v>154.19</v>
      </c>
      <c r="FM17" s="505">
        <v>138.58000000000001</v>
      </c>
      <c r="FN17" s="505">
        <v>154</v>
      </c>
      <c r="FO17" s="505">
        <v>98.55</v>
      </c>
      <c r="FP17" s="505">
        <v>98.55</v>
      </c>
      <c r="FQ17" s="505">
        <v>81.680000000000007</v>
      </c>
      <c r="FR17" s="505">
        <v>98.55</v>
      </c>
      <c r="FS17" s="505">
        <v>-181.26</v>
      </c>
      <c r="FT17" s="505">
        <v>159.66</v>
      </c>
      <c r="FU17" s="505">
        <v>92.46</v>
      </c>
      <c r="FV17" s="505">
        <v>228.49</v>
      </c>
      <c r="FW17" s="505">
        <v>96.91</v>
      </c>
      <c r="FX17" s="505" t="s">
        <v>668</v>
      </c>
      <c r="FY17" s="505">
        <v>292.64</v>
      </c>
      <c r="FZ17" s="505">
        <v>92.86</v>
      </c>
      <c r="GA17" s="505">
        <v>347.37</v>
      </c>
      <c r="GB17" s="505">
        <v>347.37</v>
      </c>
      <c r="GC17" s="505">
        <v>289.19</v>
      </c>
      <c r="GD17" s="505" t="s">
        <v>668</v>
      </c>
      <c r="GE17" s="505">
        <v>344.89</v>
      </c>
      <c r="GF17" s="505">
        <v>218.54</v>
      </c>
      <c r="GG17" s="505" t="s">
        <v>668</v>
      </c>
      <c r="GH17" s="505">
        <v>253.75</v>
      </c>
      <c r="GI17" s="505">
        <v>176</v>
      </c>
      <c r="GJ17" s="505">
        <v>313.7</v>
      </c>
      <c r="GK17" s="505">
        <v>313.7</v>
      </c>
      <c r="GL17" s="505">
        <v>474.8</v>
      </c>
      <c r="GM17" s="505">
        <v>246.46</v>
      </c>
      <c r="GN17" s="505">
        <v>246.57</v>
      </c>
      <c r="GO17" s="505">
        <v>125.64</v>
      </c>
      <c r="GP17" s="505">
        <v>126.51</v>
      </c>
      <c r="GQ17" s="505">
        <v>110.45</v>
      </c>
      <c r="GR17" s="505">
        <v>98.55</v>
      </c>
      <c r="GS17" s="505">
        <v>95</v>
      </c>
      <c r="GT17" s="505">
        <v>260.54000000000002</v>
      </c>
      <c r="GU17" s="505">
        <v>64.41</v>
      </c>
      <c r="GV17" s="505">
        <v>99.69</v>
      </c>
      <c r="GW17" s="505">
        <v>99.69</v>
      </c>
      <c r="GX17" s="505">
        <v>100</v>
      </c>
      <c r="GY17" s="505">
        <v>93.7</v>
      </c>
      <c r="GZ17" s="505">
        <v>107.02</v>
      </c>
      <c r="HA17" s="505">
        <v>106.44</v>
      </c>
      <c r="HB17" s="505">
        <v>100</v>
      </c>
      <c r="HC17" s="505">
        <v>278.79000000000002</v>
      </c>
      <c r="HD17" s="505">
        <v>227.94</v>
      </c>
      <c r="HE17" s="505">
        <v>292.64999999999998</v>
      </c>
      <c r="HF17" s="505">
        <v>227.9</v>
      </c>
      <c r="HG17" s="505">
        <v>103.38</v>
      </c>
      <c r="HH17" s="505">
        <v>99.69</v>
      </c>
      <c r="HI17" s="505">
        <v>103.38</v>
      </c>
      <c r="HJ17" s="505">
        <v>118.07</v>
      </c>
      <c r="HK17" s="505">
        <v>118.07</v>
      </c>
      <c r="HL17" s="505">
        <v>95</v>
      </c>
      <c r="HM17" s="505">
        <v>89.09</v>
      </c>
      <c r="HN17" s="505">
        <v>64.41</v>
      </c>
      <c r="HO17" s="505">
        <v>280.83999999999997</v>
      </c>
      <c r="HP17" s="505">
        <v>280.83999999999997</v>
      </c>
      <c r="HQ17" s="505">
        <v>271.12</v>
      </c>
      <c r="HR17" s="505">
        <v>85</v>
      </c>
      <c r="HS17" s="505">
        <v>65</v>
      </c>
      <c r="HT17" s="505">
        <v>43.71</v>
      </c>
      <c r="HU17" s="505">
        <v>260.8</v>
      </c>
      <c r="HV17" s="505">
        <v>89.09</v>
      </c>
      <c r="HW17" s="505">
        <v>107.38</v>
      </c>
      <c r="HX17" s="505">
        <v>144.81</v>
      </c>
      <c r="HY17" s="505">
        <v>232.74</v>
      </c>
      <c r="HZ17" s="505">
        <v>222.71</v>
      </c>
      <c r="IA17" s="505">
        <v>389.94</v>
      </c>
      <c r="IB17" s="505">
        <v>286.83999999999997</v>
      </c>
      <c r="IC17" s="505">
        <v>320.93</v>
      </c>
      <c r="ID17" s="505">
        <v>307.45999999999998</v>
      </c>
      <c r="IE17" s="505">
        <v>389.94</v>
      </c>
      <c r="IF17" s="505">
        <v>307.45999999999998</v>
      </c>
      <c r="IG17" s="505">
        <v>291.31</v>
      </c>
      <c r="IH17" s="570">
        <v>222.15</v>
      </c>
    </row>
    <row r="18" spans="4:242" s="503" customFormat="1" ht="15.95" customHeight="1" x14ac:dyDescent="0.2">
      <c r="D18" s="585" t="s">
        <v>491</v>
      </c>
      <c r="G18" s="504" t="s">
        <v>492</v>
      </c>
      <c r="H18" s="505">
        <v>315</v>
      </c>
      <c r="I18" s="505">
        <v>295</v>
      </c>
      <c r="J18" s="505">
        <v>240</v>
      </c>
      <c r="K18" s="505">
        <v>266.88</v>
      </c>
      <c r="L18" s="505">
        <v>266.88</v>
      </c>
      <c r="M18" s="505">
        <v>235.79</v>
      </c>
      <c r="N18" s="505">
        <v>275.5</v>
      </c>
      <c r="O18" s="505">
        <v>270.5</v>
      </c>
      <c r="P18" s="505">
        <v>270.5</v>
      </c>
      <c r="Q18" s="505">
        <v>267.5</v>
      </c>
      <c r="R18" s="505">
        <v>272.5</v>
      </c>
      <c r="S18" s="505">
        <v>262.5</v>
      </c>
      <c r="T18" s="505">
        <v>17.100000000000001</v>
      </c>
      <c r="U18" s="505">
        <v>17.3</v>
      </c>
      <c r="V18" s="505">
        <v>6.3</v>
      </c>
      <c r="W18" s="505">
        <v>1.3</v>
      </c>
      <c r="X18" s="505">
        <v>7.3</v>
      </c>
      <c r="Y18" s="505">
        <v>4.3</v>
      </c>
      <c r="Z18" s="505">
        <v>17.100000000000001</v>
      </c>
      <c r="AA18" s="505">
        <v>205</v>
      </c>
      <c r="AB18" s="505">
        <v>1.3</v>
      </c>
      <c r="AC18" s="505">
        <v>7.3</v>
      </c>
      <c r="AD18" s="505">
        <v>17.100000000000001</v>
      </c>
      <c r="AE18" s="505">
        <v>4.3</v>
      </c>
      <c r="AF18" s="505">
        <v>231.8</v>
      </c>
      <c r="AG18" s="505">
        <v>231.8</v>
      </c>
      <c r="AH18" s="505">
        <v>267.52</v>
      </c>
      <c r="AI18" s="505">
        <v>235.55</v>
      </c>
      <c r="AJ18" s="505">
        <v>232.97</v>
      </c>
      <c r="AK18" s="505">
        <v>232.39</v>
      </c>
      <c r="AL18" s="505">
        <v>233.55</v>
      </c>
      <c r="AM18" s="505">
        <v>233.11</v>
      </c>
      <c r="AN18" s="505">
        <v>233.55</v>
      </c>
      <c r="AO18" s="505">
        <v>222.76</v>
      </c>
      <c r="AP18" s="505">
        <v>21.6</v>
      </c>
      <c r="AQ18" s="505">
        <v>18.989999999999998</v>
      </c>
      <c r="AR18" s="505">
        <v>20.85</v>
      </c>
      <c r="AS18" s="505">
        <v>251.24</v>
      </c>
      <c r="AT18" s="505">
        <v>21.6</v>
      </c>
      <c r="AU18" s="505">
        <v>16.600000000000001</v>
      </c>
      <c r="AV18" s="505">
        <v>21</v>
      </c>
      <c r="AW18" s="505">
        <v>240.22</v>
      </c>
      <c r="AX18" s="505">
        <v>19.72</v>
      </c>
      <c r="AY18" s="505">
        <v>60.3</v>
      </c>
      <c r="AZ18" s="505">
        <v>15.83</v>
      </c>
      <c r="BA18" s="505">
        <v>240</v>
      </c>
      <c r="BB18" s="505">
        <v>235.55</v>
      </c>
      <c r="BC18" s="505">
        <v>235.55</v>
      </c>
      <c r="BD18" s="505">
        <v>20.02</v>
      </c>
      <c r="BE18" s="505">
        <v>60.3</v>
      </c>
      <c r="BF18" s="505">
        <v>17</v>
      </c>
      <c r="BG18" s="505">
        <v>17</v>
      </c>
      <c r="BH18" s="505">
        <v>566.61</v>
      </c>
      <c r="BI18" s="505">
        <v>42.04</v>
      </c>
      <c r="BJ18" s="505">
        <v>42.44</v>
      </c>
      <c r="BK18" s="505">
        <v>106.6</v>
      </c>
      <c r="BL18" s="505">
        <v>2.4</v>
      </c>
      <c r="BM18" s="505">
        <v>266.14</v>
      </c>
      <c r="BN18" s="505">
        <v>264.64</v>
      </c>
      <c r="BO18" s="505">
        <v>237.29</v>
      </c>
      <c r="BP18" s="505">
        <v>238.64</v>
      </c>
      <c r="BQ18" s="505">
        <v>237.34</v>
      </c>
      <c r="BR18" s="505">
        <v>233.11</v>
      </c>
      <c r="BS18" s="505">
        <v>228.76</v>
      </c>
      <c r="BT18" s="505">
        <v>233.55</v>
      </c>
      <c r="BU18" s="505">
        <v>251.24</v>
      </c>
      <c r="BV18" s="505">
        <v>245.24</v>
      </c>
      <c r="BW18" s="505">
        <v>222.76</v>
      </c>
      <c r="BX18" s="505">
        <v>239.64</v>
      </c>
      <c r="BY18" s="505">
        <v>240.36</v>
      </c>
      <c r="BZ18" s="505">
        <v>234.56</v>
      </c>
      <c r="CA18" s="505">
        <v>245.24</v>
      </c>
      <c r="CB18" s="505">
        <v>240.24</v>
      </c>
      <c r="CC18" s="505">
        <v>18.989999999999998</v>
      </c>
      <c r="CD18" s="505">
        <v>17.54</v>
      </c>
      <c r="CE18" s="505">
        <v>20.51</v>
      </c>
      <c r="CF18" s="505">
        <v>16.600000000000001</v>
      </c>
      <c r="CG18" s="505">
        <v>24.5</v>
      </c>
      <c r="CH18" s="505">
        <v>21.6</v>
      </c>
      <c r="CI18" s="505">
        <v>21</v>
      </c>
      <c r="CJ18" s="505">
        <v>16</v>
      </c>
      <c r="CK18" s="505">
        <v>17.07</v>
      </c>
      <c r="CL18" s="505">
        <v>15.69</v>
      </c>
      <c r="CM18" s="505">
        <v>72.709999999999994</v>
      </c>
      <c r="CN18" s="505">
        <v>71.260000000000005</v>
      </c>
      <c r="CO18" s="505">
        <v>231.55</v>
      </c>
      <c r="CP18" s="505">
        <v>41.44</v>
      </c>
      <c r="CQ18" s="505">
        <v>567.6</v>
      </c>
      <c r="CR18" s="505">
        <v>566.61</v>
      </c>
      <c r="CS18" s="505">
        <v>41.14</v>
      </c>
      <c r="CT18" s="505">
        <v>42.44</v>
      </c>
      <c r="CU18" s="505">
        <v>41.44</v>
      </c>
      <c r="CV18" s="505">
        <v>2</v>
      </c>
      <c r="CW18" s="505">
        <v>1</v>
      </c>
      <c r="CX18" s="505">
        <v>41.84</v>
      </c>
      <c r="CY18" s="505">
        <v>46.1</v>
      </c>
      <c r="CZ18" s="505">
        <v>36.1</v>
      </c>
      <c r="DA18" s="505">
        <v>60.3</v>
      </c>
      <c r="DB18" s="505">
        <v>60.29</v>
      </c>
      <c r="DC18" s="505">
        <v>51.48</v>
      </c>
      <c r="DD18" s="505">
        <v>49.48</v>
      </c>
      <c r="DE18" s="505">
        <v>20.85</v>
      </c>
      <c r="DF18" s="505">
        <v>20.85</v>
      </c>
      <c r="DG18" s="505">
        <v>232.02</v>
      </c>
      <c r="DH18" s="505">
        <v>28.82</v>
      </c>
      <c r="DI18" s="505" t="s">
        <v>668</v>
      </c>
      <c r="DJ18" s="505">
        <v>43.32</v>
      </c>
      <c r="DK18" s="505">
        <v>45.4</v>
      </c>
      <c r="DL18" s="505">
        <v>275.49</v>
      </c>
      <c r="DM18" s="505">
        <v>14.96</v>
      </c>
      <c r="DN18" s="505">
        <v>71.260000000000005</v>
      </c>
      <c r="DO18" s="505">
        <v>275.38</v>
      </c>
      <c r="DP18" s="505">
        <v>20.02</v>
      </c>
      <c r="DQ18" s="505">
        <v>233.55</v>
      </c>
      <c r="DR18" s="505">
        <v>240.36</v>
      </c>
      <c r="DS18" s="505">
        <v>63</v>
      </c>
      <c r="DT18" s="505">
        <v>251.24</v>
      </c>
      <c r="DU18" s="505">
        <v>20.02</v>
      </c>
      <c r="DV18" s="505">
        <v>16.809999999999999</v>
      </c>
      <c r="DW18" s="505">
        <v>568.1</v>
      </c>
      <c r="DX18" s="505">
        <v>106.6</v>
      </c>
      <c r="DY18" s="505">
        <v>2.4</v>
      </c>
      <c r="DZ18" s="505">
        <v>46.1</v>
      </c>
      <c r="EA18" s="505">
        <v>20.85</v>
      </c>
      <c r="EB18" s="505">
        <v>20.02</v>
      </c>
      <c r="EC18" s="505">
        <v>275.38</v>
      </c>
      <c r="ED18" s="505">
        <v>280.5</v>
      </c>
      <c r="EE18" s="505">
        <v>280.5</v>
      </c>
      <c r="EF18" s="505">
        <v>81.5</v>
      </c>
      <c r="EG18" s="505">
        <v>81.5</v>
      </c>
      <c r="EH18" s="505">
        <v>30.3</v>
      </c>
      <c r="EI18" s="505">
        <v>21.6</v>
      </c>
      <c r="EJ18" s="505">
        <v>52.7</v>
      </c>
      <c r="EK18" s="505">
        <v>61.4</v>
      </c>
      <c r="EL18" s="505">
        <v>-0.19</v>
      </c>
      <c r="EM18" s="505">
        <v>-4.54</v>
      </c>
      <c r="EN18" s="505">
        <v>-0.19</v>
      </c>
      <c r="EO18" s="505">
        <v>-0.22</v>
      </c>
      <c r="EP18" s="505">
        <v>240.22</v>
      </c>
      <c r="EQ18" s="505">
        <v>275.38</v>
      </c>
      <c r="ER18" s="505">
        <v>275.38</v>
      </c>
      <c r="ES18" s="505">
        <v>200</v>
      </c>
      <c r="ET18" s="505">
        <v>17</v>
      </c>
      <c r="EU18" s="505">
        <v>275.38</v>
      </c>
      <c r="EV18" s="505">
        <v>295</v>
      </c>
      <c r="EW18" s="505">
        <v>295</v>
      </c>
      <c r="EX18" s="505">
        <v>0</v>
      </c>
      <c r="EY18" s="505">
        <v>295</v>
      </c>
      <c r="EZ18" s="505">
        <v>295</v>
      </c>
      <c r="FA18" s="505">
        <v>295</v>
      </c>
      <c r="FB18" s="505">
        <v>0</v>
      </c>
      <c r="FC18" s="505">
        <v>295</v>
      </c>
      <c r="FD18" s="505">
        <v>295</v>
      </c>
      <c r="FE18" s="505">
        <v>300</v>
      </c>
      <c r="FF18" s="505">
        <v>0</v>
      </c>
      <c r="FG18" s="505">
        <v>267.52</v>
      </c>
      <c r="FH18" s="505">
        <v>0</v>
      </c>
      <c r="FI18" s="505">
        <v>266.88</v>
      </c>
      <c r="FJ18" s="505">
        <v>266.88</v>
      </c>
      <c r="FK18" s="505">
        <v>266.88</v>
      </c>
      <c r="FL18" s="505">
        <v>266.88</v>
      </c>
      <c r="FM18" s="505">
        <v>0</v>
      </c>
      <c r="FN18" s="505">
        <v>266.88</v>
      </c>
      <c r="FO18" s="505">
        <v>231.8</v>
      </c>
      <c r="FP18" s="505">
        <v>231.8</v>
      </c>
      <c r="FQ18" s="505">
        <v>0</v>
      </c>
      <c r="FR18" s="505">
        <v>231.8</v>
      </c>
      <c r="FS18" s="505">
        <v>0</v>
      </c>
      <c r="FT18" s="505">
        <v>267.52</v>
      </c>
      <c r="FU18" s="505">
        <v>232.39</v>
      </c>
      <c r="FV18" s="505">
        <v>18.989999999999998</v>
      </c>
      <c r="FW18" s="505">
        <v>19.72</v>
      </c>
      <c r="FX18" s="505" t="s">
        <v>668</v>
      </c>
      <c r="FY18" s="505">
        <v>81.5</v>
      </c>
      <c r="FZ18" s="505">
        <v>15.83</v>
      </c>
      <c r="GA18" s="505">
        <v>93.5</v>
      </c>
      <c r="GB18" s="505">
        <v>93.5</v>
      </c>
      <c r="GC18" s="505">
        <v>42.04</v>
      </c>
      <c r="GD18" s="505" t="s">
        <v>668</v>
      </c>
      <c r="GE18" s="505">
        <v>110</v>
      </c>
      <c r="GF18" s="505">
        <v>2</v>
      </c>
      <c r="GG18" s="505" t="s">
        <v>668</v>
      </c>
      <c r="GH18" s="505">
        <v>17</v>
      </c>
      <c r="GI18" s="505">
        <v>267.52</v>
      </c>
      <c r="GJ18" s="505">
        <v>264</v>
      </c>
      <c r="GK18" s="505">
        <v>263.14</v>
      </c>
      <c r="GL18" s="505">
        <v>241.69</v>
      </c>
      <c r="GM18" s="505">
        <v>235.55</v>
      </c>
      <c r="GN18" s="505">
        <v>235.55</v>
      </c>
      <c r="GO18" s="505">
        <v>275.49</v>
      </c>
      <c r="GP18" s="505">
        <v>233.55</v>
      </c>
      <c r="GQ18" s="505">
        <v>233.11</v>
      </c>
      <c r="GR18" s="505">
        <v>231.8</v>
      </c>
      <c r="GS18" s="505">
        <v>20.51</v>
      </c>
      <c r="GT18" s="505">
        <v>251.24</v>
      </c>
      <c r="GU18" s="505">
        <v>16.600000000000001</v>
      </c>
      <c r="GV18" s="505">
        <v>20.02</v>
      </c>
      <c r="GW18" s="505">
        <v>20.02</v>
      </c>
      <c r="GX18" s="505">
        <v>60.3</v>
      </c>
      <c r="GY18" s="505">
        <v>15.83</v>
      </c>
      <c r="GZ18" s="505">
        <v>15.69</v>
      </c>
      <c r="HA18" s="505">
        <v>14.96</v>
      </c>
      <c r="HB18" s="505">
        <v>71.260000000000005</v>
      </c>
      <c r="HC18" s="505">
        <v>235.55</v>
      </c>
      <c r="HD18" s="505">
        <v>46.1</v>
      </c>
      <c r="HE18" s="505">
        <v>42.44</v>
      </c>
      <c r="HF18" s="505">
        <v>2.4</v>
      </c>
      <c r="HG18" s="505">
        <v>497</v>
      </c>
      <c r="HH18" s="505">
        <v>20.02</v>
      </c>
      <c r="HI18" s="505">
        <v>497</v>
      </c>
      <c r="HJ18" s="505">
        <v>106.6</v>
      </c>
      <c r="HK18" s="505">
        <v>106.6</v>
      </c>
      <c r="HL18" s="505">
        <v>17.54</v>
      </c>
      <c r="HM18" s="505">
        <v>16.75</v>
      </c>
      <c r="HN18" s="505">
        <v>16.600000000000001</v>
      </c>
      <c r="HO18" s="505">
        <v>21.6</v>
      </c>
      <c r="HP18" s="505">
        <v>21.6</v>
      </c>
      <c r="HQ18" s="505">
        <v>52.7</v>
      </c>
      <c r="HR18" s="505">
        <v>42.7</v>
      </c>
      <c r="HS18" s="505">
        <v>615</v>
      </c>
      <c r="HT18" s="505">
        <v>0</v>
      </c>
      <c r="HU18" s="505">
        <v>20.85</v>
      </c>
      <c r="HV18" s="505">
        <v>16.75</v>
      </c>
      <c r="HW18" s="505">
        <v>233.11</v>
      </c>
      <c r="HX18" s="505">
        <v>228.76</v>
      </c>
      <c r="HY18" s="505">
        <v>222.76</v>
      </c>
      <c r="HZ18" s="505">
        <v>19</v>
      </c>
      <c r="IA18" s="505">
        <v>205</v>
      </c>
      <c r="IB18" s="505">
        <v>40</v>
      </c>
      <c r="IC18" s="505">
        <v>40</v>
      </c>
      <c r="ID18" s="505">
        <v>60</v>
      </c>
      <c r="IE18" s="505">
        <v>205</v>
      </c>
      <c r="IF18" s="505">
        <v>60</v>
      </c>
      <c r="IG18" s="505">
        <v>42.36</v>
      </c>
      <c r="IH18" s="570">
        <v>2.3199999999999998</v>
      </c>
    </row>
    <row r="19" spans="4:242" s="503" customFormat="1" ht="15.95" customHeight="1" x14ac:dyDescent="0.2">
      <c r="D19" s="585" t="s">
        <v>493</v>
      </c>
      <c r="G19" s="504" t="s">
        <v>494</v>
      </c>
      <c r="H19" s="507">
        <v>45041.24</v>
      </c>
      <c r="I19" s="507">
        <v>42576.18</v>
      </c>
      <c r="J19" s="507">
        <v>693</v>
      </c>
      <c r="K19" s="507">
        <v>899983.4</v>
      </c>
      <c r="L19" s="507">
        <v>945024.6</v>
      </c>
      <c r="M19" s="507">
        <v>945017.3</v>
      </c>
      <c r="N19" s="507">
        <v>599144</v>
      </c>
      <c r="O19" s="507">
        <v>935573.35609744745</v>
      </c>
      <c r="P19" s="507">
        <v>580801.74479285022</v>
      </c>
      <c r="Q19" s="507">
        <v>575444.0798729253</v>
      </c>
      <c r="R19" s="507">
        <v>953915.71657600789</v>
      </c>
      <c r="S19" s="507">
        <v>953915.71657600789</v>
      </c>
      <c r="T19" s="507">
        <v>5357.6649199249287</v>
      </c>
      <c r="U19" s="507">
        <v>958318.3960085283</v>
      </c>
      <c r="V19" s="507">
        <v>39297.435223020329</v>
      </c>
      <c r="W19" s="507">
        <v>971225.03411700914</v>
      </c>
      <c r="X19" s="507">
        <v>35651.67801956155</v>
      </c>
      <c r="Y19" s="507">
        <v>14717.793332297511</v>
      </c>
      <c r="Z19" s="507">
        <v>13165.293962307978</v>
      </c>
      <c r="AA19" s="507">
        <v>15000</v>
      </c>
      <c r="AB19" s="507">
        <v>13702.799609050831</v>
      </c>
      <c r="AC19" s="507">
        <v>28702.799609050831</v>
      </c>
      <c r="AD19" s="507">
        <v>1647.9857351839073</v>
      </c>
      <c r="AE19" s="507">
        <v>24579.641890722814</v>
      </c>
      <c r="AF19" s="507">
        <v>1765.83</v>
      </c>
      <c r="AG19" s="507">
        <v>881148.1</v>
      </c>
      <c r="AH19" s="507">
        <v>857407.2</v>
      </c>
      <c r="AI19" s="507">
        <v>948265.6</v>
      </c>
      <c r="AJ19" s="507">
        <v>1429558</v>
      </c>
      <c r="AK19" s="507">
        <v>882913.9</v>
      </c>
      <c r="AL19" s="507">
        <v>792556.1</v>
      </c>
      <c r="AM19" s="507">
        <v>1487012</v>
      </c>
      <c r="AN19" s="507">
        <v>7968.11</v>
      </c>
      <c r="AO19" s="507">
        <v>1550312</v>
      </c>
      <c r="AP19" s="507">
        <v>35540</v>
      </c>
      <c r="AQ19" s="507">
        <v>94538.13</v>
      </c>
      <c r="AR19" s="507">
        <v>1547978</v>
      </c>
      <c r="AS19" s="507">
        <v>60163.47</v>
      </c>
      <c r="AT19" s="507">
        <v>3500</v>
      </c>
      <c r="AU19" s="507">
        <v>6559.61</v>
      </c>
      <c r="AV19" s="507">
        <v>89357.119999999995</v>
      </c>
      <c r="AW19" s="507">
        <v>58496.32</v>
      </c>
      <c r="AX19" s="507">
        <v>1378.63</v>
      </c>
      <c r="AY19" s="507">
        <v>97389.42</v>
      </c>
      <c r="AZ19" s="507">
        <v>1875.36</v>
      </c>
      <c r="BA19" s="507">
        <v>63300.34</v>
      </c>
      <c r="BB19" s="507">
        <v>4331.01</v>
      </c>
      <c r="BC19" s="507">
        <v>3248.26</v>
      </c>
      <c r="BD19" s="507">
        <v>557.21</v>
      </c>
      <c r="BE19" s="507">
        <v>8853.58</v>
      </c>
      <c r="BF19" s="507">
        <v>27.43</v>
      </c>
      <c r="BG19" s="507">
        <v>7940.68</v>
      </c>
      <c r="BH19" s="507">
        <v>7940.68</v>
      </c>
      <c r="BI19" s="507">
        <v>3120.02</v>
      </c>
      <c r="BJ19" s="507">
        <v>5090.5600000000004</v>
      </c>
      <c r="BK19" s="507">
        <v>2843.2</v>
      </c>
      <c r="BL19" s="507">
        <v>1977.46</v>
      </c>
      <c r="BM19" s="507">
        <v>945024.6</v>
      </c>
      <c r="BN19" s="507">
        <v>945023.3</v>
      </c>
      <c r="BO19" s="507">
        <v>945017.3</v>
      </c>
      <c r="BP19" s="507">
        <v>945017.3</v>
      </c>
      <c r="BQ19" s="507">
        <v>945017.3</v>
      </c>
      <c r="BR19" s="507">
        <v>1550312</v>
      </c>
      <c r="BS19" s="507">
        <v>1550312</v>
      </c>
      <c r="BT19" s="507">
        <v>948265.6</v>
      </c>
      <c r="BU19" s="507">
        <v>1487814</v>
      </c>
      <c r="BV19" s="507">
        <v>1487814</v>
      </c>
      <c r="BW19" s="507">
        <v>1550312</v>
      </c>
      <c r="BX19" s="507">
        <v>1429658</v>
      </c>
      <c r="BY19" s="507">
        <v>784582</v>
      </c>
      <c r="BZ19" s="507">
        <v>784582</v>
      </c>
      <c r="CA19" s="507">
        <v>1488037</v>
      </c>
      <c r="CB19" s="507">
        <v>1488155</v>
      </c>
      <c r="CC19" s="507">
        <v>95916.77</v>
      </c>
      <c r="CD19" s="507">
        <v>95916.77</v>
      </c>
      <c r="CE19" s="507">
        <v>30897.81</v>
      </c>
      <c r="CF19" s="507">
        <v>24338.19</v>
      </c>
      <c r="CG19" s="507">
        <v>1615732</v>
      </c>
      <c r="CH19" s="507">
        <v>1615732</v>
      </c>
      <c r="CI19" s="507">
        <v>58496.32</v>
      </c>
      <c r="CJ19" s="507">
        <v>58491.74</v>
      </c>
      <c r="CK19" s="507">
        <v>2730.09</v>
      </c>
      <c r="CL19" s="507">
        <v>2730.09</v>
      </c>
      <c r="CM19" s="507">
        <v>4427.92</v>
      </c>
      <c r="CN19" s="507">
        <v>4427.92</v>
      </c>
      <c r="CO19" s="507">
        <v>7968.11</v>
      </c>
      <c r="CP19" s="507">
        <v>3120.02</v>
      </c>
      <c r="CQ19" s="507">
        <v>7940.68</v>
      </c>
      <c r="CR19" s="507">
        <v>7940.68</v>
      </c>
      <c r="CS19" s="507">
        <v>3120.02</v>
      </c>
      <c r="CT19" s="507">
        <v>16629.18</v>
      </c>
      <c r="CU19" s="507">
        <v>16629.18</v>
      </c>
      <c r="CV19" s="507">
        <v>3444.9</v>
      </c>
      <c r="CW19" s="507">
        <v>3444.9</v>
      </c>
      <c r="CX19" s="507">
        <v>3120.02</v>
      </c>
      <c r="CY19" s="507">
        <v>842398.5</v>
      </c>
      <c r="CZ19" s="507">
        <v>842398.5</v>
      </c>
      <c r="DA19" s="507">
        <v>88535.72</v>
      </c>
      <c r="DB19" s="507">
        <v>88535.84</v>
      </c>
      <c r="DC19" s="507">
        <v>15589</v>
      </c>
      <c r="DD19" s="507">
        <v>15589</v>
      </c>
      <c r="DE19" s="507">
        <v>1487814</v>
      </c>
      <c r="DF19" s="507">
        <v>1487814</v>
      </c>
      <c r="DG19" s="507">
        <v>97.52</v>
      </c>
      <c r="DH19" s="507">
        <v>2.2000000000000002</v>
      </c>
      <c r="DI19" s="507" t="s">
        <v>668</v>
      </c>
      <c r="DJ19" s="507">
        <v>2.2000000000000002</v>
      </c>
      <c r="DK19" s="507">
        <v>35271</v>
      </c>
      <c r="DL19" s="507">
        <v>881148.1</v>
      </c>
      <c r="DM19" s="507">
        <v>4427.92</v>
      </c>
      <c r="DN19" s="507">
        <v>4331.01</v>
      </c>
      <c r="DO19" s="507">
        <v>178.49</v>
      </c>
      <c r="DP19" s="507">
        <v>0</v>
      </c>
      <c r="DQ19" s="507">
        <v>784588</v>
      </c>
      <c r="DR19" s="507">
        <v>784588</v>
      </c>
      <c r="DS19" s="507">
        <v>89357.15</v>
      </c>
      <c r="DT19" s="507">
        <v>1547978</v>
      </c>
      <c r="DU19" s="507">
        <v>97389.42</v>
      </c>
      <c r="DV19" s="507">
        <v>63300.34</v>
      </c>
      <c r="DW19" s="507">
        <v>7940.68</v>
      </c>
      <c r="DX19" s="507">
        <v>3444.9</v>
      </c>
      <c r="DY19" s="507">
        <v>844376</v>
      </c>
      <c r="DZ19" s="507">
        <v>844376</v>
      </c>
      <c r="EA19" s="507">
        <v>60163.47</v>
      </c>
      <c r="EB19" s="507">
        <v>88535.72</v>
      </c>
      <c r="EC19" s="507">
        <v>0</v>
      </c>
      <c r="ED19" s="507">
        <v>9228.49</v>
      </c>
      <c r="EE19" s="507">
        <v>1422266</v>
      </c>
      <c r="EF19" s="507">
        <v>4814.8599999999997</v>
      </c>
      <c r="EG19" s="507">
        <v>1514401</v>
      </c>
      <c r="EH19" s="507">
        <v>3500</v>
      </c>
      <c r="EI19" s="507">
        <v>3500</v>
      </c>
      <c r="EJ19" s="507">
        <v>44615.29</v>
      </c>
      <c r="EK19" s="507">
        <v>44615.29</v>
      </c>
      <c r="EL19" s="507">
        <v>2.2000000000000002</v>
      </c>
      <c r="EM19" s="507">
        <v>2.2000000000000002</v>
      </c>
      <c r="EN19" s="507">
        <v>2.2000000000000002</v>
      </c>
      <c r="EO19" s="507">
        <v>2.2000000000000002</v>
      </c>
      <c r="EP19" s="507">
        <v>0</v>
      </c>
      <c r="EQ19" s="507">
        <v>75.819999999999993</v>
      </c>
      <c r="ER19" s="507">
        <v>44.09</v>
      </c>
      <c r="ES19" s="507">
        <v>7200</v>
      </c>
      <c r="ET19" s="507">
        <v>7968.11</v>
      </c>
      <c r="EU19" s="507">
        <v>207.82</v>
      </c>
      <c r="EV19" s="507">
        <v>42563.09</v>
      </c>
      <c r="EW19" s="507">
        <v>10640.77</v>
      </c>
      <c r="EX19" s="507">
        <v>10640.77</v>
      </c>
      <c r="EY19" s="507">
        <v>10640.77</v>
      </c>
      <c r="EZ19" s="507">
        <v>10640.77</v>
      </c>
      <c r="FA19" s="507">
        <v>10640.77</v>
      </c>
      <c r="FB19" s="507">
        <v>10640.77</v>
      </c>
      <c r="FC19" s="507">
        <v>21281.54</v>
      </c>
      <c r="FD19" s="507">
        <v>21281.54</v>
      </c>
      <c r="FE19" s="507">
        <v>692.74</v>
      </c>
      <c r="FF19" s="507">
        <v>692.74</v>
      </c>
      <c r="FG19" s="507">
        <v>878688.8</v>
      </c>
      <c r="FH19" s="507">
        <v>878688.8</v>
      </c>
      <c r="FI19" s="507">
        <v>945024.6</v>
      </c>
      <c r="FJ19" s="507">
        <v>472512.3</v>
      </c>
      <c r="FK19" s="507">
        <v>472512.3</v>
      </c>
      <c r="FL19" s="507">
        <v>472512.3</v>
      </c>
      <c r="FM19" s="507">
        <v>472512.3</v>
      </c>
      <c r="FN19" s="507">
        <v>472512.3</v>
      </c>
      <c r="FO19" s="507">
        <v>881148.1</v>
      </c>
      <c r="FP19" s="507">
        <v>220287</v>
      </c>
      <c r="FQ19" s="507">
        <v>220287</v>
      </c>
      <c r="FR19" s="507">
        <v>660861.1</v>
      </c>
      <c r="FS19" s="507">
        <v>660861.1</v>
      </c>
      <c r="FT19" s="507">
        <v>857407.2</v>
      </c>
      <c r="FU19" s="507">
        <v>1431494</v>
      </c>
      <c r="FV19" s="507">
        <v>1519216</v>
      </c>
      <c r="FW19" s="507">
        <v>89836.68</v>
      </c>
      <c r="FX19" s="507" t="s">
        <v>668</v>
      </c>
      <c r="FY19" s="507">
        <v>89836.68</v>
      </c>
      <c r="FZ19" s="507">
        <v>58588.22</v>
      </c>
      <c r="GA19" s="507">
        <v>427.42</v>
      </c>
      <c r="GB19" s="507">
        <v>58160.800000000003</v>
      </c>
      <c r="GC19" s="507">
        <v>322.08</v>
      </c>
      <c r="GD19" s="507" t="s">
        <v>668</v>
      </c>
      <c r="GE19" s="507">
        <v>322.08</v>
      </c>
      <c r="GF19" s="507">
        <v>365.84</v>
      </c>
      <c r="GG19" s="507" t="s">
        <v>668</v>
      </c>
      <c r="GH19" s="507">
        <v>365.84</v>
      </c>
      <c r="GI19" s="507">
        <v>575439.80000000005</v>
      </c>
      <c r="GJ19" s="507">
        <v>945017.3</v>
      </c>
      <c r="GK19" s="507">
        <v>945017.3</v>
      </c>
      <c r="GL19" s="507">
        <v>945017.3</v>
      </c>
      <c r="GM19" s="507">
        <v>945017.3</v>
      </c>
      <c r="GN19" s="507">
        <v>948265.6</v>
      </c>
      <c r="GO19" s="507">
        <v>281967.40000000002</v>
      </c>
      <c r="GP19" s="507">
        <v>948341.4</v>
      </c>
      <c r="GQ19" s="507">
        <v>940367.2</v>
      </c>
      <c r="GR19" s="507">
        <v>882913.9</v>
      </c>
      <c r="GS19" s="507">
        <v>89357.15</v>
      </c>
      <c r="GT19" s="507">
        <v>1487814</v>
      </c>
      <c r="GU19" s="507">
        <v>6586.75</v>
      </c>
      <c r="GV19" s="507">
        <v>88535.72</v>
      </c>
      <c r="GW19" s="507">
        <v>88535.72</v>
      </c>
      <c r="GX19" s="507">
        <v>88535.84</v>
      </c>
      <c r="GY19" s="507">
        <v>1875.36</v>
      </c>
      <c r="GZ19" s="507">
        <v>4605.45</v>
      </c>
      <c r="HA19" s="507">
        <v>177.53</v>
      </c>
      <c r="HB19" s="507">
        <v>96.91</v>
      </c>
      <c r="HC19" s="507">
        <v>1082.75</v>
      </c>
      <c r="HD19" s="507">
        <v>1977.46</v>
      </c>
      <c r="HE19" s="507">
        <v>5090.5600000000004</v>
      </c>
      <c r="HF19" s="507">
        <v>1977.46</v>
      </c>
      <c r="HG19" s="507">
        <v>15849.55</v>
      </c>
      <c r="HH19" s="507">
        <v>0</v>
      </c>
      <c r="HI19" s="507">
        <v>15849.55</v>
      </c>
      <c r="HJ19" s="507">
        <v>269.89999999999998</v>
      </c>
      <c r="HK19" s="507">
        <v>331.8</v>
      </c>
      <c r="HL19" s="507">
        <v>95916.77</v>
      </c>
      <c r="HM19" s="507">
        <v>32038.57</v>
      </c>
      <c r="HN19" s="507">
        <v>25453.25</v>
      </c>
      <c r="HO19" s="507">
        <v>3500</v>
      </c>
      <c r="HP19" s="507">
        <v>1615732</v>
      </c>
      <c r="HQ19" s="507">
        <v>44615.29</v>
      </c>
      <c r="HR19" s="507">
        <v>260.55</v>
      </c>
      <c r="HS19" s="507">
        <v>220.46</v>
      </c>
      <c r="HT19" s="507">
        <v>220.46</v>
      </c>
      <c r="HU19" s="507">
        <v>1487814</v>
      </c>
      <c r="HV19" s="507">
        <v>89331.45</v>
      </c>
      <c r="HW19" s="507">
        <v>1550312</v>
      </c>
      <c r="HX19" s="507">
        <v>1550312</v>
      </c>
      <c r="HY19" s="507">
        <v>1550312</v>
      </c>
      <c r="HZ19" s="507">
        <v>1550312</v>
      </c>
      <c r="IA19" s="507">
        <v>21780</v>
      </c>
      <c r="IB19" s="507">
        <v>13760</v>
      </c>
      <c r="IC19" s="507">
        <v>35540</v>
      </c>
      <c r="ID19" s="507">
        <v>35540</v>
      </c>
      <c r="IE19" s="507">
        <v>557.21</v>
      </c>
      <c r="IF19" s="507">
        <v>557.21</v>
      </c>
      <c r="IG19" s="507">
        <v>7940.68</v>
      </c>
      <c r="IH19" s="571">
        <v>5090.5600000000004</v>
      </c>
    </row>
    <row r="20" spans="4:242" s="503" customFormat="1" ht="15.95" customHeight="1" x14ac:dyDescent="0.2">
      <c r="D20" s="585" t="s">
        <v>495</v>
      </c>
      <c r="G20" s="504" t="s">
        <v>496</v>
      </c>
      <c r="H20" s="507">
        <v>1406.94</v>
      </c>
      <c r="I20" s="507">
        <v>1517.93</v>
      </c>
      <c r="J20" s="507">
        <v>44.605143385332305</v>
      </c>
      <c r="K20" s="507">
        <v>40184.300000000003</v>
      </c>
      <c r="L20" s="507">
        <v>41591.24</v>
      </c>
      <c r="M20" s="507">
        <v>40975.800000000003</v>
      </c>
      <c r="N20" s="507">
        <v>26668.37346336589</v>
      </c>
      <c r="O20" s="507">
        <v>38608.612733108945</v>
      </c>
      <c r="P20" s="507">
        <v>26413.511571873514</v>
      </c>
      <c r="Q20" s="507">
        <v>26116.111354281238</v>
      </c>
      <c r="R20" s="507">
        <v>38337.117571709699</v>
      </c>
      <c r="S20" s="507">
        <v>38334.892978605938</v>
      </c>
      <c r="T20" s="507">
        <v>297.40021759228023</v>
      </c>
      <c r="U20" s="507">
        <v>38594.677756416211</v>
      </c>
      <c r="V20" s="507">
        <v>1424.5322081976026</v>
      </c>
      <c r="W20" s="507">
        <v>40079.862230512736</v>
      </c>
      <c r="X20" s="507">
        <v>1471.2494974037875</v>
      </c>
      <c r="Y20" s="507">
        <v>810.89377997765803</v>
      </c>
      <c r="Z20" s="507">
        <v>725.35631209036796</v>
      </c>
      <c r="AA20" s="507">
        <v>832.63946711074107</v>
      </c>
      <c r="AB20" s="507">
        <v>689.54856909939474</v>
      </c>
      <c r="AC20" s="507">
        <v>1522.1880362101356</v>
      </c>
      <c r="AD20" s="507">
        <v>88.287436166651318</v>
      </c>
      <c r="AE20" s="507">
        <v>613.63842821994456</v>
      </c>
      <c r="AF20" s="507">
        <v>78.599999999999994</v>
      </c>
      <c r="AG20" s="507">
        <v>39221</v>
      </c>
      <c r="AH20" s="507">
        <v>38666.36</v>
      </c>
      <c r="AI20" s="507">
        <v>41114.69</v>
      </c>
      <c r="AJ20" s="507">
        <v>77283.61</v>
      </c>
      <c r="AK20" s="507">
        <v>39299.599999999999</v>
      </c>
      <c r="AL20" s="507">
        <v>41596.76</v>
      </c>
      <c r="AM20" s="507">
        <v>78678.37</v>
      </c>
      <c r="AN20" s="507">
        <v>418.2</v>
      </c>
      <c r="AO20" s="507">
        <v>81918.710000000006</v>
      </c>
      <c r="AP20" s="507">
        <v>1972.77</v>
      </c>
      <c r="AQ20" s="507">
        <v>3345.54</v>
      </c>
      <c r="AR20" s="507">
        <v>83685.19</v>
      </c>
      <c r="AS20" s="507">
        <v>3252.5</v>
      </c>
      <c r="AT20" s="507">
        <v>113.24</v>
      </c>
      <c r="AU20" s="507">
        <v>171.43</v>
      </c>
      <c r="AV20" s="507">
        <v>3206.06</v>
      </c>
      <c r="AW20" s="507">
        <v>3162.38</v>
      </c>
      <c r="AX20" s="507">
        <v>31.95</v>
      </c>
      <c r="AY20" s="507">
        <v>3525.55</v>
      </c>
      <c r="AZ20" s="507">
        <v>65.83</v>
      </c>
      <c r="BA20" s="507">
        <v>3273.94</v>
      </c>
      <c r="BB20" s="507">
        <v>185.18</v>
      </c>
      <c r="BC20" s="507">
        <v>138.88</v>
      </c>
      <c r="BD20" s="507">
        <v>30.93</v>
      </c>
      <c r="BE20" s="507">
        <v>320.5</v>
      </c>
      <c r="BF20" s="507">
        <v>0.83</v>
      </c>
      <c r="BG20" s="507">
        <v>417.37</v>
      </c>
      <c r="BH20" s="507">
        <v>410.75</v>
      </c>
      <c r="BI20" s="507">
        <v>173.08</v>
      </c>
      <c r="BJ20" s="507">
        <v>252.65</v>
      </c>
      <c r="BK20" s="507">
        <v>157.81</v>
      </c>
      <c r="BL20" s="507">
        <v>79.86</v>
      </c>
      <c r="BM20" s="507">
        <v>41591.24</v>
      </c>
      <c r="BN20" s="507">
        <v>41591.24</v>
      </c>
      <c r="BO20" s="507">
        <v>40975.800000000003</v>
      </c>
      <c r="BP20" s="507">
        <v>40975.800000000003</v>
      </c>
      <c r="BQ20" s="507">
        <v>40975.800000000003</v>
      </c>
      <c r="BR20" s="507">
        <v>81952.33</v>
      </c>
      <c r="BS20" s="507">
        <v>81952.05</v>
      </c>
      <c r="BT20" s="507">
        <v>41114.69</v>
      </c>
      <c r="BU20" s="507">
        <v>80432.679999999993</v>
      </c>
      <c r="BV20" s="507">
        <v>80432.679999999993</v>
      </c>
      <c r="BW20" s="507">
        <v>81952.05</v>
      </c>
      <c r="BX20" s="507">
        <v>77289.02</v>
      </c>
      <c r="BY20" s="507">
        <v>41178.199999999997</v>
      </c>
      <c r="BZ20" s="507">
        <v>41178.199999999997</v>
      </c>
      <c r="CA20" s="507">
        <v>80444.7</v>
      </c>
      <c r="CB20" s="507">
        <v>80451.42</v>
      </c>
      <c r="CC20" s="507">
        <v>3377.5</v>
      </c>
      <c r="CD20" s="507">
        <v>3377.5</v>
      </c>
      <c r="CE20" s="507">
        <v>733.42</v>
      </c>
      <c r="CF20" s="507">
        <v>561.99</v>
      </c>
      <c r="CG20" s="507">
        <v>52277.16</v>
      </c>
      <c r="CH20" s="507">
        <v>52277.16</v>
      </c>
      <c r="CI20" s="507">
        <v>3162.38</v>
      </c>
      <c r="CJ20" s="507">
        <v>3162.13</v>
      </c>
      <c r="CK20" s="507">
        <v>134.57</v>
      </c>
      <c r="CL20" s="507">
        <v>134.57</v>
      </c>
      <c r="CM20" s="507">
        <v>190.55</v>
      </c>
      <c r="CN20" s="507">
        <v>190.55</v>
      </c>
      <c r="CO20" s="507">
        <v>418.2</v>
      </c>
      <c r="CP20" s="507">
        <v>173.08</v>
      </c>
      <c r="CQ20" s="507">
        <v>417.37</v>
      </c>
      <c r="CR20" s="507">
        <v>417.37</v>
      </c>
      <c r="CS20" s="507">
        <v>173.08</v>
      </c>
      <c r="CT20" s="507">
        <v>825.33</v>
      </c>
      <c r="CU20" s="507">
        <v>825.33</v>
      </c>
      <c r="CV20" s="507">
        <v>191.2</v>
      </c>
      <c r="CW20" s="507">
        <v>191.2</v>
      </c>
      <c r="CX20" s="507">
        <v>173.08</v>
      </c>
      <c r="CY20" s="507">
        <v>34021.49</v>
      </c>
      <c r="CZ20" s="507">
        <v>34021.49</v>
      </c>
      <c r="DA20" s="507">
        <v>3205.04</v>
      </c>
      <c r="DB20" s="507">
        <v>3205.04</v>
      </c>
      <c r="DC20" s="507">
        <v>358.18</v>
      </c>
      <c r="DD20" s="507">
        <v>358.18</v>
      </c>
      <c r="DE20" s="507">
        <v>80432.69</v>
      </c>
      <c r="DF20" s="507">
        <v>80432.679999999993</v>
      </c>
      <c r="DG20" s="507">
        <v>2.21</v>
      </c>
      <c r="DH20" s="507">
        <v>0.12</v>
      </c>
      <c r="DI20" s="507" t="s">
        <v>668</v>
      </c>
      <c r="DJ20" s="507">
        <v>0.12</v>
      </c>
      <c r="DK20" s="507">
        <v>800.65</v>
      </c>
      <c r="DL20" s="507">
        <v>39221</v>
      </c>
      <c r="DM20" s="507">
        <v>190.55</v>
      </c>
      <c r="DN20" s="507">
        <v>185.18</v>
      </c>
      <c r="DO20" s="507">
        <v>9.91</v>
      </c>
      <c r="DP20" s="507">
        <v>0</v>
      </c>
      <c r="DQ20" s="507">
        <v>41178.559999999998</v>
      </c>
      <c r="DR20" s="507">
        <v>41178.559999999998</v>
      </c>
      <c r="DS20" s="507">
        <v>3206.06</v>
      </c>
      <c r="DT20" s="507">
        <v>83685.19</v>
      </c>
      <c r="DU20" s="507">
        <v>3525.55</v>
      </c>
      <c r="DV20" s="507">
        <v>3273.94</v>
      </c>
      <c r="DW20" s="507">
        <v>417.37</v>
      </c>
      <c r="DX20" s="507">
        <v>191.2</v>
      </c>
      <c r="DY20" s="507">
        <v>34101.35</v>
      </c>
      <c r="DZ20" s="507">
        <v>34101.35</v>
      </c>
      <c r="EA20" s="507">
        <v>3252.5</v>
      </c>
      <c r="EB20" s="507">
        <v>3205.04</v>
      </c>
      <c r="EC20" s="507">
        <v>0</v>
      </c>
      <c r="ED20" s="507">
        <v>386.75</v>
      </c>
      <c r="EE20" s="507">
        <v>76962.27</v>
      </c>
      <c r="EF20" s="507">
        <v>162.31</v>
      </c>
      <c r="EG20" s="507">
        <v>80994.649999999994</v>
      </c>
      <c r="EH20" s="507">
        <v>113.24</v>
      </c>
      <c r="EI20" s="507">
        <v>113.24</v>
      </c>
      <c r="EJ20" s="507">
        <v>2439.96</v>
      </c>
      <c r="EK20" s="507">
        <v>2439.96</v>
      </c>
      <c r="EL20" s="507">
        <v>0.12</v>
      </c>
      <c r="EM20" s="507">
        <v>0.12</v>
      </c>
      <c r="EN20" s="507">
        <v>0.12</v>
      </c>
      <c r="EO20" s="507">
        <v>0.12</v>
      </c>
      <c r="EP20" s="507">
        <v>0</v>
      </c>
      <c r="EQ20" s="507">
        <v>3.63</v>
      </c>
      <c r="ER20" s="507">
        <v>2.11</v>
      </c>
      <c r="ES20" s="507">
        <v>399.66</v>
      </c>
      <c r="ET20" s="507">
        <v>418.2</v>
      </c>
      <c r="EU20" s="507">
        <v>11.54</v>
      </c>
      <c r="EV20" s="507">
        <v>1517.47</v>
      </c>
      <c r="EW20" s="507">
        <v>379.37</v>
      </c>
      <c r="EX20" s="507">
        <v>379.37</v>
      </c>
      <c r="EY20" s="507">
        <v>379.37</v>
      </c>
      <c r="EZ20" s="507">
        <v>379.37</v>
      </c>
      <c r="FA20" s="507">
        <v>379.37</v>
      </c>
      <c r="FB20" s="507">
        <v>379.37</v>
      </c>
      <c r="FC20" s="507">
        <v>758.73</v>
      </c>
      <c r="FD20" s="507">
        <v>758.73</v>
      </c>
      <c r="FE20" s="507">
        <v>44.57</v>
      </c>
      <c r="FF20" s="507">
        <v>44.57</v>
      </c>
      <c r="FG20" s="507">
        <v>39425.1</v>
      </c>
      <c r="FH20" s="507">
        <v>39425.1</v>
      </c>
      <c r="FI20" s="507">
        <v>41591.24</v>
      </c>
      <c r="FJ20" s="507">
        <v>20795.62</v>
      </c>
      <c r="FK20" s="507">
        <v>20795.62</v>
      </c>
      <c r="FL20" s="507">
        <v>20795.62</v>
      </c>
      <c r="FM20" s="507">
        <v>20795.62</v>
      </c>
      <c r="FN20" s="507">
        <v>20795.62</v>
      </c>
      <c r="FO20" s="507">
        <v>39221</v>
      </c>
      <c r="FP20" s="507">
        <v>9805.25</v>
      </c>
      <c r="FQ20" s="507">
        <v>9805.25</v>
      </c>
      <c r="FR20" s="507">
        <v>29415.75</v>
      </c>
      <c r="FS20" s="507">
        <v>29415.75</v>
      </c>
      <c r="FT20" s="507">
        <v>38666.36</v>
      </c>
      <c r="FU20" s="507">
        <v>77349.02</v>
      </c>
      <c r="FV20" s="507">
        <v>81156.960000000006</v>
      </c>
      <c r="FW20" s="507">
        <v>3216.95</v>
      </c>
      <c r="FX20" s="507" t="s">
        <v>668</v>
      </c>
      <c r="FY20" s="507">
        <v>3216.95</v>
      </c>
      <c r="FZ20" s="507">
        <v>3164.5</v>
      </c>
      <c r="GA20" s="507">
        <v>15.82</v>
      </c>
      <c r="GB20" s="507">
        <v>3148.68</v>
      </c>
      <c r="GC20" s="507">
        <v>17.86</v>
      </c>
      <c r="GD20" s="507" t="s">
        <v>668</v>
      </c>
      <c r="GE20" s="507">
        <v>17.86</v>
      </c>
      <c r="GF20" s="507">
        <v>20.3</v>
      </c>
      <c r="GG20" s="507" t="s">
        <v>668</v>
      </c>
      <c r="GH20" s="507">
        <v>20.3</v>
      </c>
      <c r="GI20" s="507">
        <v>26115.64</v>
      </c>
      <c r="GJ20" s="507">
        <v>41591.39</v>
      </c>
      <c r="GK20" s="507">
        <v>41591.47</v>
      </c>
      <c r="GL20" s="507">
        <v>40975.800000000003</v>
      </c>
      <c r="GM20" s="507">
        <v>40975.800000000003</v>
      </c>
      <c r="GN20" s="507">
        <v>41114.69</v>
      </c>
      <c r="GO20" s="507">
        <v>12550.72</v>
      </c>
      <c r="GP20" s="507">
        <v>41112.93</v>
      </c>
      <c r="GQ20" s="507">
        <v>40694.370000000003</v>
      </c>
      <c r="GR20" s="507">
        <v>39299.599999999999</v>
      </c>
      <c r="GS20" s="507">
        <v>3206.06</v>
      </c>
      <c r="GT20" s="507">
        <v>80432.69</v>
      </c>
      <c r="GU20" s="507">
        <v>172.03</v>
      </c>
      <c r="GV20" s="507">
        <v>3205.04</v>
      </c>
      <c r="GW20" s="507">
        <v>3205.04</v>
      </c>
      <c r="GX20" s="507">
        <v>3205.04</v>
      </c>
      <c r="GY20" s="507">
        <v>65.83</v>
      </c>
      <c r="GZ20" s="507">
        <v>200.4</v>
      </c>
      <c r="HA20" s="507">
        <v>9.85</v>
      </c>
      <c r="HB20" s="507">
        <v>5.37</v>
      </c>
      <c r="HC20" s="507">
        <v>46.29</v>
      </c>
      <c r="HD20" s="507">
        <v>79.86</v>
      </c>
      <c r="HE20" s="507">
        <v>252.65</v>
      </c>
      <c r="HF20" s="507">
        <v>79.86</v>
      </c>
      <c r="HG20" s="507">
        <v>364.1</v>
      </c>
      <c r="HH20" s="507">
        <v>0</v>
      </c>
      <c r="HI20" s="507">
        <v>364.1</v>
      </c>
      <c r="HJ20" s="507">
        <v>14.98</v>
      </c>
      <c r="HK20" s="507">
        <v>18.420000000000002</v>
      </c>
      <c r="HL20" s="507">
        <v>3377.5</v>
      </c>
      <c r="HM20" s="507">
        <v>758.55</v>
      </c>
      <c r="HN20" s="507">
        <v>586.54999999999995</v>
      </c>
      <c r="HO20" s="507">
        <v>113.24</v>
      </c>
      <c r="HP20" s="507">
        <v>52277.16</v>
      </c>
      <c r="HQ20" s="507">
        <v>2439.96</v>
      </c>
      <c r="HR20" s="507">
        <v>5.92</v>
      </c>
      <c r="HS20" s="507">
        <v>6.89</v>
      </c>
      <c r="HT20" s="507">
        <v>6.89</v>
      </c>
      <c r="HU20" s="507">
        <v>80432.69</v>
      </c>
      <c r="HV20" s="507">
        <v>3205.5</v>
      </c>
      <c r="HW20" s="507">
        <v>81952.33</v>
      </c>
      <c r="HX20" s="507">
        <v>81952.33</v>
      </c>
      <c r="HY20" s="507">
        <v>81918.710000000006</v>
      </c>
      <c r="HZ20" s="507">
        <v>81918.710000000006</v>
      </c>
      <c r="IA20" s="507">
        <v>1208.97</v>
      </c>
      <c r="IB20" s="507">
        <v>763.8</v>
      </c>
      <c r="IC20" s="507">
        <v>1972.77</v>
      </c>
      <c r="ID20" s="507">
        <v>1972.77</v>
      </c>
      <c r="IE20" s="507">
        <v>30.93</v>
      </c>
      <c r="IF20" s="507">
        <v>30.93</v>
      </c>
      <c r="IG20" s="507">
        <v>410.75</v>
      </c>
      <c r="IH20" s="571">
        <v>252.65</v>
      </c>
    </row>
    <row r="21" spans="4:242" s="503" customFormat="1" ht="15.95" customHeight="1" x14ac:dyDescent="0.2">
      <c r="D21" s="585" t="s">
        <v>497</v>
      </c>
      <c r="G21" s="504" t="s">
        <v>498</v>
      </c>
      <c r="H21" s="508">
        <v>32.01</v>
      </c>
      <c r="I21" s="508">
        <v>28.05</v>
      </c>
      <c r="J21" s="508">
        <v>15.536324903461292</v>
      </c>
      <c r="K21" s="508">
        <v>22.4</v>
      </c>
      <c r="L21" s="508">
        <v>22.72</v>
      </c>
      <c r="M21" s="508">
        <v>23.06</v>
      </c>
      <c r="N21" s="508">
        <v>22.466462036878209</v>
      </c>
      <c r="O21" s="508">
        <v>24.232244824874098</v>
      </c>
      <c r="P21" s="508">
        <v>21.988812173361993</v>
      </c>
      <c r="Q21" s="508">
        <v>22.034064415895219</v>
      </c>
      <c r="R21" s="508">
        <v>24.882301461285021</v>
      </c>
      <c r="S21" s="508">
        <v>24.883745393742778</v>
      </c>
      <c r="T21" s="508">
        <v>18.015000000000001</v>
      </c>
      <c r="U21" s="508">
        <v>24.830325104844583</v>
      </c>
      <c r="V21" s="508">
        <v>27.586203384437077</v>
      </c>
      <c r="W21" s="508">
        <v>24.232244824874101</v>
      </c>
      <c r="X21" s="508">
        <v>24.232244824874101</v>
      </c>
      <c r="Y21" s="508">
        <v>18.150087836045579</v>
      </c>
      <c r="Z21" s="508">
        <v>18.150106013922425</v>
      </c>
      <c r="AA21" s="508">
        <v>18.015000000000001</v>
      </c>
      <c r="AB21" s="508">
        <v>19.872131163940747</v>
      </c>
      <c r="AC21" s="508">
        <v>18.85627723136858</v>
      </c>
      <c r="AD21" s="508">
        <v>18.666141035890661</v>
      </c>
      <c r="AE21" s="508">
        <v>40.055577943552137</v>
      </c>
      <c r="AF21" s="508">
        <v>22.47</v>
      </c>
      <c r="AG21" s="508">
        <v>22.47</v>
      </c>
      <c r="AH21" s="508">
        <v>22.17</v>
      </c>
      <c r="AI21" s="508">
        <v>23.06</v>
      </c>
      <c r="AJ21" s="508">
        <v>18.5</v>
      </c>
      <c r="AK21" s="508">
        <v>22.47</v>
      </c>
      <c r="AL21" s="508">
        <v>19.05</v>
      </c>
      <c r="AM21" s="508">
        <v>18.899999999999999</v>
      </c>
      <c r="AN21" s="508">
        <v>19.05</v>
      </c>
      <c r="AO21" s="508">
        <v>18.93</v>
      </c>
      <c r="AP21" s="508">
        <v>18.02</v>
      </c>
      <c r="AQ21" s="508">
        <v>28.26</v>
      </c>
      <c r="AR21" s="508">
        <v>18.5</v>
      </c>
      <c r="AS21" s="508">
        <v>18.5</v>
      </c>
      <c r="AT21" s="508">
        <v>30.91</v>
      </c>
      <c r="AU21" s="508">
        <v>38.26</v>
      </c>
      <c r="AV21" s="508">
        <v>27.87</v>
      </c>
      <c r="AW21" s="508">
        <v>18.5</v>
      </c>
      <c r="AX21" s="508">
        <v>43.15</v>
      </c>
      <c r="AY21" s="508">
        <v>27.62</v>
      </c>
      <c r="AZ21" s="508">
        <v>28.49</v>
      </c>
      <c r="BA21" s="508">
        <v>19.329999999999998</v>
      </c>
      <c r="BB21" s="508">
        <v>23.39</v>
      </c>
      <c r="BC21" s="508">
        <v>23.39</v>
      </c>
      <c r="BD21" s="508">
        <v>18.02</v>
      </c>
      <c r="BE21" s="508">
        <v>27.62</v>
      </c>
      <c r="BF21" s="508">
        <v>32.89</v>
      </c>
      <c r="BG21" s="508">
        <v>19.03</v>
      </c>
      <c r="BH21" s="508">
        <v>19.329999999999998</v>
      </c>
      <c r="BI21" s="508">
        <v>18.03</v>
      </c>
      <c r="BJ21" s="508">
        <v>20.149999999999999</v>
      </c>
      <c r="BK21" s="508">
        <v>18.02</v>
      </c>
      <c r="BL21" s="508">
        <v>24.76</v>
      </c>
      <c r="BM21" s="508">
        <v>22.72</v>
      </c>
      <c r="BN21" s="508">
        <v>22.72</v>
      </c>
      <c r="BO21" s="508">
        <v>23.06</v>
      </c>
      <c r="BP21" s="508">
        <v>23.06</v>
      </c>
      <c r="BQ21" s="508">
        <v>23.06</v>
      </c>
      <c r="BR21" s="508">
        <v>18.920000000000002</v>
      </c>
      <c r="BS21" s="508">
        <v>18.920000000000002</v>
      </c>
      <c r="BT21" s="508">
        <v>23.06</v>
      </c>
      <c r="BU21" s="508">
        <v>18.5</v>
      </c>
      <c r="BV21" s="508">
        <v>18.5</v>
      </c>
      <c r="BW21" s="508">
        <v>18.920000000000002</v>
      </c>
      <c r="BX21" s="508">
        <v>18.5</v>
      </c>
      <c r="BY21" s="508">
        <v>19.05</v>
      </c>
      <c r="BZ21" s="508">
        <v>19.05</v>
      </c>
      <c r="CA21" s="508">
        <v>18.5</v>
      </c>
      <c r="CB21" s="508">
        <v>18.5</v>
      </c>
      <c r="CC21" s="508">
        <v>28.4</v>
      </c>
      <c r="CD21" s="508">
        <v>28.4</v>
      </c>
      <c r="CE21" s="508">
        <v>42.13</v>
      </c>
      <c r="CF21" s="508">
        <v>43.31</v>
      </c>
      <c r="CG21" s="508">
        <v>30.91</v>
      </c>
      <c r="CH21" s="508">
        <v>30.91</v>
      </c>
      <c r="CI21" s="508">
        <v>18.5</v>
      </c>
      <c r="CJ21" s="508">
        <v>18.5</v>
      </c>
      <c r="CK21" s="508">
        <v>20.29</v>
      </c>
      <c r="CL21" s="508">
        <v>20.29</v>
      </c>
      <c r="CM21" s="508">
        <v>23.24</v>
      </c>
      <c r="CN21" s="508">
        <v>23.24</v>
      </c>
      <c r="CO21" s="508">
        <v>19.05</v>
      </c>
      <c r="CP21" s="508">
        <v>18.03</v>
      </c>
      <c r="CQ21" s="508">
        <v>19.03</v>
      </c>
      <c r="CR21" s="508">
        <v>19.03</v>
      </c>
      <c r="CS21" s="508">
        <v>18.03</v>
      </c>
      <c r="CT21" s="508">
        <v>20.149999999999999</v>
      </c>
      <c r="CU21" s="508">
        <v>20.149999999999999</v>
      </c>
      <c r="CV21" s="508">
        <v>18.02</v>
      </c>
      <c r="CW21" s="508">
        <v>18.02</v>
      </c>
      <c r="CX21" s="508">
        <v>18.03</v>
      </c>
      <c r="CY21" s="508">
        <v>24.76</v>
      </c>
      <c r="CZ21" s="508">
        <v>24.76</v>
      </c>
      <c r="DA21" s="508">
        <v>27.62</v>
      </c>
      <c r="DB21" s="508">
        <v>27.62</v>
      </c>
      <c r="DC21" s="508">
        <v>43.52</v>
      </c>
      <c r="DD21" s="508">
        <v>43.52</v>
      </c>
      <c r="DE21" s="508">
        <v>18.5</v>
      </c>
      <c r="DF21" s="508">
        <v>18.5</v>
      </c>
      <c r="DG21" s="508">
        <v>44.05</v>
      </c>
      <c r="DH21" s="508">
        <v>18.02</v>
      </c>
      <c r="DI21" s="508" t="s">
        <v>668</v>
      </c>
      <c r="DJ21" s="508">
        <v>18.02</v>
      </c>
      <c r="DK21" s="508">
        <v>44.05</v>
      </c>
      <c r="DL21" s="508">
        <v>22.47</v>
      </c>
      <c r="DM21" s="508">
        <v>23.24</v>
      </c>
      <c r="DN21" s="508">
        <v>23.39</v>
      </c>
      <c r="DO21" s="508">
        <v>18.02</v>
      </c>
      <c r="DP21" s="508">
        <v>27.62</v>
      </c>
      <c r="DQ21" s="508">
        <v>19.05</v>
      </c>
      <c r="DR21" s="508">
        <v>19.05</v>
      </c>
      <c r="DS21" s="508">
        <v>27.87</v>
      </c>
      <c r="DT21" s="508">
        <v>18.5</v>
      </c>
      <c r="DU21" s="508">
        <v>27.62</v>
      </c>
      <c r="DV21" s="508">
        <v>19.329999999999998</v>
      </c>
      <c r="DW21" s="508">
        <v>19.03</v>
      </c>
      <c r="DX21" s="508">
        <v>18.02</v>
      </c>
      <c r="DY21" s="508">
        <v>24.76</v>
      </c>
      <c r="DZ21" s="508">
        <v>24.76</v>
      </c>
      <c r="EA21" s="508">
        <v>18.5</v>
      </c>
      <c r="EB21" s="508">
        <v>27.62</v>
      </c>
      <c r="EC21" s="508">
        <v>18.02</v>
      </c>
      <c r="ED21" s="508">
        <v>23.86</v>
      </c>
      <c r="EE21" s="508">
        <v>18.48</v>
      </c>
      <c r="EF21" s="508">
        <v>29.66</v>
      </c>
      <c r="EG21" s="508">
        <v>18.7</v>
      </c>
      <c r="EH21" s="508">
        <v>30.91</v>
      </c>
      <c r="EI21" s="508">
        <v>30.91</v>
      </c>
      <c r="EJ21" s="508">
        <v>18.29</v>
      </c>
      <c r="EK21" s="508">
        <v>18.29</v>
      </c>
      <c r="EL21" s="508">
        <v>18.02</v>
      </c>
      <c r="EM21" s="508">
        <v>18.02</v>
      </c>
      <c r="EN21" s="508">
        <v>18.02</v>
      </c>
      <c r="EO21" s="508">
        <v>18.02</v>
      </c>
      <c r="EP21" s="508">
        <v>18.5</v>
      </c>
      <c r="EQ21" s="508">
        <v>20.88</v>
      </c>
      <c r="ER21" s="508">
        <v>20.88</v>
      </c>
      <c r="ES21" s="508">
        <v>18.02</v>
      </c>
      <c r="ET21" s="508">
        <v>19.05</v>
      </c>
      <c r="EU21" s="508">
        <v>18.02</v>
      </c>
      <c r="EV21" s="508">
        <v>28.05</v>
      </c>
      <c r="EW21" s="508">
        <v>28.05</v>
      </c>
      <c r="EX21" s="508">
        <v>28.05</v>
      </c>
      <c r="EY21" s="508">
        <v>28.05</v>
      </c>
      <c r="EZ21" s="508">
        <v>28.05</v>
      </c>
      <c r="FA21" s="508">
        <v>28.05</v>
      </c>
      <c r="FB21" s="508">
        <v>28.05</v>
      </c>
      <c r="FC21" s="508">
        <v>28.05</v>
      </c>
      <c r="FD21" s="508">
        <v>28.05</v>
      </c>
      <c r="FE21" s="508">
        <v>15.54</v>
      </c>
      <c r="FF21" s="508">
        <v>15.54</v>
      </c>
      <c r="FG21" s="508">
        <v>22.29</v>
      </c>
      <c r="FH21" s="508">
        <v>22.29</v>
      </c>
      <c r="FI21" s="508">
        <v>22.72</v>
      </c>
      <c r="FJ21" s="508">
        <v>22.72</v>
      </c>
      <c r="FK21" s="508">
        <v>22.72</v>
      </c>
      <c r="FL21" s="508">
        <v>22.72</v>
      </c>
      <c r="FM21" s="508">
        <v>22.72</v>
      </c>
      <c r="FN21" s="508">
        <v>22.72</v>
      </c>
      <c r="FO21" s="508">
        <v>22.47</v>
      </c>
      <c r="FP21" s="508">
        <v>22.47</v>
      </c>
      <c r="FQ21" s="508">
        <v>22.47</v>
      </c>
      <c r="FR21" s="508">
        <v>22.47</v>
      </c>
      <c r="FS21" s="508">
        <v>22.47</v>
      </c>
      <c r="FT21" s="508">
        <v>22.17</v>
      </c>
      <c r="FU21" s="508">
        <v>18.510000000000002</v>
      </c>
      <c r="FV21" s="508">
        <v>18.72</v>
      </c>
      <c r="FW21" s="508">
        <v>27.93</v>
      </c>
      <c r="FX21" s="508" t="s">
        <v>668</v>
      </c>
      <c r="FY21" s="508">
        <v>27.93</v>
      </c>
      <c r="FZ21" s="508">
        <v>18.510000000000002</v>
      </c>
      <c r="GA21" s="508">
        <v>27.01</v>
      </c>
      <c r="GB21" s="508">
        <v>18.47</v>
      </c>
      <c r="GC21" s="508">
        <v>18.04</v>
      </c>
      <c r="GD21" s="508" t="s">
        <v>668</v>
      </c>
      <c r="GE21" s="508">
        <v>18.04</v>
      </c>
      <c r="GF21" s="508">
        <v>18.02</v>
      </c>
      <c r="GG21" s="508" t="s">
        <v>668</v>
      </c>
      <c r="GH21" s="508">
        <v>18.02</v>
      </c>
      <c r="GI21" s="508">
        <v>22.03</v>
      </c>
      <c r="GJ21" s="508">
        <v>22.72</v>
      </c>
      <c r="GK21" s="508">
        <v>22.72</v>
      </c>
      <c r="GL21" s="508">
        <v>23.06</v>
      </c>
      <c r="GM21" s="508">
        <v>23.06</v>
      </c>
      <c r="GN21" s="508">
        <v>23.06</v>
      </c>
      <c r="GO21" s="508">
        <v>22.47</v>
      </c>
      <c r="GP21" s="508">
        <v>23.07</v>
      </c>
      <c r="GQ21" s="508">
        <v>23.11</v>
      </c>
      <c r="GR21" s="508">
        <v>22.47</v>
      </c>
      <c r="GS21" s="508">
        <v>27.87</v>
      </c>
      <c r="GT21" s="508">
        <v>18.5</v>
      </c>
      <c r="GU21" s="508">
        <v>38.29</v>
      </c>
      <c r="GV21" s="508">
        <v>27.62</v>
      </c>
      <c r="GW21" s="508">
        <v>27.62</v>
      </c>
      <c r="GX21" s="508">
        <v>27.62</v>
      </c>
      <c r="GY21" s="508">
        <v>28.49</v>
      </c>
      <c r="GZ21" s="508">
        <v>22.98</v>
      </c>
      <c r="HA21" s="508">
        <v>18.02</v>
      </c>
      <c r="HB21" s="508">
        <v>18.04</v>
      </c>
      <c r="HC21" s="508">
        <v>23.39</v>
      </c>
      <c r="HD21" s="508">
        <v>24.76</v>
      </c>
      <c r="HE21" s="508">
        <v>20.149999999999999</v>
      </c>
      <c r="HF21" s="508">
        <v>24.76</v>
      </c>
      <c r="HG21" s="508">
        <v>43.53</v>
      </c>
      <c r="HH21" s="508">
        <v>27.62</v>
      </c>
      <c r="HI21" s="508">
        <v>43.53</v>
      </c>
      <c r="HJ21" s="508">
        <v>18.02</v>
      </c>
      <c r="HK21" s="508">
        <v>18.02</v>
      </c>
      <c r="HL21" s="508">
        <v>28.4</v>
      </c>
      <c r="HM21" s="508">
        <v>42.24</v>
      </c>
      <c r="HN21" s="508">
        <v>43.39</v>
      </c>
      <c r="HO21" s="508">
        <v>30.91</v>
      </c>
      <c r="HP21" s="508">
        <v>30.91</v>
      </c>
      <c r="HQ21" s="508">
        <v>18.29</v>
      </c>
      <c r="HR21" s="508">
        <v>44.03</v>
      </c>
      <c r="HS21" s="508">
        <v>32</v>
      </c>
      <c r="HT21" s="508">
        <v>32</v>
      </c>
      <c r="HU21" s="508">
        <v>18.5</v>
      </c>
      <c r="HV21" s="508">
        <v>27.87</v>
      </c>
      <c r="HW21" s="508">
        <v>18.920000000000002</v>
      </c>
      <c r="HX21" s="508">
        <v>18.920000000000002</v>
      </c>
      <c r="HY21" s="508">
        <v>18.93</v>
      </c>
      <c r="HZ21" s="508">
        <v>18.93</v>
      </c>
      <c r="IA21" s="508">
        <v>18.02</v>
      </c>
      <c r="IB21" s="508">
        <v>18.02</v>
      </c>
      <c r="IC21" s="508">
        <v>18.02</v>
      </c>
      <c r="ID21" s="508">
        <v>18.02</v>
      </c>
      <c r="IE21" s="508">
        <v>18.02</v>
      </c>
      <c r="IF21" s="508">
        <v>18.02</v>
      </c>
      <c r="IG21" s="508">
        <v>19.329999999999998</v>
      </c>
      <c r="IH21" s="572">
        <v>20.149999999999999</v>
      </c>
    </row>
    <row r="22" spans="4:242" s="503" customFormat="1" ht="15.95" customHeight="1" x14ac:dyDescent="0.2">
      <c r="D22" s="585" t="s">
        <v>499</v>
      </c>
      <c r="G22" s="504" t="s">
        <v>500</v>
      </c>
      <c r="H22" s="508">
        <v>1.83</v>
      </c>
      <c r="I22" s="508">
        <v>1.7</v>
      </c>
      <c r="J22" s="508">
        <v>0.68655470271122621</v>
      </c>
      <c r="K22" s="508">
        <v>0.99</v>
      </c>
      <c r="L22" s="508">
        <v>1.01</v>
      </c>
      <c r="M22" s="508">
        <v>0.78</v>
      </c>
      <c r="N22" s="508">
        <v>1.0923855172267849</v>
      </c>
      <c r="O22" s="508">
        <v>75.773894726815342</v>
      </c>
      <c r="P22" s="508">
        <v>0.97315696920016825</v>
      </c>
      <c r="Q22" s="508">
        <v>1.0761330811243608</v>
      </c>
      <c r="R22" s="508">
        <v>75.441369161166875</v>
      </c>
      <c r="S22" s="508">
        <v>74.211876156571861</v>
      </c>
      <c r="T22" s="508">
        <v>62.008833120000006</v>
      </c>
      <c r="U22" s="508">
        <v>74.182937711655072</v>
      </c>
      <c r="V22" s="508">
        <v>8.0711705727662536E-2</v>
      </c>
      <c r="W22" s="508">
        <v>74.076264329533444</v>
      </c>
      <c r="X22" s="508">
        <v>74.076264329533444</v>
      </c>
      <c r="Y22" s="508">
        <v>61.470239999999997</v>
      </c>
      <c r="Z22" s="508">
        <v>61.470239999999997</v>
      </c>
      <c r="AA22" s="509">
        <v>0.47799999999999998</v>
      </c>
      <c r="AB22" s="508">
        <v>4.383760716435154E-2</v>
      </c>
      <c r="AC22" s="508">
        <v>5.4136053535201074E-2</v>
      </c>
      <c r="AD22" s="508">
        <v>8.8711290839108461E-2</v>
      </c>
      <c r="AE22" s="508">
        <v>0.11898651907286936</v>
      </c>
      <c r="AF22" s="508">
        <v>0.97</v>
      </c>
      <c r="AG22" s="508">
        <v>0.97</v>
      </c>
      <c r="AH22" s="508">
        <v>0.98</v>
      </c>
      <c r="AI22" s="508">
        <v>0.77</v>
      </c>
      <c r="AJ22" s="508">
        <v>62.63</v>
      </c>
      <c r="AK22" s="508">
        <v>0.98</v>
      </c>
      <c r="AL22" s="508">
        <v>61.63</v>
      </c>
      <c r="AM22" s="508">
        <v>61.66</v>
      </c>
      <c r="AN22" s="508">
        <v>61.63</v>
      </c>
      <c r="AO22" s="508">
        <v>56.92</v>
      </c>
      <c r="AP22" s="509">
        <v>7.9299999999999995E-2</v>
      </c>
      <c r="AQ22" s="508">
        <v>0.13</v>
      </c>
      <c r="AR22" s="508">
        <v>58.53</v>
      </c>
      <c r="AS22" s="508">
        <v>58.52</v>
      </c>
      <c r="AT22" s="508">
        <v>61.44</v>
      </c>
      <c r="AU22" s="508">
        <v>0.22</v>
      </c>
      <c r="AV22" s="508">
        <v>56.6</v>
      </c>
      <c r="AW22" s="508">
        <v>61.38</v>
      </c>
      <c r="AX22" s="508">
        <v>0.26</v>
      </c>
      <c r="AY22" s="508">
        <v>56.42</v>
      </c>
      <c r="AZ22" s="508">
        <v>0.15</v>
      </c>
      <c r="BA22" s="508">
        <v>61.3</v>
      </c>
      <c r="BB22" s="508">
        <v>0.75</v>
      </c>
      <c r="BC22" s="508">
        <v>0.75</v>
      </c>
      <c r="BD22" s="509">
        <v>7.5800000000000006E-2</v>
      </c>
      <c r="BE22" s="508">
        <v>56.42</v>
      </c>
      <c r="BF22" s="508">
        <v>0.16</v>
      </c>
      <c r="BG22" s="508">
        <v>60.38</v>
      </c>
      <c r="BH22" s="508">
        <v>57.22</v>
      </c>
      <c r="BI22" s="508">
        <v>0.13</v>
      </c>
      <c r="BJ22" s="508">
        <v>58.54</v>
      </c>
      <c r="BK22" s="508">
        <v>61.82</v>
      </c>
      <c r="BL22" s="508">
        <v>62.24</v>
      </c>
      <c r="BM22" s="508">
        <v>1</v>
      </c>
      <c r="BN22" s="508">
        <v>0.78</v>
      </c>
      <c r="BO22" s="508">
        <v>0.64</v>
      </c>
      <c r="BP22" s="508">
        <v>0.59</v>
      </c>
      <c r="BQ22" s="508">
        <v>0.64</v>
      </c>
      <c r="BR22" s="508">
        <v>61.65</v>
      </c>
      <c r="BS22" s="508">
        <v>60.28</v>
      </c>
      <c r="BT22" s="508">
        <v>0.95</v>
      </c>
      <c r="BU22" s="508">
        <v>58.48</v>
      </c>
      <c r="BV22" s="508">
        <v>60.76</v>
      </c>
      <c r="BW22" s="508">
        <v>56.92</v>
      </c>
      <c r="BX22" s="508">
        <v>61.38</v>
      </c>
      <c r="BY22" s="508">
        <v>61.63</v>
      </c>
      <c r="BZ22" s="508">
        <v>61.93</v>
      </c>
      <c r="CA22" s="508">
        <v>60.7</v>
      </c>
      <c r="CB22" s="508">
        <v>61.38</v>
      </c>
      <c r="CC22" s="508">
        <v>0.13</v>
      </c>
      <c r="CD22" s="508">
        <v>0.7</v>
      </c>
      <c r="CE22" s="508">
        <v>0.26</v>
      </c>
      <c r="CF22" s="508">
        <v>54.41</v>
      </c>
      <c r="CG22" s="508">
        <v>61.59</v>
      </c>
      <c r="CH22" s="508">
        <v>2.74</v>
      </c>
      <c r="CI22" s="508">
        <v>61.31</v>
      </c>
      <c r="CJ22" s="508">
        <v>62.62</v>
      </c>
      <c r="CK22" s="508">
        <v>0.09</v>
      </c>
      <c r="CL22" s="508">
        <v>0.11</v>
      </c>
      <c r="CM22" s="508">
        <v>0.25</v>
      </c>
      <c r="CN22" s="508">
        <v>0.35</v>
      </c>
      <c r="CO22" s="508">
        <v>59.32</v>
      </c>
      <c r="CP22" s="508">
        <v>59.33</v>
      </c>
      <c r="CQ22" s="508">
        <v>59.98</v>
      </c>
      <c r="CR22" s="508">
        <v>56.84</v>
      </c>
      <c r="CS22" s="508">
        <v>61.25</v>
      </c>
      <c r="CT22" s="508">
        <v>58.54</v>
      </c>
      <c r="CU22" s="508">
        <v>0.73</v>
      </c>
      <c r="CV22" s="508">
        <v>0.04</v>
      </c>
      <c r="CW22" s="508">
        <v>61.82</v>
      </c>
      <c r="CX22" s="508">
        <v>56.66</v>
      </c>
      <c r="CY22" s="508">
        <v>62.24</v>
      </c>
      <c r="CZ22" s="508">
        <v>62.14</v>
      </c>
      <c r="DA22" s="508">
        <v>56.42</v>
      </c>
      <c r="DB22" s="508">
        <v>1.08</v>
      </c>
      <c r="DC22" s="508">
        <v>51.36</v>
      </c>
      <c r="DD22" s="508">
        <v>53.02</v>
      </c>
      <c r="DE22" s="508">
        <v>58.51</v>
      </c>
      <c r="DF22" s="508">
        <v>58.51</v>
      </c>
      <c r="DG22" s="508">
        <v>51.83</v>
      </c>
      <c r="DH22" s="508">
        <v>59.57</v>
      </c>
      <c r="DI22" s="508" t="s">
        <v>668</v>
      </c>
      <c r="DJ22" s="508">
        <v>59.57</v>
      </c>
      <c r="DK22" s="508">
        <v>51.66</v>
      </c>
      <c r="DL22" s="508">
        <v>1.0900000000000001</v>
      </c>
      <c r="DM22" s="508">
        <v>0.11</v>
      </c>
      <c r="DN22" s="508">
        <v>0.34</v>
      </c>
      <c r="DO22" s="508">
        <v>62.74</v>
      </c>
      <c r="DP22" s="508">
        <v>56.43</v>
      </c>
      <c r="DQ22" s="508">
        <v>61.63</v>
      </c>
      <c r="DR22" s="508">
        <v>61.63</v>
      </c>
      <c r="DS22" s="508">
        <v>56.49</v>
      </c>
      <c r="DT22" s="508">
        <v>58.48</v>
      </c>
      <c r="DU22" s="508">
        <v>56.43</v>
      </c>
      <c r="DV22" s="508">
        <v>61.33</v>
      </c>
      <c r="DW22" s="508">
        <v>60.37</v>
      </c>
      <c r="DX22" s="508">
        <v>61.82</v>
      </c>
      <c r="DY22" s="508">
        <v>62.24</v>
      </c>
      <c r="DZ22" s="508">
        <v>62.24</v>
      </c>
      <c r="EA22" s="508">
        <v>58.51</v>
      </c>
      <c r="EB22" s="508">
        <v>56.43</v>
      </c>
      <c r="EC22" s="508">
        <v>61.11</v>
      </c>
      <c r="ED22" s="508">
        <v>57.45</v>
      </c>
      <c r="EE22" s="508">
        <v>0.61</v>
      </c>
      <c r="EF22" s="508">
        <v>64.63</v>
      </c>
      <c r="EG22" s="508">
        <v>0.22</v>
      </c>
      <c r="EH22" s="508">
        <v>61.44</v>
      </c>
      <c r="EI22" s="508">
        <v>0.28000000000000003</v>
      </c>
      <c r="EJ22" s="508">
        <v>0.31</v>
      </c>
      <c r="EK22" s="508">
        <v>57.5</v>
      </c>
      <c r="EL22" s="508">
        <v>0.04</v>
      </c>
      <c r="EM22" s="508">
        <v>0.05</v>
      </c>
      <c r="EN22" s="508">
        <v>0.04</v>
      </c>
      <c r="EO22" s="508">
        <v>7.0000000000000007E-2</v>
      </c>
      <c r="EP22" s="508">
        <v>61.38</v>
      </c>
      <c r="EQ22" s="508">
        <v>70.569999999999993</v>
      </c>
      <c r="ER22" s="508">
        <v>70.569999999999993</v>
      </c>
      <c r="ES22" s="508">
        <v>0.45</v>
      </c>
      <c r="ET22" s="508">
        <v>23.79</v>
      </c>
      <c r="EU22" s="508">
        <v>62.14</v>
      </c>
      <c r="EV22" s="508">
        <v>1.7</v>
      </c>
      <c r="EW22" s="508">
        <v>2.1</v>
      </c>
      <c r="EX22" s="508">
        <v>0.09</v>
      </c>
      <c r="EY22" s="508">
        <v>1.7</v>
      </c>
      <c r="EZ22" s="508">
        <v>1.7</v>
      </c>
      <c r="FA22" s="508">
        <v>2.4500000000000002</v>
      </c>
      <c r="FB22" s="508">
        <v>0.1</v>
      </c>
      <c r="FC22" s="508">
        <v>1.7</v>
      </c>
      <c r="FD22" s="508">
        <v>2.1</v>
      </c>
      <c r="FE22" s="508">
        <v>0.9</v>
      </c>
      <c r="FF22" s="508">
        <v>0.04</v>
      </c>
      <c r="FG22" s="508">
        <v>0.99</v>
      </c>
      <c r="FH22" s="508">
        <v>0.05</v>
      </c>
      <c r="FI22" s="508">
        <v>1.01</v>
      </c>
      <c r="FJ22" s="508">
        <v>1.1200000000000001</v>
      </c>
      <c r="FK22" s="508">
        <v>1.01</v>
      </c>
      <c r="FL22" s="508">
        <v>1.01</v>
      </c>
      <c r="FM22" s="508">
        <v>0.05</v>
      </c>
      <c r="FN22" s="508">
        <v>1.01</v>
      </c>
      <c r="FO22" s="508">
        <v>0.97</v>
      </c>
      <c r="FP22" s="508">
        <v>0.97</v>
      </c>
      <c r="FQ22" s="508">
        <v>0.06</v>
      </c>
      <c r="FR22" s="508">
        <v>0.97</v>
      </c>
      <c r="FS22" s="508">
        <v>0.11</v>
      </c>
      <c r="FT22" s="508">
        <v>0.98</v>
      </c>
      <c r="FU22" s="508">
        <v>62.4</v>
      </c>
      <c r="FV22" s="508">
        <v>59.04</v>
      </c>
      <c r="FW22" s="508">
        <v>56.42</v>
      </c>
      <c r="FX22" s="508" t="s">
        <v>668</v>
      </c>
      <c r="FY22" s="508">
        <v>0.35</v>
      </c>
      <c r="FZ22" s="508">
        <v>62.55</v>
      </c>
      <c r="GA22" s="508">
        <v>60.65</v>
      </c>
      <c r="GB22" s="508">
        <v>0.24</v>
      </c>
      <c r="GC22" s="508">
        <v>57.49</v>
      </c>
      <c r="GD22" s="508" t="s">
        <v>668</v>
      </c>
      <c r="GE22" s="508">
        <v>0.27</v>
      </c>
      <c r="GF22" s="508">
        <v>59.41</v>
      </c>
      <c r="GG22" s="508" t="s">
        <v>668</v>
      </c>
      <c r="GH22" s="508">
        <v>0.08</v>
      </c>
      <c r="GI22" s="508">
        <v>0.94</v>
      </c>
      <c r="GJ22" s="508">
        <v>0.77</v>
      </c>
      <c r="GK22" s="508">
        <v>0.77</v>
      </c>
      <c r="GL22" s="508">
        <v>0.59</v>
      </c>
      <c r="GM22" s="508">
        <v>0.78</v>
      </c>
      <c r="GN22" s="508">
        <v>0.78</v>
      </c>
      <c r="GO22" s="508">
        <v>1.0900000000000001</v>
      </c>
      <c r="GP22" s="508">
        <v>0.95</v>
      </c>
      <c r="GQ22" s="508">
        <v>0.98</v>
      </c>
      <c r="GR22" s="508">
        <v>0.97</v>
      </c>
      <c r="GS22" s="508">
        <v>56.49</v>
      </c>
      <c r="GT22" s="508">
        <v>58.52</v>
      </c>
      <c r="GU22" s="508">
        <v>0.22</v>
      </c>
      <c r="GV22" s="508">
        <v>56.43</v>
      </c>
      <c r="GW22" s="508">
        <v>56.43</v>
      </c>
      <c r="GX22" s="508">
        <v>56.42</v>
      </c>
      <c r="GY22" s="508">
        <v>0.15</v>
      </c>
      <c r="GZ22" s="508">
        <v>0.12</v>
      </c>
      <c r="HA22" s="508">
        <v>62.04</v>
      </c>
      <c r="HB22" s="508">
        <v>62.1</v>
      </c>
      <c r="HC22" s="508">
        <v>0.75</v>
      </c>
      <c r="HD22" s="508">
        <v>62.24</v>
      </c>
      <c r="HE22" s="508">
        <v>58.54</v>
      </c>
      <c r="HF22" s="508">
        <v>62.24</v>
      </c>
      <c r="HG22" s="508">
        <v>52.83</v>
      </c>
      <c r="HH22" s="508">
        <v>56.43</v>
      </c>
      <c r="HI22" s="508">
        <v>52.83</v>
      </c>
      <c r="HJ22" s="508">
        <v>61.82</v>
      </c>
      <c r="HK22" s="508">
        <v>61.82</v>
      </c>
      <c r="HL22" s="508">
        <v>0.7</v>
      </c>
      <c r="HM22" s="508">
        <v>0.23</v>
      </c>
      <c r="HN22" s="508">
        <v>54.4</v>
      </c>
      <c r="HO22" s="508">
        <v>61.44</v>
      </c>
      <c r="HP22" s="508">
        <v>61.44</v>
      </c>
      <c r="HQ22" s="508">
        <v>57.5</v>
      </c>
      <c r="HR22" s="508">
        <v>53.14</v>
      </c>
      <c r="HS22" s="508">
        <v>3.7</v>
      </c>
      <c r="HT22" s="508">
        <v>0.09</v>
      </c>
      <c r="HU22" s="508">
        <v>58.51</v>
      </c>
      <c r="HV22" s="508">
        <v>56.74</v>
      </c>
      <c r="HW22" s="508">
        <v>61.65</v>
      </c>
      <c r="HX22" s="508">
        <v>60.27</v>
      </c>
      <c r="HY22" s="508">
        <v>56.92</v>
      </c>
      <c r="HZ22" s="508">
        <v>5.1100000000000003</v>
      </c>
      <c r="IA22" s="508">
        <v>0.46</v>
      </c>
      <c r="IB22" s="508">
        <v>0.13</v>
      </c>
      <c r="IC22" s="508">
        <v>0.12</v>
      </c>
      <c r="ID22" s="508">
        <v>0.17</v>
      </c>
      <c r="IE22" s="508">
        <v>0.46</v>
      </c>
      <c r="IF22" s="508">
        <v>0.17</v>
      </c>
      <c r="IG22" s="508">
        <v>3.25</v>
      </c>
      <c r="IH22" s="572">
        <v>0.55000000000000004</v>
      </c>
    </row>
    <row r="23" spans="4:242" s="510" customFormat="1" ht="15.95" customHeight="1" x14ac:dyDescent="0.2">
      <c r="D23" s="682" t="s">
        <v>501</v>
      </c>
      <c r="E23" s="683"/>
      <c r="F23" s="683"/>
      <c r="G23" s="684"/>
      <c r="H23" s="512">
        <v>1</v>
      </c>
      <c r="I23" s="512">
        <v>1</v>
      </c>
      <c r="J23" s="512">
        <v>1</v>
      </c>
      <c r="K23" s="512">
        <v>1</v>
      </c>
      <c r="L23" s="512">
        <v>1</v>
      </c>
      <c r="M23" s="512">
        <v>1</v>
      </c>
      <c r="N23" s="512">
        <v>1</v>
      </c>
      <c r="O23" s="512">
        <v>0</v>
      </c>
      <c r="P23" s="512">
        <v>1</v>
      </c>
      <c r="Q23" s="512">
        <v>1</v>
      </c>
      <c r="R23" s="512">
        <v>0</v>
      </c>
      <c r="S23" s="512">
        <v>0</v>
      </c>
      <c r="T23" s="512">
        <v>0</v>
      </c>
      <c r="U23" s="512">
        <v>0</v>
      </c>
      <c r="V23" s="512">
        <v>1</v>
      </c>
      <c r="W23" s="512">
        <v>0</v>
      </c>
      <c r="X23" s="512">
        <v>0</v>
      </c>
      <c r="Y23" s="512">
        <v>0</v>
      </c>
      <c r="Z23" s="512">
        <v>0</v>
      </c>
      <c r="AA23" s="512">
        <v>1</v>
      </c>
      <c r="AB23" s="512">
        <v>1</v>
      </c>
      <c r="AC23" s="512">
        <v>1</v>
      </c>
      <c r="AD23" s="512">
        <v>1</v>
      </c>
      <c r="AE23" s="512">
        <v>1</v>
      </c>
      <c r="AF23" s="512">
        <v>1</v>
      </c>
      <c r="AG23" s="512">
        <v>1</v>
      </c>
      <c r="AH23" s="512">
        <v>1</v>
      </c>
      <c r="AI23" s="512">
        <v>1</v>
      </c>
      <c r="AJ23" s="512">
        <v>0</v>
      </c>
      <c r="AK23" s="512">
        <v>1</v>
      </c>
      <c r="AL23" s="512">
        <v>0</v>
      </c>
      <c r="AM23" s="512">
        <v>0</v>
      </c>
      <c r="AN23" s="512">
        <v>0</v>
      </c>
      <c r="AO23" s="512">
        <v>0</v>
      </c>
      <c r="AP23" s="512">
        <v>1</v>
      </c>
      <c r="AQ23" s="512">
        <v>1</v>
      </c>
      <c r="AR23" s="512">
        <v>0</v>
      </c>
      <c r="AS23" s="512">
        <v>0</v>
      </c>
      <c r="AT23" s="512">
        <v>0</v>
      </c>
      <c r="AU23" s="512">
        <v>1</v>
      </c>
      <c r="AV23" s="512">
        <v>0</v>
      </c>
      <c r="AW23" s="512">
        <v>0</v>
      </c>
      <c r="AX23" s="512">
        <v>1</v>
      </c>
      <c r="AY23" s="512">
        <v>0</v>
      </c>
      <c r="AZ23" s="512">
        <v>1</v>
      </c>
      <c r="BA23" s="512">
        <v>0</v>
      </c>
      <c r="BB23" s="512">
        <v>1</v>
      </c>
      <c r="BC23" s="512">
        <v>1</v>
      </c>
      <c r="BD23" s="512">
        <v>1</v>
      </c>
      <c r="BE23" s="512">
        <v>0</v>
      </c>
      <c r="BF23" s="512">
        <v>1</v>
      </c>
      <c r="BG23" s="512">
        <v>0</v>
      </c>
      <c r="BH23" s="512">
        <v>0</v>
      </c>
      <c r="BI23" s="512">
        <v>1</v>
      </c>
      <c r="BJ23" s="512">
        <v>0</v>
      </c>
      <c r="BK23" s="512">
        <v>0</v>
      </c>
      <c r="BL23" s="512">
        <v>0</v>
      </c>
      <c r="BM23" s="512">
        <v>1</v>
      </c>
      <c r="BN23" s="512">
        <v>1</v>
      </c>
      <c r="BO23" s="512">
        <v>1</v>
      </c>
      <c r="BP23" s="512">
        <v>1</v>
      </c>
      <c r="BQ23" s="512">
        <v>1</v>
      </c>
      <c r="BR23" s="512">
        <v>0</v>
      </c>
      <c r="BS23" s="512">
        <v>0</v>
      </c>
      <c r="BT23" s="512">
        <v>0.99</v>
      </c>
      <c r="BU23" s="512">
        <v>0</v>
      </c>
      <c r="BV23" s="512">
        <v>0</v>
      </c>
      <c r="BW23" s="512">
        <v>0</v>
      </c>
      <c r="BX23" s="512">
        <v>0</v>
      </c>
      <c r="BY23" s="512">
        <v>0</v>
      </c>
      <c r="BZ23" s="512">
        <v>0</v>
      </c>
      <c r="CA23" s="512">
        <v>0</v>
      </c>
      <c r="CB23" s="512">
        <v>0</v>
      </c>
      <c r="CC23" s="512">
        <v>1</v>
      </c>
      <c r="CD23" s="512">
        <v>0.34</v>
      </c>
      <c r="CE23" s="512">
        <v>1</v>
      </c>
      <c r="CF23" s="512">
        <v>0</v>
      </c>
      <c r="CG23" s="512">
        <v>0</v>
      </c>
      <c r="CH23" s="512">
        <v>0.03</v>
      </c>
      <c r="CI23" s="512">
        <v>0</v>
      </c>
      <c r="CJ23" s="512">
        <v>0</v>
      </c>
      <c r="CK23" s="512">
        <v>1</v>
      </c>
      <c r="CL23" s="512">
        <v>0.93</v>
      </c>
      <c r="CM23" s="512">
        <v>1</v>
      </c>
      <c r="CN23" s="512">
        <v>0.98</v>
      </c>
      <c r="CO23" s="512">
        <v>0</v>
      </c>
      <c r="CP23" s="512">
        <v>0</v>
      </c>
      <c r="CQ23" s="512">
        <v>0</v>
      </c>
      <c r="CR23" s="512">
        <v>0</v>
      </c>
      <c r="CS23" s="512">
        <v>0</v>
      </c>
      <c r="CT23" s="512">
        <v>0</v>
      </c>
      <c r="CU23" s="512">
        <v>0.17</v>
      </c>
      <c r="CV23" s="512">
        <v>1</v>
      </c>
      <c r="CW23" s="512">
        <v>0</v>
      </c>
      <c r="CX23" s="512">
        <v>0</v>
      </c>
      <c r="CY23" s="512">
        <v>0</v>
      </c>
      <c r="CZ23" s="512">
        <v>0</v>
      </c>
      <c r="DA23" s="512">
        <v>0</v>
      </c>
      <c r="DB23" s="512">
        <v>0.46</v>
      </c>
      <c r="DC23" s="512">
        <v>0</v>
      </c>
      <c r="DD23" s="512">
        <v>0</v>
      </c>
      <c r="DE23" s="512">
        <v>0</v>
      </c>
      <c r="DF23" s="512">
        <v>0</v>
      </c>
      <c r="DG23" s="512">
        <v>0</v>
      </c>
      <c r="DH23" s="512">
        <v>0</v>
      </c>
      <c r="DI23" s="512" t="s">
        <v>668</v>
      </c>
      <c r="DJ23" s="512">
        <v>0</v>
      </c>
      <c r="DK23" s="512">
        <v>0</v>
      </c>
      <c r="DL23" s="512">
        <v>1</v>
      </c>
      <c r="DM23" s="512">
        <v>1</v>
      </c>
      <c r="DN23" s="512">
        <v>1</v>
      </c>
      <c r="DO23" s="512">
        <v>0</v>
      </c>
      <c r="DP23" s="512">
        <v>0</v>
      </c>
      <c r="DQ23" s="512">
        <v>0</v>
      </c>
      <c r="DR23" s="512">
        <v>0</v>
      </c>
      <c r="DS23" s="512">
        <v>0</v>
      </c>
      <c r="DT23" s="512">
        <v>0</v>
      </c>
      <c r="DU23" s="512">
        <v>0</v>
      </c>
      <c r="DV23" s="512">
        <v>0</v>
      </c>
      <c r="DW23" s="512">
        <v>0</v>
      </c>
      <c r="DX23" s="512">
        <v>0</v>
      </c>
      <c r="DY23" s="512">
        <v>0</v>
      </c>
      <c r="DZ23" s="512">
        <v>0</v>
      </c>
      <c r="EA23" s="512">
        <v>0</v>
      </c>
      <c r="EB23" s="512">
        <v>0</v>
      </c>
      <c r="EC23" s="512">
        <v>0</v>
      </c>
      <c r="ED23" s="512">
        <v>0</v>
      </c>
      <c r="EE23" s="512">
        <v>1</v>
      </c>
      <c r="EF23" s="512">
        <v>0</v>
      </c>
      <c r="EG23" s="512">
        <v>1</v>
      </c>
      <c r="EH23" s="512">
        <v>0</v>
      </c>
      <c r="EI23" s="512">
        <v>0.32</v>
      </c>
      <c r="EJ23" s="512">
        <v>0.51</v>
      </c>
      <c r="EK23" s="512">
        <v>0</v>
      </c>
      <c r="EL23" s="512">
        <v>1</v>
      </c>
      <c r="EM23" s="512">
        <v>0.5</v>
      </c>
      <c r="EN23" s="512">
        <v>1</v>
      </c>
      <c r="EO23" s="512">
        <v>0.5</v>
      </c>
      <c r="EP23" s="512">
        <v>0</v>
      </c>
      <c r="EQ23" s="512">
        <v>0</v>
      </c>
      <c r="ER23" s="512">
        <v>0</v>
      </c>
      <c r="ES23" s="512">
        <v>1</v>
      </c>
      <c r="ET23" s="512">
        <v>0</v>
      </c>
      <c r="EU23" s="512">
        <v>0</v>
      </c>
      <c r="EV23" s="512">
        <v>1</v>
      </c>
      <c r="EW23" s="512">
        <v>1</v>
      </c>
      <c r="EX23" s="512">
        <v>1</v>
      </c>
      <c r="EY23" s="512">
        <v>1</v>
      </c>
      <c r="EZ23" s="512">
        <v>1</v>
      </c>
      <c r="FA23" s="512">
        <v>1</v>
      </c>
      <c r="FB23" s="512">
        <v>1</v>
      </c>
      <c r="FC23" s="512">
        <v>1</v>
      </c>
      <c r="FD23" s="512">
        <v>1</v>
      </c>
      <c r="FE23" s="512">
        <v>1</v>
      </c>
      <c r="FF23" s="512">
        <v>1</v>
      </c>
      <c r="FG23" s="512">
        <v>1</v>
      </c>
      <c r="FH23" s="512">
        <v>1</v>
      </c>
      <c r="FI23" s="512">
        <v>1</v>
      </c>
      <c r="FJ23" s="512">
        <v>1</v>
      </c>
      <c r="FK23" s="512">
        <v>1</v>
      </c>
      <c r="FL23" s="512">
        <v>1</v>
      </c>
      <c r="FM23" s="512">
        <v>1</v>
      </c>
      <c r="FN23" s="512">
        <v>1</v>
      </c>
      <c r="FO23" s="512">
        <v>1</v>
      </c>
      <c r="FP23" s="512">
        <v>1</v>
      </c>
      <c r="FQ23" s="512">
        <v>1</v>
      </c>
      <c r="FR23" s="512">
        <v>1</v>
      </c>
      <c r="FS23" s="512">
        <v>1</v>
      </c>
      <c r="FT23" s="512">
        <v>1</v>
      </c>
      <c r="FU23" s="512">
        <v>0</v>
      </c>
      <c r="FV23" s="512">
        <v>0</v>
      </c>
      <c r="FW23" s="512">
        <v>0</v>
      </c>
      <c r="FX23" s="512" t="s">
        <v>668</v>
      </c>
      <c r="FY23" s="512">
        <v>1</v>
      </c>
      <c r="FZ23" s="512">
        <v>0</v>
      </c>
      <c r="GA23" s="512">
        <v>0</v>
      </c>
      <c r="GB23" s="512">
        <v>1</v>
      </c>
      <c r="GC23" s="512">
        <v>0</v>
      </c>
      <c r="GD23" s="512" t="s">
        <v>668</v>
      </c>
      <c r="GE23" s="512">
        <v>1</v>
      </c>
      <c r="GF23" s="512">
        <v>0</v>
      </c>
      <c r="GG23" s="512" t="s">
        <v>668</v>
      </c>
      <c r="GH23" s="512">
        <v>1</v>
      </c>
      <c r="GI23" s="512">
        <v>1</v>
      </c>
      <c r="GJ23" s="512">
        <v>1</v>
      </c>
      <c r="GK23" s="512">
        <v>1</v>
      </c>
      <c r="GL23" s="512">
        <v>1</v>
      </c>
      <c r="GM23" s="512">
        <v>1</v>
      </c>
      <c r="GN23" s="512">
        <v>1</v>
      </c>
      <c r="GO23" s="512">
        <v>1</v>
      </c>
      <c r="GP23" s="512">
        <v>0.99</v>
      </c>
      <c r="GQ23" s="512">
        <v>1</v>
      </c>
      <c r="GR23" s="512">
        <v>1</v>
      </c>
      <c r="GS23" s="512">
        <v>0</v>
      </c>
      <c r="GT23" s="512">
        <v>0</v>
      </c>
      <c r="GU23" s="512">
        <v>1</v>
      </c>
      <c r="GV23" s="512">
        <v>0</v>
      </c>
      <c r="GW23" s="512">
        <v>0</v>
      </c>
      <c r="GX23" s="512">
        <v>0</v>
      </c>
      <c r="GY23" s="512">
        <v>1</v>
      </c>
      <c r="GZ23" s="512">
        <v>0.96</v>
      </c>
      <c r="HA23" s="512">
        <v>0</v>
      </c>
      <c r="HB23" s="512">
        <v>0</v>
      </c>
      <c r="HC23" s="512">
        <v>1</v>
      </c>
      <c r="HD23" s="512">
        <v>0</v>
      </c>
      <c r="HE23" s="512">
        <v>0</v>
      </c>
      <c r="HF23" s="512">
        <v>0</v>
      </c>
      <c r="HG23" s="512">
        <v>0</v>
      </c>
      <c r="HH23" s="512">
        <v>0</v>
      </c>
      <c r="HI23" s="512">
        <v>0</v>
      </c>
      <c r="HJ23" s="512">
        <v>0</v>
      </c>
      <c r="HK23" s="512">
        <v>0</v>
      </c>
      <c r="HL23" s="512">
        <v>0.33</v>
      </c>
      <c r="HM23" s="512">
        <v>1</v>
      </c>
      <c r="HN23" s="512">
        <v>0</v>
      </c>
      <c r="HO23" s="512">
        <v>0</v>
      </c>
      <c r="HP23" s="512">
        <v>0</v>
      </c>
      <c r="HQ23" s="512">
        <v>0</v>
      </c>
      <c r="HR23" s="512">
        <v>0</v>
      </c>
      <c r="HS23" s="512">
        <v>1</v>
      </c>
      <c r="HT23" s="512">
        <v>1</v>
      </c>
      <c r="HU23" s="512">
        <v>0</v>
      </c>
      <c r="HV23" s="512">
        <v>0</v>
      </c>
      <c r="HW23" s="512">
        <v>0</v>
      </c>
      <c r="HX23" s="512">
        <v>0</v>
      </c>
      <c r="HY23" s="512">
        <v>0</v>
      </c>
      <c r="HZ23" s="512">
        <v>0.02</v>
      </c>
      <c r="IA23" s="512">
        <v>1</v>
      </c>
      <c r="IB23" s="512">
        <v>1</v>
      </c>
      <c r="IC23" s="512">
        <v>1</v>
      </c>
      <c r="ID23" s="512">
        <v>1</v>
      </c>
      <c r="IE23" s="512">
        <v>1</v>
      </c>
      <c r="IF23" s="512">
        <v>1</v>
      </c>
      <c r="IG23" s="512">
        <v>0.04</v>
      </c>
      <c r="IH23" s="573">
        <v>0.08</v>
      </c>
    </row>
    <row r="24" spans="4:242" ht="15.95" customHeight="1" x14ac:dyDescent="0.2">
      <c r="D24" s="1010" t="s">
        <v>502</v>
      </c>
      <c r="E24" s="1011"/>
      <c r="F24" s="1011"/>
      <c r="G24" s="1011"/>
      <c r="H24" s="1011"/>
      <c r="I24" s="1011"/>
      <c r="J24" s="1011"/>
      <c r="K24" s="1011"/>
      <c r="L24" s="1011"/>
      <c r="M24" s="1011"/>
      <c r="N24" s="1011"/>
      <c r="O24" s="1011"/>
      <c r="P24" s="1011"/>
      <c r="Q24" s="1011"/>
      <c r="R24" s="1011"/>
      <c r="S24" s="1011"/>
      <c r="T24" s="1011"/>
      <c r="U24" s="1011"/>
      <c r="V24" s="1011"/>
      <c r="W24" s="1011"/>
      <c r="X24" s="1011"/>
      <c r="Y24" s="1011"/>
      <c r="Z24" s="1011"/>
      <c r="AA24" s="1011"/>
      <c r="AB24" s="1011"/>
      <c r="AC24" s="1011"/>
      <c r="AD24" s="1011"/>
      <c r="AE24" s="1011"/>
      <c r="AF24" s="1011"/>
      <c r="AG24" s="1011"/>
      <c r="AH24" s="1011"/>
      <c r="AI24" s="1011"/>
      <c r="AJ24" s="1011"/>
      <c r="AK24" s="1011"/>
      <c r="AL24" s="1011"/>
      <c r="AM24" s="1011"/>
      <c r="AN24" s="1011"/>
      <c r="AO24" s="1011"/>
      <c r="AP24" s="1011"/>
      <c r="AQ24" s="1011"/>
      <c r="AR24" s="1011"/>
      <c r="AS24" s="1011"/>
      <c r="AT24" s="1011"/>
      <c r="AU24" s="1011"/>
      <c r="AV24" s="1011"/>
      <c r="AW24" s="1011"/>
      <c r="AX24" s="1011"/>
      <c r="AY24" s="1011"/>
      <c r="AZ24" s="1011"/>
      <c r="BA24" s="1011"/>
      <c r="BB24" s="1011"/>
      <c r="BC24" s="1011"/>
      <c r="BD24" s="1011"/>
      <c r="BE24" s="1011"/>
      <c r="BF24" s="1011"/>
      <c r="BG24" s="1011"/>
      <c r="BH24" s="1011"/>
      <c r="BI24" s="1011"/>
      <c r="BJ24" s="1011"/>
      <c r="BK24" s="1011"/>
      <c r="BL24" s="1011"/>
      <c r="BM24" s="1011"/>
      <c r="BN24" s="1011"/>
      <c r="BO24" s="1011"/>
      <c r="BP24" s="1011"/>
      <c r="BQ24" s="1011"/>
      <c r="BR24" s="1011"/>
      <c r="BS24" s="1011"/>
      <c r="BT24" s="1011"/>
      <c r="BU24" s="1011"/>
      <c r="BV24" s="1011"/>
      <c r="BW24" s="1011"/>
      <c r="BX24" s="1011"/>
      <c r="BY24" s="1011"/>
      <c r="BZ24" s="1011"/>
      <c r="CA24" s="1011"/>
      <c r="CB24" s="1011"/>
      <c r="CC24" s="1011"/>
      <c r="CD24" s="1011"/>
      <c r="CE24" s="1011"/>
      <c r="CF24" s="1011"/>
      <c r="CG24" s="1011"/>
      <c r="CH24" s="1011"/>
      <c r="CI24" s="1011"/>
      <c r="CJ24" s="1011"/>
      <c r="CK24" s="1011"/>
      <c r="CL24" s="1011"/>
      <c r="CM24" s="1011"/>
      <c r="CN24" s="1011"/>
      <c r="CO24" s="1011"/>
      <c r="CP24" s="1011"/>
      <c r="CQ24" s="1011"/>
      <c r="CR24" s="1011"/>
      <c r="CS24" s="1011"/>
      <c r="CT24" s="1011"/>
      <c r="CU24" s="1011"/>
      <c r="CV24" s="1011"/>
      <c r="CW24" s="1011"/>
      <c r="CX24" s="1011"/>
      <c r="CY24" s="1011"/>
      <c r="CZ24" s="1011"/>
      <c r="DA24" s="1011"/>
      <c r="DB24" s="1011"/>
      <c r="DC24" s="1011"/>
      <c r="DD24" s="1011"/>
      <c r="DE24" s="1011"/>
      <c r="DF24" s="1011"/>
      <c r="DG24" s="1011"/>
      <c r="DH24" s="1011"/>
      <c r="DI24" s="1011"/>
      <c r="DJ24" s="1011"/>
      <c r="DK24" s="1011"/>
      <c r="DL24" s="1011"/>
      <c r="DM24" s="1011"/>
      <c r="DN24" s="1011"/>
      <c r="DO24" s="1011"/>
      <c r="DP24" s="1011"/>
      <c r="DQ24" s="1011"/>
      <c r="DR24" s="1011"/>
      <c r="DS24" s="1011"/>
      <c r="DT24" s="1011"/>
      <c r="DU24" s="1011"/>
      <c r="DV24" s="1011"/>
      <c r="DW24" s="1011"/>
      <c r="DX24" s="1011"/>
      <c r="DY24" s="1011"/>
      <c r="DZ24" s="1011"/>
      <c r="EA24" s="1011"/>
      <c r="EB24" s="1011"/>
      <c r="EC24" s="1011"/>
      <c r="ED24" s="1011"/>
      <c r="EE24" s="1011"/>
      <c r="EF24" s="1011"/>
      <c r="EG24" s="1011"/>
      <c r="EH24" s="1011"/>
      <c r="EI24" s="1011"/>
      <c r="EJ24" s="1011"/>
      <c r="EK24" s="1011"/>
      <c r="EL24" s="1011"/>
      <c r="EM24" s="1011"/>
      <c r="EN24" s="1011"/>
      <c r="EO24" s="1011"/>
      <c r="EP24" s="1011"/>
      <c r="EQ24" s="1011"/>
      <c r="ER24" s="1011"/>
      <c r="ES24" s="1011"/>
      <c r="ET24" s="1011"/>
      <c r="EU24" s="1011"/>
      <c r="EV24" s="1011"/>
      <c r="EW24" s="1011"/>
      <c r="EX24" s="1011"/>
      <c r="EY24" s="1011"/>
      <c r="EZ24" s="1011"/>
      <c r="FA24" s="1011"/>
      <c r="FB24" s="1011"/>
      <c r="FC24" s="1011"/>
      <c r="FD24" s="1011"/>
      <c r="FE24" s="1011"/>
      <c r="FF24" s="1011"/>
      <c r="FG24" s="1011"/>
      <c r="FH24" s="1011"/>
      <c r="FI24" s="1011"/>
      <c r="FJ24" s="1011"/>
      <c r="FK24" s="1011"/>
      <c r="FL24" s="1011"/>
      <c r="FM24" s="1011"/>
      <c r="FN24" s="1011"/>
      <c r="FO24" s="1011"/>
      <c r="FP24" s="1011"/>
      <c r="FQ24" s="1011"/>
      <c r="FR24" s="1011"/>
      <c r="FS24" s="1011"/>
      <c r="FT24" s="1011"/>
      <c r="FU24" s="1011"/>
      <c r="FV24" s="1011"/>
      <c r="FW24" s="1011"/>
      <c r="FX24" s="1011"/>
      <c r="FY24" s="1011"/>
      <c r="FZ24" s="1011"/>
      <c r="GA24" s="1011"/>
      <c r="GB24" s="1011"/>
      <c r="GC24" s="1011"/>
      <c r="GD24" s="1011"/>
      <c r="GE24" s="1011"/>
      <c r="GF24" s="1011"/>
      <c r="GG24" s="1011"/>
      <c r="GH24" s="1011"/>
      <c r="GI24" s="1011"/>
      <c r="GJ24" s="1011"/>
      <c r="GK24" s="1011"/>
      <c r="GL24" s="1011"/>
      <c r="GM24" s="1011"/>
      <c r="GN24" s="1011"/>
      <c r="GO24" s="1011"/>
      <c r="GP24" s="1011"/>
      <c r="GQ24" s="1011"/>
      <c r="GR24" s="1011"/>
      <c r="GS24" s="1011"/>
      <c r="GT24" s="1011"/>
      <c r="GU24" s="1011"/>
      <c r="GV24" s="1011"/>
      <c r="GW24" s="1011"/>
      <c r="GX24" s="1011"/>
      <c r="GY24" s="1011"/>
      <c r="GZ24" s="1011"/>
      <c r="HA24" s="1011"/>
      <c r="HB24" s="1011"/>
      <c r="HC24" s="1011"/>
      <c r="HD24" s="1011"/>
      <c r="HE24" s="1011"/>
      <c r="HF24" s="1011"/>
      <c r="HG24" s="1011"/>
      <c r="HH24" s="1011"/>
      <c r="HI24" s="1011"/>
      <c r="HJ24" s="1011"/>
      <c r="HK24" s="1011"/>
      <c r="HL24" s="1011"/>
      <c r="HM24" s="1011"/>
      <c r="HN24" s="1011"/>
      <c r="HO24" s="1011"/>
      <c r="HP24" s="1011"/>
      <c r="HQ24" s="1011"/>
      <c r="HR24" s="1011"/>
      <c r="HS24" s="1011"/>
      <c r="HT24" s="1011"/>
      <c r="HU24" s="1011"/>
      <c r="HV24" s="1011"/>
      <c r="HW24" s="1011"/>
      <c r="HX24" s="1011"/>
      <c r="HY24" s="1011"/>
      <c r="HZ24" s="1011"/>
      <c r="IA24" s="1011"/>
      <c r="IB24" s="1011"/>
      <c r="IC24" s="1011"/>
      <c r="ID24" s="1011"/>
      <c r="IE24" s="1011"/>
      <c r="IF24" s="1011"/>
      <c r="IG24" s="1011"/>
      <c r="IH24" s="1012"/>
    </row>
    <row r="25" spans="4:242" s="500" customFormat="1" ht="15.95" customHeight="1" x14ac:dyDescent="0.2">
      <c r="D25" s="586" t="s">
        <v>493</v>
      </c>
      <c r="E25" s="501"/>
      <c r="F25" s="501"/>
      <c r="G25" s="513" t="s">
        <v>494</v>
      </c>
      <c r="H25" s="514">
        <v>45041.24</v>
      </c>
      <c r="I25" s="514">
        <v>42576.18</v>
      </c>
      <c r="J25" s="514">
        <v>693</v>
      </c>
      <c r="K25" s="514">
        <v>899983.4</v>
      </c>
      <c r="L25" s="514">
        <v>945024.6</v>
      </c>
      <c r="M25" s="514">
        <v>945017.3</v>
      </c>
      <c r="N25" s="514">
        <v>599144</v>
      </c>
      <c r="O25" s="514" t="s">
        <v>668</v>
      </c>
      <c r="P25" s="514">
        <v>580801.74479285022</v>
      </c>
      <c r="Q25" s="514">
        <v>575444.0798729253</v>
      </c>
      <c r="R25" s="514" t="s">
        <v>668</v>
      </c>
      <c r="S25" s="514" t="s">
        <v>668</v>
      </c>
      <c r="T25" s="514" t="s">
        <v>668</v>
      </c>
      <c r="U25" s="514" t="s">
        <v>668</v>
      </c>
      <c r="V25" s="514">
        <v>39297.435223020329</v>
      </c>
      <c r="W25" s="514" t="s">
        <v>668</v>
      </c>
      <c r="X25" s="514" t="s">
        <v>668</v>
      </c>
      <c r="Y25" s="514" t="s">
        <v>668</v>
      </c>
      <c r="Z25" s="514" t="s">
        <v>668</v>
      </c>
      <c r="AA25" s="514">
        <v>15000</v>
      </c>
      <c r="AB25" s="514">
        <v>13702.799609050831</v>
      </c>
      <c r="AC25" s="514">
        <v>28702.799609050831</v>
      </c>
      <c r="AD25" s="514">
        <v>1647.9857351839073</v>
      </c>
      <c r="AE25" s="514">
        <v>24579.641890722814</v>
      </c>
      <c r="AF25" s="514">
        <v>1765.83</v>
      </c>
      <c r="AG25" s="514">
        <v>881148.1</v>
      </c>
      <c r="AH25" s="514">
        <v>857407.2</v>
      </c>
      <c r="AI25" s="514">
        <v>948265.6</v>
      </c>
      <c r="AJ25" s="514" t="s">
        <v>668</v>
      </c>
      <c r="AK25" s="514">
        <v>882913.9</v>
      </c>
      <c r="AL25" s="514" t="s">
        <v>668</v>
      </c>
      <c r="AM25" s="514" t="s">
        <v>668</v>
      </c>
      <c r="AN25" s="514" t="s">
        <v>668</v>
      </c>
      <c r="AO25" s="514">
        <v>643.11</v>
      </c>
      <c r="AP25" s="514">
        <v>35540</v>
      </c>
      <c r="AQ25" s="514">
        <v>94538.13</v>
      </c>
      <c r="AR25" s="514" t="s">
        <v>668</v>
      </c>
      <c r="AS25" s="514" t="s">
        <v>668</v>
      </c>
      <c r="AT25" s="514">
        <v>0</v>
      </c>
      <c r="AU25" s="514">
        <v>6559.61</v>
      </c>
      <c r="AV25" s="514" t="s">
        <v>668</v>
      </c>
      <c r="AW25" s="514" t="s">
        <v>668</v>
      </c>
      <c r="AX25" s="514">
        <v>1378.63</v>
      </c>
      <c r="AY25" s="514" t="s">
        <v>668</v>
      </c>
      <c r="AZ25" s="514">
        <v>1875.36</v>
      </c>
      <c r="BA25" s="514" t="s">
        <v>668</v>
      </c>
      <c r="BB25" s="514">
        <v>4331.01</v>
      </c>
      <c r="BC25" s="514">
        <v>3248.26</v>
      </c>
      <c r="BD25" s="514">
        <v>557.21</v>
      </c>
      <c r="BE25" s="514" t="s">
        <v>668</v>
      </c>
      <c r="BF25" s="514">
        <v>27.43</v>
      </c>
      <c r="BG25" s="514" t="s">
        <v>668</v>
      </c>
      <c r="BH25" s="514" t="s">
        <v>668</v>
      </c>
      <c r="BI25" s="514">
        <v>3120.02</v>
      </c>
      <c r="BJ25" s="514" t="s">
        <v>668</v>
      </c>
      <c r="BK25" s="514" t="s">
        <v>668</v>
      </c>
      <c r="BL25" s="514" t="s">
        <v>668</v>
      </c>
      <c r="BM25" s="514">
        <v>945024.6</v>
      </c>
      <c r="BN25" s="514">
        <v>945023.3</v>
      </c>
      <c r="BO25" s="514">
        <v>945017.3</v>
      </c>
      <c r="BP25" s="514">
        <v>945017.3</v>
      </c>
      <c r="BQ25" s="514">
        <v>945017.3</v>
      </c>
      <c r="BR25" s="514" t="s">
        <v>668</v>
      </c>
      <c r="BS25" s="514">
        <v>195.26</v>
      </c>
      <c r="BT25" s="514">
        <v>943448.7</v>
      </c>
      <c r="BU25" s="514" t="s">
        <v>668</v>
      </c>
      <c r="BV25" s="514" t="s">
        <v>668</v>
      </c>
      <c r="BW25" s="514">
        <v>642.79999999999995</v>
      </c>
      <c r="BX25" s="514" t="s">
        <v>668</v>
      </c>
      <c r="BY25" s="514" t="s">
        <v>668</v>
      </c>
      <c r="BZ25" s="514" t="s">
        <v>668</v>
      </c>
      <c r="CA25" s="514" t="s">
        <v>668</v>
      </c>
      <c r="CB25" s="514" t="s">
        <v>668</v>
      </c>
      <c r="CC25" s="514">
        <v>95879.01</v>
      </c>
      <c r="CD25" s="514">
        <v>32203.69</v>
      </c>
      <c r="CE25" s="514">
        <v>30897.81</v>
      </c>
      <c r="CF25" s="514" t="s">
        <v>668</v>
      </c>
      <c r="CG25" s="514" t="s">
        <v>668</v>
      </c>
      <c r="CH25" s="514">
        <v>48766.81</v>
      </c>
      <c r="CI25" s="514" t="s">
        <v>668</v>
      </c>
      <c r="CJ25" s="514" t="s">
        <v>668</v>
      </c>
      <c r="CK25" s="514">
        <v>2730.09</v>
      </c>
      <c r="CL25" s="514">
        <v>2552.46</v>
      </c>
      <c r="CM25" s="514">
        <v>4427.92</v>
      </c>
      <c r="CN25" s="514">
        <v>4331.01</v>
      </c>
      <c r="CO25" s="514">
        <v>1.6</v>
      </c>
      <c r="CP25" s="514" t="s">
        <v>668</v>
      </c>
      <c r="CQ25" s="514" t="s">
        <v>668</v>
      </c>
      <c r="CR25" s="514" t="s">
        <v>668</v>
      </c>
      <c r="CS25" s="514" t="s">
        <v>668</v>
      </c>
      <c r="CT25" s="514" t="s">
        <v>668</v>
      </c>
      <c r="CU25" s="514">
        <v>2901.61</v>
      </c>
      <c r="CV25" s="514">
        <v>3444.9</v>
      </c>
      <c r="CW25" s="514" t="s">
        <v>668</v>
      </c>
      <c r="CX25" s="514">
        <v>0.3</v>
      </c>
      <c r="CY25" s="514" t="s">
        <v>668</v>
      </c>
      <c r="CZ25" s="514" t="s">
        <v>668</v>
      </c>
      <c r="DA25" s="514" t="s">
        <v>668</v>
      </c>
      <c r="DB25" s="514">
        <v>40527.03</v>
      </c>
      <c r="DC25" s="514" t="s">
        <v>668</v>
      </c>
      <c r="DD25" s="514" t="s">
        <v>668</v>
      </c>
      <c r="DE25" s="514" t="s">
        <v>668</v>
      </c>
      <c r="DF25" s="514" t="s">
        <v>668</v>
      </c>
      <c r="DG25" s="514" t="s">
        <v>668</v>
      </c>
      <c r="DH25" s="514" t="s">
        <v>668</v>
      </c>
      <c r="DI25" s="514" t="s">
        <v>668</v>
      </c>
      <c r="DJ25" s="514" t="s">
        <v>668</v>
      </c>
      <c r="DK25" s="514" t="s">
        <v>668</v>
      </c>
      <c r="DL25" s="514">
        <v>881148.1</v>
      </c>
      <c r="DM25" s="514">
        <v>4427.92</v>
      </c>
      <c r="DN25" s="514">
        <v>4331.01</v>
      </c>
      <c r="DO25" s="514" t="s">
        <v>668</v>
      </c>
      <c r="DP25" s="514" t="s">
        <v>668</v>
      </c>
      <c r="DQ25" s="514" t="s">
        <v>668</v>
      </c>
      <c r="DR25" s="514" t="s">
        <v>668</v>
      </c>
      <c r="DS25" s="514" t="s">
        <v>668</v>
      </c>
      <c r="DT25" s="514" t="s">
        <v>668</v>
      </c>
      <c r="DU25" s="514" t="s">
        <v>668</v>
      </c>
      <c r="DV25" s="514" t="s">
        <v>668</v>
      </c>
      <c r="DW25" s="514" t="s">
        <v>668</v>
      </c>
      <c r="DX25" s="514" t="s">
        <v>668</v>
      </c>
      <c r="DY25" s="514" t="s">
        <v>668</v>
      </c>
      <c r="DZ25" s="514" t="s">
        <v>668</v>
      </c>
      <c r="EA25" s="514" t="s">
        <v>668</v>
      </c>
      <c r="EB25" s="514" t="s">
        <v>668</v>
      </c>
      <c r="EC25" s="514" t="s">
        <v>668</v>
      </c>
      <c r="ED25" s="514" t="s">
        <v>668</v>
      </c>
      <c r="EE25" s="514">
        <v>1422266</v>
      </c>
      <c r="EF25" s="514" t="s">
        <v>668</v>
      </c>
      <c r="EG25" s="514">
        <v>1514401</v>
      </c>
      <c r="EH25" s="514" t="s">
        <v>668</v>
      </c>
      <c r="EI25" s="514">
        <v>1126.3599999999999</v>
      </c>
      <c r="EJ25" s="514">
        <v>22601.68</v>
      </c>
      <c r="EK25" s="514" t="s">
        <v>668</v>
      </c>
      <c r="EL25" s="514">
        <v>2.2000000000000002</v>
      </c>
      <c r="EM25" s="514">
        <v>1.1000000000000001</v>
      </c>
      <c r="EN25" s="514">
        <v>2.2000000000000002</v>
      </c>
      <c r="EO25" s="514">
        <v>1.1000000000000001</v>
      </c>
      <c r="EP25" s="514" t="s">
        <v>668</v>
      </c>
      <c r="EQ25" s="514" t="s">
        <v>668</v>
      </c>
      <c r="ER25" s="514" t="s">
        <v>668</v>
      </c>
      <c r="ES25" s="514">
        <v>7200</v>
      </c>
      <c r="ET25" s="514">
        <v>31.5</v>
      </c>
      <c r="EU25" s="514" t="s">
        <v>668</v>
      </c>
      <c r="EV25" s="514">
        <v>42563.09</v>
      </c>
      <c r="EW25" s="514">
        <v>10640.77</v>
      </c>
      <c r="EX25" s="514">
        <v>10640.77</v>
      </c>
      <c r="EY25" s="514">
        <v>10640.77</v>
      </c>
      <c r="EZ25" s="514">
        <v>10640.77</v>
      </c>
      <c r="FA25" s="514">
        <v>10640.77</v>
      </c>
      <c r="FB25" s="514">
        <v>10640.77</v>
      </c>
      <c r="FC25" s="514">
        <v>21281.54</v>
      </c>
      <c r="FD25" s="514">
        <v>21281.54</v>
      </c>
      <c r="FE25" s="514">
        <v>692.74</v>
      </c>
      <c r="FF25" s="514">
        <v>692.74</v>
      </c>
      <c r="FG25" s="514">
        <v>878688.8</v>
      </c>
      <c r="FH25" s="514">
        <v>878688.8</v>
      </c>
      <c r="FI25" s="514">
        <v>945024.6</v>
      </c>
      <c r="FJ25" s="514">
        <v>472511.9</v>
      </c>
      <c r="FK25" s="514">
        <v>472512.3</v>
      </c>
      <c r="FL25" s="514">
        <v>472512.3</v>
      </c>
      <c r="FM25" s="514">
        <v>472512.3</v>
      </c>
      <c r="FN25" s="514">
        <v>472512.3</v>
      </c>
      <c r="FO25" s="514">
        <v>881148.1</v>
      </c>
      <c r="FP25" s="514">
        <v>220287</v>
      </c>
      <c r="FQ25" s="514">
        <v>220287</v>
      </c>
      <c r="FR25" s="514">
        <v>660861.1</v>
      </c>
      <c r="FS25" s="514">
        <v>660861.1</v>
      </c>
      <c r="FT25" s="514">
        <v>857407.2</v>
      </c>
      <c r="FU25" s="514" t="s">
        <v>668</v>
      </c>
      <c r="FV25" s="514" t="s">
        <v>668</v>
      </c>
      <c r="FW25" s="514" t="s">
        <v>668</v>
      </c>
      <c r="FX25" s="514" t="s">
        <v>668</v>
      </c>
      <c r="FY25" s="514">
        <v>89836.68</v>
      </c>
      <c r="FZ25" s="514" t="s">
        <v>668</v>
      </c>
      <c r="GA25" s="514" t="s">
        <v>668</v>
      </c>
      <c r="GB25" s="514">
        <v>58160.800000000003</v>
      </c>
      <c r="GC25" s="514" t="s">
        <v>668</v>
      </c>
      <c r="GD25" s="514" t="s">
        <v>668</v>
      </c>
      <c r="GE25" s="514">
        <v>322.08</v>
      </c>
      <c r="GF25" s="514" t="s">
        <v>668</v>
      </c>
      <c r="GG25" s="514" t="s">
        <v>668</v>
      </c>
      <c r="GH25" s="514">
        <v>365.84</v>
      </c>
      <c r="GI25" s="514">
        <v>575439.80000000005</v>
      </c>
      <c r="GJ25" s="514">
        <v>945017.3</v>
      </c>
      <c r="GK25" s="514">
        <v>945017.3</v>
      </c>
      <c r="GL25" s="514">
        <v>945017.3</v>
      </c>
      <c r="GM25" s="514">
        <v>945017.3</v>
      </c>
      <c r="GN25" s="514">
        <v>948265.6</v>
      </c>
      <c r="GO25" s="514">
        <v>281967.40000000002</v>
      </c>
      <c r="GP25" s="514">
        <v>943146.8</v>
      </c>
      <c r="GQ25" s="514">
        <v>940367.2</v>
      </c>
      <c r="GR25" s="514">
        <v>882913.9</v>
      </c>
      <c r="GS25" s="514" t="s">
        <v>668</v>
      </c>
      <c r="GT25" s="514" t="s">
        <v>668</v>
      </c>
      <c r="GU25" s="514">
        <v>6586.75</v>
      </c>
      <c r="GV25" s="514" t="s">
        <v>668</v>
      </c>
      <c r="GW25" s="514" t="s">
        <v>668</v>
      </c>
      <c r="GX25" s="514" t="s">
        <v>668</v>
      </c>
      <c r="GY25" s="514">
        <v>1875.36</v>
      </c>
      <c r="GZ25" s="514">
        <v>4426.9399999999996</v>
      </c>
      <c r="HA25" s="514" t="s">
        <v>668</v>
      </c>
      <c r="HB25" s="514" t="s">
        <v>668</v>
      </c>
      <c r="HC25" s="514">
        <v>1082.75</v>
      </c>
      <c r="HD25" s="514" t="s">
        <v>668</v>
      </c>
      <c r="HE25" s="514" t="s">
        <v>668</v>
      </c>
      <c r="HF25" s="514" t="s">
        <v>668</v>
      </c>
      <c r="HG25" s="514" t="s">
        <v>668</v>
      </c>
      <c r="HH25" s="514" t="s">
        <v>668</v>
      </c>
      <c r="HI25" s="514" t="s">
        <v>668</v>
      </c>
      <c r="HJ25" s="514" t="s">
        <v>668</v>
      </c>
      <c r="HK25" s="514" t="s">
        <v>668</v>
      </c>
      <c r="HL25" s="514">
        <v>32096.33</v>
      </c>
      <c r="HM25" s="514">
        <v>32038.57</v>
      </c>
      <c r="HN25" s="514" t="s">
        <v>668</v>
      </c>
      <c r="HO25" s="514" t="s">
        <v>668</v>
      </c>
      <c r="HP25" s="514" t="s">
        <v>668</v>
      </c>
      <c r="HQ25" s="514" t="s">
        <v>668</v>
      </c>
      <c r="HR25" s="514" t="s">
        <v>668</v>
      </c>
      <c r="HS25" s="514">
        <v>220.46</v>
      </c>
      <c r="HT25" s="514">
        <v>220.46</v>
      </c>
      <c r="HU25" s="514" t="s">
        <v>668</v>
      </c>
      <c r="HV25" s="514" t="s">
        <v>668</v>
      </c>
      <c r="HW25" s="514" t="s">
        <v>668</v>
      </c>
      <c r="HX25" s="514">
        <v>196.28</v>
      </c>
      <c r="HY25" s="514">
        <v>640.98</v>
      </c>
      <c r="HZ25" s="514">
        <v>38380.9</v>
      </c>
      <c r="IA25" s="514">
        <v>21780</v>
      </c>
      <c r="IB25" s="514">
        <v>13760</v>
      </c>
      <c r="IC25" s="514">
        <v>35540</v>
      </c>
      <c r="ID25" s="514">
        <v>35540</v>
      </c>
      <c r="IE25" s="514">
        <v>557.21</v>
      </c>
      <c r="IF25" s="514">
        <v>557.21</v>
      </c>
      <c r="IG25" s="514">
        <v>303</v>
      </c>
      <c r="IH25" s="574">
        <v>386.04</v>
      </c>
    </row>
    <row r="26" spans="4:242" s="503" customFormat="1" ht="15.95" customHeight="1" x14ac:dyDescent="0.2">
      <c r="D26" s="585" t="s">
        <v>497</v>
      </c>
      <c r="G26" s="504" t="s">
        <v>498</v>
      </c>
      <c r="H26" s="508">
        <v>32.01</v>
      </c>
      <c r="I26" s="508">
        <v>28.05</v>
      </c>
      <c r="J26" s="508">
        <v>15.536324903461292</v>
      </c>
      <c r="K26" s="508">
        <v>22.4</v>
      </c>
      <c r="L26" s="508">
        <v>22.72</v>
      </c>
      <c r="M26" s="508">
        <v>23.06</v>
      </c>
      <c r="N26" s="508">
        <v>22.466462036878209</v>
      </c>
      <c r="O26" s="508" t="s">
        <v>668</v>
      </c>
      <c r="P26" s="508">
        <v>21.988812173361993</v>
      </c>
      <c r="Q26" s="508">
        <v>22.034064415895219</v>
      </c>
      <c r="R26" s="508" t="s">
        <v>668</v>
      </c>
      <c r="S26" s="508" t="s">
        <v>668</v>
      </c>
      <c r="T26" s="508" t="s">
        <v>668</v>
      </c>
      <c r="U26" s="508" t="s">
        <v>668</v>
      </c>
      <c r="V26" s="508">
        <v>27.586203384437077</v>
      </c>
      <c r="W26" s="508" t="s">
        <v>668</v>
      </c>
      <c r="X26" s="508" t="s">
        <v>668</v>
      </c>
      <c r="Y26" s="508" t="s">
        <v>668</v>
      </c>
      <c r="Z26" s="508" t="s">
        <v>668</v>
      </c>
      <c r="AA26" s="508">
        <v>18.015000000000001</v>
      </c>
      <c r="AB26" s="508">
        <v>19.872131163940747</v>
      </c>
      <c r="AC26" s="508">
        <v>18.85627723136858</v>
      </c>
      <c r="AD26" s="508">
        <v>18.666141035890661</v>
      </c>
      <c r="AE26" s="508">
        <v>40.055577943552137</v>
      </c>
      <c r="AF26" s="508">
        <v>22.47</v>
      </c>
      <c r="AG26" s="508">
        <v>22.47</v>
      </c>
      <c r="AH26" s="508">
        <v>22.17</v>
      </c>
      <c r="AI26" s="508">
        <v>23.06</v>
      </c>
      <c r="AJ26" s="508" t="s">
        <v>668</v>
      </c>
      <c r="AK26" s="508">
        <v>22.47</v>
      </c>
      <c r="AL26" s="508" t="s">
        <v>668</v>
      </c>
      <c r="AM26" s="508" t="s">
        <v>668</v>
      </c>
      <c r="AN26" s="508" t="s">
        <v>668</v>
      </c>
      <c r="AO26" s="508">
        <v>26.13</v>
      </c>
      <c r="AP26" s="508">
        <v>18.02</v>
      </c>
      <c r="AQ26" s="508">
        <v>28.26</v>
      </c>
      <c r="AR26" s="508" t="s">
        <v>668</v>
      </c>
      <c r="AS26" s="508" t="s">
        <v>668</v>
      </c>
      <c r="AT26" s="508">
        <v>18.62</v>
      </c>
      <c r="AU26" s="508">
        <v>38.26</v>
      </c>
      <c r="AV26" s="508" t="s">
        <v>668</v>
      </c>
      <c r="AW26" s="508" t="s">
        <v>668</v>
      </c>
      <c r="AX26" s="508">
        <v>43.15</v>
      </c>
      <c r="AY26" s="508" t="s">
        <v>668</v>
      </c>
      <c r="AZ26" s="508">
        <v>28.49</v>
      </c>
      <c r="BA26" s="508" t="s">
        <v>668</v>
      </c>
      <c r="BB26" s="508">
        <v>23.39</v>
      </c>
      <c r="BC26" s="508">
        <v>23.39</v>
      </c>
      <c r="BD26" s="508">
        <v>18.02</v>
      </c>
      <c r="BE26" s="508" t="s">
        <v>668</v>
      </c>
      <c r="BF26" s="508">
        <v>32.89</v>
      </c>
      <c r="BG26" s="508" t="s">
        <v>668</v>
      </c>
      <c r="BH26" s="508" t="s">
        <v>668</v>
      </c>
      <c r="BI26" s="508">
        <v>18.03</v>
      </c>
      <c r="BJ26" s="508" t="s">
        <v>668</v>
      </c>
      <c r="BK26" s="508" t="s">
        <v>668</v>
      </c>
      <c r="BL26" s="508" t="s">
        <v>668</v>
      </c>
      <c r="BM26" s="508">
        <v>22.72</v>
      </c>
      <c r="BN26" s="508">
        <v>22.72</v>
      </c>
      <c r="BO26" s="508">
        <v>23.06</v>
      </c>
      <c r="BP26" s="508">
        <v>23.06</v>
      </c>
      <c r="BQ26" s="508">
        <v>23.06</v>
      </c>
      <c r="BR26" s="508" t="s">
        <v>668</v>
      </c>
      <c r="BS26" s="508">
        <v>24.02</v>
      </c>
      <c r="BT26" s="508">
        <v>23.09</v>
      </c>
      <c r="BU26" s="508" t="s">
        <v>668</v>
      </c>
      <c r="BV26" s="508" t="s">
        <v>668</v>
      </c>
      <c r="BW26" s="508">
        <v>26.22</v>
      </c>
      <c r="BX26" s="508" t="s">
        <v>668</v>
      </c>
      <c r="BY26" s="508" t="s">
        <v>668</v>
      </c>
      <c r="BZ26" s="508" t="s">
        <v>668</v>
      </c>
      <c r="CA26" s="508" t="s">
        <v>668</v>
      </c>
      <c r="CB26" s="508" t="s">
        <v>668</v>
      </c>
      <c r="CC26" s="508">
        <v>28.4</v>
      </c>
      <c r="CD26" s="508">
        <v>42.15</v>
      </c>
      <c r="CE26" s="508">
        <v>42.13</v>
      </c>
      <c r="CF26" s="508" t="s">
        <v>668</v>
      </c>
      <c r="CG26" s="508" t="s">
        <v>668</v>
      </c>
      <c r="CH26" s="508">
        <v>18.66</v>
      </c>
      <c r="CI26" s="508" t="s">
        <v>668</v>
      </c>
      <c r="CJ26" s="508" t="s">
        <v>668</v>
      </c>
      <c r="CK26" s="508">
        <v>20.29</v>
      </c>
      <c r="CL26" s="508">
        <v>20.47</v>
      </c>
      <c r="CM26" s="508">
        <v>23.24</v>
      </c>
      <c r="CN26" s="508">
        <v>23.39</v>
      </c>
      <c r="CO26" s="508">
        <v>24.8</v>
      </c>
      <c r="CP26" s="508" t="s">
        <v>668</v>
      </c>
      <c r="CQ26" s="508" t="s">
        <v>668</v>
      </c>
      <c r="CR26" s="508" t="s">
        <v>668</v>
      </c>
      <c r="CS26" s="508" t="s">
        <v>668</v>
      </c>
      <c r="CT26" s="508" t="s">
        <v>668</v>
      </c>
      <c r="CU26" s="508">
        <v>18.12</v>
      </c>
      <c r="CV26" s="508">
        <v>18.02</v>
      </c>
      <c r="CW26" s="508" t="s">
        <v>668</v>
      </c>
      <c r="CX26" s="508">
        <v>23.61</v>
      </c>
      <c r="CY26" s="508" t="s">
        <v>668</v>
      </c>
      <c r="CZ26" s="508" t="s">
        <v>668</v>
      </c>
      <c r="DA26" s="508" t="s">
        <v>668</v>
      </c>
      <c r="DB26" s="508">
        <v>42.02</v>
      </c>
      <c r="DC26" s="508" t="s">
        <v>668</v>
      </c>
      <c r="DD26" s="508" t="s">
        <v>668</v>
      </c>
      <c r="DE26" s="508" t="s">
        <v>668</v>
      </c>
      <c r="DF26" s="508" t="s">
        <v>668</v>
      </c>
      <c r="DG26" s="508" t="s">
        <v>668</v>
      </c>
      <c r="DH26" s="508" t="s">
        <v>668</v>
      </c>
      <c r="DI26" s="508" t="s">
        <v>668</v>
      </c>
      <c r="DJ26" s="508" t="s">
        <v>668</v>
      </c>
      <c r="DK26" s="508" t="s">
        <v>668</v>
      </c>
      <c r="DL26" s="508">
        <v>22.47</v>
      </c>
      <c r="DM26" s="508">
        <v>23.24</v>
      </c>
      <c r="DN26" s="508">
        <v>23.39</v>
      </c>
      <c r="DO26" s="508" t="s">
        <v>668</v>
      </c>
      <c r="DP26" s="508" t="s">
        <v>668</v>
      </c>
      <c r="DQ26" s="508" t="s">
        <v>668</v>
      </c>
      <c r="DR26" s="508" t="s">
        <v>668</v>
      </c>
      <c r="DS26" s="508" t="s">
        <v>668</v>
      </c>
      <c r="DT26" s="508" t="s">
        <v>668</v>
      </c>
      <c r="DU26" s="508" t="s">
        <v>668</v>
      </c>
      <c r="DV26" s="508" t="s">
        <v>668</v>
      </c>
      <c r="DW26" s="508" t="s">
        <v>668</v>
      </c>
      <c r="DX26" s="508" t="s">
        <v>668</v>
      </c>
      <c r="DY26" s="508" t="s">
        <v>668</v>
      </c>
      <c r="DZ26" s="508" t="s">
        <v>668</v>
      </c>
      <c r="EA26" s="508" t="s">
        <v>668</v>
      </c>
      <c r="EB26" s="508" t="s">
        <v>668</v>
      </c>
      <c r="EC26" s="508" t="s">
        <v>668</v>
      </c>
      <c r="ED26" s="508" t="s">
        <v>668</v>
      </c>
      <c r="EE26" s="508">
        <v>18.48</v>
      </c>
      <c r="EF26" s="508" t="s">
        <v>668</v>
      </c>
      <c r="EG26" s="508">
        <v>18.7</v>
      </c>
      <c r="EH26" s="508" t="s">
        <v>668</v>
      </c>
      <c r="EI26" s="508">
        <v>19.89</v>
      </c>
      <c r="EJ26" s="508">
        <v>18.53</v>
      </c>
      <c r="EK26" s="508" t="s">
        <v>668</v>
      </c>
      <c r="EL26" s="508">
        <v>18.02</v>
      </c>
      <c r="EM26" s="508">
        <v>18.02</v>
      </c>
      <c r="EN26" s="508">
        <v>18.02</v>
      </c>
      <c r="EO26" s="508">
        <v>18.02</v>
      </c>
      <c r="EP26" s="508" t="s">
        <v>668</v>
      </c>
      <c r="EQ26" s="508" t="s">
        <v>668</v>
      </c>
      <c r="ER26" s="508" t="s">
        <v>668</v>
      </c>
      <c r="ES26" s="508">
        <v>18.02</v>
      </c>
      <c r="ET26" s="508">
        <v>33.020000000000003</v>
      </c>
      <c r="EU26" s="508" t="s">
        <v>668</v>
      </c>
      <c r="EV26" s="508">
        <v>28.05</v>
      </c>
      <c r="EW26" s="508">
        <v>28.05</v>
      </c>
      <c r="EX26" s="508">
        <v>28.05</v>
      </c>
      <c r="EY26" s="508">
        <v>28.05</v>
      </c>
      <c r="EZ26" s="508">
        <v>28.05</v>
      </c>
      <c r="FA26" s="508">
        <v>28.05</v>
      </c>
      <c r="FB26" s="508">
        <v>28.05</v>
      </c>
      <c r="FC26" s="508">
        <v>28.05</v>
      </c>
      <c r="FD26" s="508">
        <v>28.05</v>
      </c>
      <c r="FE26" s="508">
        <v>15.54</v>
      </c>
      <c r="FF26" s="508">
        <v>15.54</v>
      </c>
      <c r="FG26" s="508">
        <v>22.29</v>
      </c>
      <c r="FH26" s="508">
        <v>22.29</v>
      </c>
      <c r="FI26" s="508">
        <v>22.72</v>
      </c>
      <c r="FJ26" s="508">
        <v>22.72</v>
      </c>
      <c r="FK26" s="508">
        <v>22.72</v>
      </c>
      <c r="FL26" s="508">
        <v>22.72</v>
      </c>
      <c r="FM26" s="508">
        <v>22.72</v>
      </c>
      <c r="FN26" s="508">
        <v>22.72</v>
      </c>
      <c r="FO26" s="508">
        <v>22.47</v>
      </c>
      <c r="FP26" s="508">
        <v>22.47</v>
      </c>
      <c r="FQ26" s="508">
        <v>22.47</v>
      </c>
      <c r="FR26" s="508">
        <v>22.47</v>
      </c>
      <c r="FS26" s="508">
        <v>22.47</v>
      </c>
      <c r="FT26" s="508">
        <v>22.17</v>
      </c>
      <c r="FU26" s="508" t="s">
        <v>668</v>
      </c>
      <c r="FV26" s="508" t="s">
        <v>668</v>
      </c>
      <c r="FW26" s="508" t="s">
        <v>668</v>
      </c>
      <c r="FX26" s="508" t="s">
        <v>668</v>
      </c>
      <c r="FY26" s="508">
        <v>27.93</v>
      </c>
      <c r="FZ26" s="508" t="s">
        <v>668</v>
      </c>
      <c r="GA26" s="508" t="s">
        <v>668</v>
      </c>
      <c r="GB26" s="508">
        <v>18.47</v>
      </c>
      <c r="GC26" s="508" t="s">
        <v>668</v>
      </c>
      <c r="GD26" s="508" t="s">
        <v>668</v>
      </c>
      <c r="GE26" s="508">
        <v>18.04</v>
      </c>
      <c r="GF26" s="508" t="s">
        <v>668</v>
      </c>
      <c r="GG26" s="508" t="s">
        <v>668</v>
      </c>
      <c r="GH26" s="508">
        <v>18.02</v>
      </c>
      <c r="GI26" s="508">
        <v>22.03</v>
      </c>
      <c r="GJ26" s="508">
        <v>22.72</v>
      </c>
      <c r="GK26" s="508">
        <v>22.72</v>
      </c>
      <c r="GL26" s="508">
        <v>23.06</v>
      </c>
      <c r="GM26" s="508">
        <v>23.06</v>
      </c>
      <c r="GN26" s="508">
        <v>23.06</v>
      </c>
      <c r="GO26" s="508">
        <v>22.47</v>
      </c>
      <c r="GP26" s="508">
        <v>23.09</v>
      </c>
      <c r="GQ26" s="508">
        <v>23.11</v>
      </c>
      <c r="GR26" s="508">
        <v>22.47</v>
      </c>
      <c r="GS26" s="508" t="s">
        <v>668</v>
      </c>
      <c r="GT26" s="508" t="s">
        <v>668</v>
      </c>
      <c r="GU26" s="508">
        <v>38.29</v>
      </c>
      <c r="GV26" s="508" t="s">
        <v>668</v>
      </c>
      <c r="GW26" s="508" t="s">
        <v>668</v>
      </c>
      <c r="GX26" s="508" t="s">
        <v>668</v>
      </c>
      <c r="GY26" s="508">
        <v>28.49</v>
      </c>
      <c r="GZ26" s="508">
        <v>23.24</v>
      </c>
      <c r="HA26" s="508" t="s">
        <v>668</v>
      </c>
      <c r="HB26" s="508" t="s">
        <v>668</v>
      </c>
      <c r="HC26" s="508">
        <v>23.39</v>
      </c>
      <c r="HD26" s="508" t="s">
        <v>668</v>
      </c>
      <c r="HE26" s="508" t="s">
        <v>668</v>
      </c>
      <c r="HF26" s="508" t="s">
        <v>668</v>
      </c>
      <c r="HG26" s="508" t="s">
        <v>668</v>
      </c>
      <c r="HH26" s="508" t="s">
        <v>668</v>
      </c>
      <c r="HI26" s="508" t="s">
        <v>668</v>
      </c>
      <c r="HJ26" s="508" t="s">
        <v>668</v>
      </c>
      <c r="HK26" s="508" t="s">
        <v>668</v>
      </c>
      <c r="HL26" s="508">
        <v>42.18</v>
      </c>
      <c r="HM26" s="508">
        <v>42.24</v>
      </c>
      <c r="HN26" s="508" t="s">
        <v>668</v>
      </c>
      <c r="HO26" s="508" t="s">
        <v>668</v>
      </c>
      <c r="HP26" s="508" t="s">
        <v>668</v>
      </c>
      <c r="HQ26" s="508" t="s">
        <v>668</v>
      </c>
      <c r="HR26" s="508" t="s">
        <v>668</v>
      </c>
      <c r="HS26" s="508">
        <v>32</v>
      </c>
      <c r="HT26" s="508">
        <v>32</v>
      </c>
      <c r="HU26" s="508" t="s">
        <v>668</v>
      </c>
      <c r="HV26" s="508" t="s">
        <v>668</v>
      </c>
      <c r="HW26" s="508" t="s">
        <v>668</v>
      </c>
      <c r="HX26" s="508">
        <v>24.04</v>
      </c>
      <c r="HY26" s="508">
        <v>26.17</v>
      </c>
      <c r="HZ26" s="508">
        <v>29.49</v>
      </c>
      <c r="IA26" s="508">
        <v>18.02</v>
      </c>
      <c r="IB26" s="508">
        <v>18.02</v>
      </c>
      <c r="IC26" s="508">
        <v>18.02</v>
      </c>
      <c r="ID26" s="508">
        <v>18.02</v>
      </c>
      <c r="IE26" s="508">
        <v>18.02</v>
      </c>
      <c r="IF26" s="508">
        <v>18.02</v>
      </c>
      <c r="IG26" s="508">
        <v>18.11</v>
      </c>
      <c r="IH26" s="572">
        <v>18.07</v>
      </c>
    </row>
    <row r="27" spans="4:242" s="503" customFormat="1" ht="15.95" customHeight="1" x14ac:dyDescent="0.2">
      <c r="D27" s="585" t="s">
        <v>499</v>
      </c>
      <c r="G27" s="504" t="s">
        <v>500</v>
      </c>
      <c r="H27" s="508">
        <v>1.83</v>
      </c>
      <c r="I27" s="508">
        <v>1.7</v>
      </c>
      <c r="J27" s="508">
        <v>0.68655470271122621</v>
      </c>
      <c r="K27" s="508">
        <v>0.99</v>
      </c>
      <c r="L27" s="508">
        <v>1.01</v>
      </c>
      <c r="M27" s="508">
        <v>0.78</v>
      </c>
      <c r="N27" s="508">
        <v>1.0923855172267849</v>
      </c>
      <c r="O27" s="508" t="s">
        <v>668</v>
      </c>
      <c r="P27" s="508">
        <v>0.97315696920016825</v>
      </c>
      <c r="Q27" s="508">
        <v>1.0761330811243608</v>
      </c>
      <c r="R27" s="508" t="s">
        <v>668</v>
      </c>
      <c r="S27" s="508" t="s">
        <v>668</v>
      </c>
      <c r="T27" s="508" t="s">
        <v>668</v>
      </c>
      <c r="U27" s="508" t="s">
        <v>668</v>
      </c>
      <c r="V27" s="508">
        <v>8.0711705727662536E-2</v>
      </c>
      <c r="W27" s="508" t="s">
        <v>668</v>
      </c>
      <c r="X27" s="508" t="s">
        <v>668</v>
      </c>
      <c r="Y27" s="508" t="s">
        <v>668</v>
      </c>
      <c r="Z27" s="508" t="s">
        <v>668</v>
      </c>
      <c r="AA27" s="509">
        <v>0.47799999999999998</v>
      </c>
      <c r="AB27" s="508">
        <v>4.383760716435154E-2</v>
      </c>
      <c r="AC27" s="508">
        <v>5.4136053535201074E-2</v>
      </c>
      <c r="AD27" s="508">
        <v>8.8711290839108461E-2</v>
      </c>
      <c r="AE27" s="508">
        <v>0.11898651907286936</v>
      </c>
      <c r="AF27" s="508">
        <v>0.97</v>
      </c>
      <c r="AG27" s="508">
        <v>0.97</v>
      </c>
      <c r="AH27" s="508">
        <v>0.98</v>
      </c>
      <c r="AI27" s="508">
        <v>0.77</v>
      </c>
      <c r="AJ27" s="508" t="s">
        <v>668</v>
      </c>
      <c r="AK27" s="508">
        <v>0.98</v>
      </c>
      <c r="AL27" s="508" t="s">
        <v>668</v>
      </c>
      <c r="AM27" s="508" t="s">
        <v>668</v>
      </c>
      <c r="AN27" s="508" t="s">
        <v>668</v>
      </c>
      <c r="AO27" s="508">
        <v>0.87</v>
      </c>
      <c r="AP27" s="509">
        <v>7.9299999999999995E-2</v>
      </c>
      <c r="AQ27" s="508">
        <v>0.13</v>
      </c>
      <c r="AR27" s="508" t="s">
        <v>668</v>
      </c>
      <c r="AS27" s="508" t="s">
        <v>668</v>
      </c>
      <c r="AT27" s="508">
        <v>0.09</v>
      </c>
      <c r="AU27" s="508">
        <v>0.22</v>
      </c>
      <c r="AV27" s="508" t="s">
        <v>668</v>
      </c>
      <c r="AW27" s="508" t="s">
        <v>668</v>
      </c>
      <c r="AX27" s="508">
        <v>0.26</v>
      </c>
      <c r="AY27" s="508" t="s">
        <v>668</v>
      </c>
      <c r="AZ27" s="508">
        <v>0.15</v>
      </c>
      <c r="BA27" s="508" t="s">
        <v>668</v>
      </c>
      <c r="BB27" s="508">
        <v>0.75</v>
      </c>
      <c r="BC27" s="508">
        <v>0.75</v>
      </c>
      <c r="BD27" s="509">
        <v>7.5800000000000006E-2</v>
      </c>
      <c r="BE27" s="508" t="s">
        <v>668</v>
      </c>
      <c r="BF27" s="508">
        <v>0.16</v>
      </c>
      <c r="BG27" s="508" t="s">
        <v>668</v>
      </c>
      <c r="BH27" s="508" t="s">
        <v>668</v>
      </c>
      <c r="BI27" s="508">
        <v>0.13</v>
      </c>
      <c r="BJ27" s="508" t="s">
        <v>668</v>
      </c>
      <c r="BK27" s="508" t="s">
        <v>668</v>
      </c>
      <c r="BL27" s="508" t="s">
        <v>668</v>
      </c>
      <c r="BM27" s="508">
        <v>1</v>
      </c>
      <c r="BN27" s="508">
        <v>0.78</v>
      </c>
      <c r="BO27" s="508">
        <v>0.64</v>
      </c>
      <c r="BP27" s="508">
        <v>0.59</v>
      </c>
      <c r="BQ27" s="508">
        <v>0.64</v>
      </c>
      <c r="BR27" s="508" t="s">
        <v>668</v>
      </c>
      <c r="BS27" s="508">
        <v>0.94</v>
      </c>
      <c r="BT27" s="508">
        <v>0.95</v>
      </c>
      <c r="BU27" s="508" t="s">
        <v>668</v>
      </c>
      <c r="BV27" s="508" t="s">
        <v>668</v>
      </c>
      <c r="BW27" s="508">
        <v>0.88</v>
      </c>
      <c r="BX27" s="508" t="s">
        <v>668</v>
      </c>
      <c r="BY27" s="508" t="s">
        <v>668</v>
      </c>
      <c r="BZ27" s="508" t="s">
        <v>668</v>
      </c>
      <c r="CA27" s="508" t="s">
        <v>668</v>
      </c>
      <c r="CB27" s="508" t="s">
        <v>668</v>
      </c>
      <c r="CC27" s="508">
        <v>0.13</v>
      </c>
      <c r="CD27" s="508">
        <v>0.24</v>
      </c>
      <c r="CE27" s="508">
        <v>0.26</v>
      </c>
      <c r="CF27" s="508" t="s">
        <v>668</v>
      </c>
      <c r="CG27" s="508" t="s">
        <v>668</v>
      </c>
      <c r="CH27" s="508">
        <v>0.09</v>
      </c>
      <c r="CI27" s="508" t="s">
        <v>668</v>
      </c>
      <c r="CJ27" s="508" t="s">
        <v>668</v>
      </c>
      <c r="CK27" s="508">
        <v>0.09</v>
      </c>
      <c r="CL27" s="508">
        <v>0.1</v>
      </c>
      <c r="CM27" s="508">
        <v>0.25</v>
      </c>
      <c r="CN27" s="508">
        <v>0.34</v>
      </c>
      <c r="CO27" s="508">
        <v>0.93</v>
      </c>
      <c r="CP27" s="508" t="s">
        <v>668</v>
      </c>
      <c r="CQ27" s="508" t="s">
        <v>668</v>
      </c>
      <c r="CR27" s="508" t="s">
        <v>668</v>
      </c>
      <c r="CS27" s="508" t="s">
        <v>668</v>
      </c>
      <c r="CT27" s="508" t="s">
        <v>668</v>
      </c>
      <c r="CU27" s="508">
        <v>0.13</v>
      </c>
      <c r="CV27" s="508">
        <v>0.04</v>
      </c>
      <c r="CW27" s="508" t="s">
        <v>668</v>
      </c>
      <c r="CX27" s="508">
        <v>0.18</v>
      </c>
      <c r="CY27" s="508" t="s">
        <v>668</v>
      </c>
      <c r="CZ27" s="508" t="s">
        <v>668</v>
      </c>
      <c r="DA27" s="508" t="s">
        <v>668</v>
      </c>
      <c r="DB27" s="508">
        <v>0.5</v>
      </c>
      <c r="DC27" s="508" t="s">
        <v>668</v>
      </c>
      <c r="DD27" s="508" t="s">
        <v>668</v>
      </c>
      <c r="DE27" s="508" t="s">
        <v>668</v>
      </c>
      <c r="DF27" s="508" t="s">
        <v>668</v>
      </c>
      <c r="DG27" s="508" t="s">
        <v>668</v>
      </c>
      <c r="DH27" s="508" t="s">
        <v>668</v>
      </c>
      <c r="DI27" s="508" t="s">
        <v>668</v>
      </c>
      <c r="DJ27" s="508" t="s">
        <v>668</v>
      </c>
      <c r="DK27" s="508" t="s">
        <v>668</v>
      </c>
      <c r="DL27" s="508">
        <v>1.0900000000000001</v>
      </c>
      <c r="DM27" s="508">
        <v>0.11</v>
      </c>
      <c r="DN27" s="508">
        <v>0.34</v>
      </c>
      <c r="DO27" s="508" t="s">
        <v>668</v>
      </c>
      <c r="DP27" s="508" t="s">
        <v>668</v>
      </c>
      <c r="DQ27" s="508" t="s">
        <v>668</v>
      </c>
      <c r="DR27" s="508" t="s">
        <v>668</v>
      </c>
      <c r="DS27" s="508" t="s">
        <v>668</v>
      </c>
      <c r="DT27" s="508" t="s">
        <v>668</v>
      </c>
      <c r="DU27" s="508" t="s">
        <v>668</v>
      </c>
      <c r="DV27" s="508" t="s">
        <v>668</v>
      </c>
      <c r="DW27" s="508" t="s">
        <v>668</v>
      </c>
      <c r="DX27" s="508" t="s">
        <v>668</v>
      </c>
      <c r="DY27" s="508" t="s">
        <v>668</v>
      </c>
      <c r="DZ27" s="508" t="s">
        <v>668</v>
      </c>
      <c r="EA27" s="508" t="s">
        <v>668</v>
      </c>
      <c r="EB27" s="508" t="s">
        <v>668</v>
      </c>
      <c r="EC27" s="508" t="s">
        <v>668</v>
      </c>
      <c r="ED27" s="508" t="s">
        <v>668</v>
      </c>
      <c r="EE27" s="508">
        <v>0.61</v>
      </c>
      <c r="EF27" s="508" t="s">
        <v>668</v>
      </c>
      <c r="EG27" s="508">
        <v>0.22</v>
      </c>
      <c r="EH27" s="508" t="s">
        <v>668</v>
      </c>
      <c r="EI27" s="508">
        <v>0.09</v>
      </c>
      <c r="EJ27" s="508">
        <v>0.16</v>
      </c>
      <c r="EK27" s="508" t="s">
        <v>668</v>
      </c>
      <c r="EL27" s="508">
        <v>0.04</v>
      </c>
      <c r="EM27" s="508">
        <v>0.03</v>
      </c>
      <c r="EN27" s="508">
        <v>0.04</v>
      </c>
      <c r="EO27" s="508">
        <v>0.04</v>
      </c>
      <c r="EP27" s="508" t="s">
        <v>668</v>
      </c>
      <c r="EQ27" s="508" t="s">
        <v>668</v>
      </c>
      <c r="ER27" s="508" t="s">
        <v>668</v>
      </c>
      <c r="ES27" s="508">
        <v>0.45</v>
      </c>
      <c r="ET27" s="508">
        <v>0.15</v>
      </c>
      <c r="EU27" s="508" t="s">
        <v>668</v>
      </c>
      <c r="EV27" s="508">
        <v>1.7</v>
      </c>
      <c r="EW27" s="508">
        <v>2.1</v>
      </c>
      <c r="EX27" s="508">
        <v>0.09</v>
      </c>
      <c r="EY27" s="508">
        <v>1.7</v>
      </c>
      <c r="EZ27" s="508">
        <v>1.7</v>
      </c>
      <c r="FA27" s="508">
        <v>2.4500000000000002</v>
      </c>
      <c r="FB27" s="508">
        <v>0.1</v>
      </c>
      <c r="FC27" s="508">
        <v>1.7</v>
      </c>
      <c r="FD27" s="508">
        <v>2.1</v>
      </c>
      <c r="FE27" s="508">
        <v>0.9</v>
      </c>
      <c r="FF27" s="508">
        <v>0.04</v>
      </c>
      <c r="FG27" s="508">
        <v>0.99</v>
      </c>
      <c r="FH27" s="508">
        <v>0.05</v>
      </c>
      <c r="FI27" s="508">
        <v>1.01</v>
      </c>
      <c r="FJ27" s="508">
        <v>1.1200000000000001</v>
      </c>
      <c r="FK27" s="508">
        <v>1.01</v>
      </c>
      <c r="FL27" s="508">
        <v>1.01</v>
      </c>
      <c r="FM27" s="508">
        <v>0.05</v>
      </c>
      <c r="FN27" s="508">
        <v>1.01</v>
      </c>
      <c r="FO27" s="508">
        <v>0.97</v>
      </c>
      <c r="FP27" s="508">
        <v>0.97</v>
      </c>
      <c r="FQ27" s="508">
        <v>0.06</v>
      </c>
      <c r="FR27" s="508">
        <v>0.97</v>
      </c>
      <c r="FS27" s="508">
        <v>0.11</v>
      </c>
      <c r="FT27" s="508">
        <v>0.98</v>
      </c>
      <c r="FU27" s="508" t="s">
        <v>668</v>
      </c>
      <c r="FV27" s="508" t="s">
        <v>668</v>
      </c>
      <c r="FW27" s="508" t="s">
        <v>668</v>
      </c>
      <c r="FX27" s="508" t="s">
        <v>668</v>
      </c>
      <c r="FY27" s="508">
        <v>0.35</v>
      </c>
      <c r="FZ27" s="508" t="s">
        <v>668</v>
      </c>
      <c r="GA27" s="508" t="s">
        <v>668</v>
      </c>
      <c r="GB27" s="508">
        <v>0.24</v>
      </c>
      <c r="GC27" s="508" t="s">
        <v>668</v>
      </c>
      <c r="GD27" s="508" t="s">
        <v>668</v>
      </c>
      <c r="GE27" s="508">
        <v>0.27</v>
      </c>
      <c r="GF27" s="508" t="s">
        <v>668</v>
      </c>
      <c r="GG27" s="508" t="s">
        <v>668</v>
      </c>
      <c r="GH27" s="508">
        <v>0.08</v>
      </c>
      <c r="GI27" s="508">
        <v>0.94</v>
      </c>
      <c r="GJ27" s="508">
        <v>0.77</v>
      </c>
      <c r="GK27" s="508">
        <v>0.77</v>
      </c>
      <c r="GL27" s="508">
        <v>0.59</v>
      </c>
      <c r="GM27" s="508">
        <v>0.78</v>
      </c>
      <c r="GN27" s="508">
        <v>0.78</v>
      </c>
      <c r="GO27" s="508">
        <v>1.0900000000000001</v>
      </c>
      <c r="GP27" s="508">
        <v>0.95</v>
      </c>
      <c r="GQ27" s="508">
        <v>0.98</v>
      </c>
      <c r="GR27" s="508">
        <v>0.97</v>
      </c>
      <c r="GS27" s="508" t="s">
        <v>668</v>
      </c>
      <c r="GT27" s="508" t="s">
        <v>668</v>
      </c>
      <c r="GU27" s="508">
        <v>0.22</v>
      </c>
      <c r="GV27" s="508" t="s">
        <v>668</v>
      </c>
      <c r="GW27" s="508" t="s">
        <v>668</v>
      </c>
      <c r="GX27" s="508" t="s">
        <v>668</v>
      </c>
      <c r="GY27" s="508">
        <v>0.15</v>
      </c>
      <c r="GZ27" s="508">
        <v>0.12</v>
      </c>
      <c r="HA27" s="508" t="s">
        <v>668</v>
      </c>
      <c r="HB27" s="508" t="s">
        <v>668</v>
      </c>
      <c r="HC27" s="508">
        <v>0.75</v>
      </c>
      <c r="HD27" s="508" t="s">
        <v>668</v>
      </c>
      <c r="HE27" s="508" t="s">
        <v>668</v>
      </c>
      <c r="HF27" s="508" t="s">
        <v>668</v>
      </c>
      <c r="HG27" s="508" t="s">
        <v>668</v>
      </c>
      <c r="HH27" s="508" t="s">
        <v>668</v>
      </c>
      <c r="HI27" s="508" t="s">
        <v>668</v>
      </c>
      <c r="HJ27" s="508" t="s">
        <v>668</v>
      </c>
      <c r="HK27" s="508" t="s">
        <v>668</v>
      </c>
      <c r="HL27" s="508">
        <v>0.24</v>
      </c>
      <c r="HM27" s="508">
        <v>0.23</v>
      </c>
      <c r="HN27" s="508" t="s">
        <v>668</v>
      </c>
      <c r="HO27" s="508" t="s">
        <v>668</v>
      </c>
      <c r="HP27" s="508" t="s">
        <v>668</v>
      </c>
      <c r="HQ27" s="508" t="s">
        <v>668</v>
      </c>
      <c r="HR27" s="508" t="s">
        <v>668</v>
      </c>
      <c r="HS27" s="508">
        <v>3.7</v>
      </c>
      <c r="HT27" s="508">
        <v>0.09</v>
      </c>
      <c r="HU27" s="508" t="s">
        <v>668</v>
      </c>
      <c r="HV27" s="508" t="s">
        <v>668</v>
      </c>
      <c r="HW27" s="508" t="s">
        <v>668</v>
      </c>
      <c r="HX27" s="508">
        <v>0.94</v>
      </c>
      <c r="HY27" s="508">
        <v>0.87</v>
      </c>
      <c r="HZ27" s="508">
        <v>0.14000000000000001</v>
      </c>
      <c r="IA27" s="508">
        <v>0.46</v>
      </c>
      <c r="IB27" s="508">
        <v>0.13</v>
      </c>
      <c r="IC27" s="508">
        <v>0.12</v>
      </c>
      <c r="ID27" s="508">
        <v>0.17</v>
      </c>
      <c r="IE27" s="508">
        <v>0.46</v>
      </c>
      <c r="IF27" s="508">
        <v>0.17</v>
      </c>
      <c r="IG27" s="508">
        <v>0.13</v>
      </c>
      <c r="IH27" s="572">
        <v>0.04</v>
      </c>
    </row>
    <row r="28" spans="4:242" s="503" customFormat="1" ht="15.95" customHeight="1" x14ac:dyDescent="0.2">
      <c r="D28" s="585" t="s">
        <v>503</v>
      </c>
      <c r="G28" s="504" t="s">
        <v>504</v>
      </c>
      <c r="H28" s="515">
        <v>0.02</v>
      </c>
      <c r="I28" s="515">
        <v>0.01</v>
      </c>
      <c r="J28" s="515">
        <v>1.1900000000000001E-2</v>
      </c>
      <c r="K28" s="515">
        <v>0.01</v>
      </c>
      <c r="L28" s="515">
        <v>0.01</v>
      </c>
      <c r="M28" s="515">
        <v>0.02</v>
      </c>
      <c r="N28" s="515">
        <v>1.29E-2</v>
      </c>
      <c r="O28" s="515" t="s">
        <v>668</v>
      </c>
      <c r="P28" s="515">
        <v>1.35E-2</v>
      </c>
      <c r="Q28" s="515">
        <v>1.2500000000000001E-2</v>
      </c>
      <c r="R28" s="515" t="s">
        <v>668</v>
      </c>
      <c r="S28" s="515" t="s">
        <v>668</v>
      </c>
      <c r="T28" s="515" t="s">
        <v>668</v>
      </c>
      <c r="U28" s="515" t="s">
        <v>668</v>
      </c>
      <c r="V28" s="515">
        <v>1.17E-2</v>
      </c>
      <c r="W28" s="515" t="s">
        <v>668</v>
      </c>
      <c r="X28" s="515" t="s">
        <v>668</v>
      </c>
      <c r="Y28" s="515" t="s">
        <v>668</v>
      </c>
      <c r="Z28" s="515" t="s">
        <v>668</v>
      </c>
      <c r="AA28" s="516">
        <v>1.5699999999999999E-2</v>
      </c>
      <c r="AB28" s="515">
        <v>9.7000000000000003E-3</v>
      </c>
      <c r="AC28" s="515">
        <v>1.01E-2</v>
      </c>
      <c r="AD28" s="515">
        <v>1.26E-2</v>
      </c>
      <c r="AE28" s="515">
        <v>1.46E-2</v>
      </c>
      <c r="AF28" s="515">
        <v>0.01</v>
      </c>
      <c r="AG28" s="515">
        <v>0.01</v>
      </c>
      <c r="AH28" s="515">
        <v>0.01</v>
      </c>
      <c r="AI28" s="515">
        <v>0.02</v>
      </c>
      <c r="AJ28" s="515" t="s">
        <v>668</v>
      </c>
      <c r="AK28" s="515">
        <v>0.01</v>
      </c>
      <c r="AL28" s="515" t="s">
        <v>668</v>
      </c>
      <c r="AM28" s="515" t="s">
        <v>668</v>
      </c>
      <c r="AN28" s="515" t="s">
        <v>668</v>
      </c>
      <c r="AO28" s="515">
        <v>0.01</v>
      </c>
      <c r="AP28" s="516">
        <v>1.46E-2</v>
      </c>
      <c r="AQ28" s="515">
        <v>0.01</v>
      </c>
      <c r="AR28" s="515" t="s">
        <v>668</v>
      </c>
      <c r="AS28" s="515" t="s">
        <v>668</v>
      </c>
      <c r="AT28" s="515">
        <v>0.01</v>
      </c>
      <c r="AU28" s="515">
        <v>0.01</v>
      </c>
      <c r="AV28" s="515" t="s">
        <v>668</v>
      </c>
      <c r="AW28" s="515" t="s">
        <v>668</v>
      </c>
      <c r="AX28" s="515">
        <v>0.01</v>
      </c>
      <c r="AY28" s="515" t="s">
        <v>668</v>
      </c>
      <c r="AZ28" s="515">
        <v>0.01</v>
      </c>
      <c r="BA28" s="515" t="s">
        <v>668</v>
      </c>
      <c r="BB28" s="515">
        <v>0.02</v>
      </c>
      <c r="BC28" s="515">
        <v>0.02</v>
      </c>
      <c r="BD28" s="516">
        <v>1.46E-2</v>
      </c>
      <c r="BE28" s="515" t="s">
        <v>668</v>
      </c>
      <c r="BF28" s="515">
        <v>0.01</v>
      </c>
      <c r="BG28" s="515" t="s">
        <v>668</v>
      </c>
      <c r="BH28" s="515" t="s">
        <v>668</v>
      </c>
      <c r="BI28" s="515">
        <v>0.01</v>
      </c>
      <c r="BJ28" s="515" t="s">
        <v>668</v>
      </c>
      <c r="BK28" s="515" t="s">
        <v>668</v>
      </c>
      <c r="BL28" s="515" t="s">
        <v>668</v>
      </c>
      <c r="BM28" s="515">
        <v>0.01</v>
      </c>
      <c r="BN28" s="515">
        <v>0.02</v>
      </c>
      <c r="BO28" s="515">
        <v>0.02</v>
      </c>
      <c r="BP28" s="515">
        <v>0.02</v>
      </c>
      <c r="BQ28" s="515">
        <v>0.02</v>
      </c>
      <c r="BR28" s="515" t="s">
        <v>668</v>
      </c>
      <c r="BS28" s="515">
        <v>0.01</v>
      </c>
      <c r="BT28" s="515">
        <v>0.01</v>
      </c>
      <c r="BU28" s="515" t="s">
        <v>668</v>
      </c>
      <c r="BV28" s="515" t="s">
        <v>668</v>
      </c>
      <c r="BW28" s="515">
        <v>0.01</v>
      </c>
      <c r="BX28" s="515" t="s">
        <v>668</v>
      </c>
      <c r="BY28" s="515" t="s">
        <v>668</v>
      </c>
      <c r="BZ28" s="515" t="s">
        <v>668</v>
      </c>
      <c r="CA28" s="515" t="s">
        <v>668</v>
      </c>
      <c r="CB28" s="515" t="s">
        <v>668</v>
      </c>
      <c r="CC28" s="515">
        <v>0.01</v>
      </c>
      <c r="CD28" s="515">
        <v>0.01</v>
      </c>
      <c r="CE28" s="515">
        <v>0.01</v>
      </c>
      <c r="CF28" s="515" t="s">
        <v>668</v>
      </c>
      <c r="CG28" s="515" t="s">
        <v>668</v>
      </c>
      <c r="CH28" s="515">
        <v>0.01</v>
      </c>
      <c r="CI28" s="515" t="s">
        <v>668</v>
      </c>
      <c r="CJ28" s="515" t="s">
        <v>668</v>
      </c>
      <c r="CK28" s="515">
        <v>0.01</v>
      </c>
      <c r="CL28" s="515">
        <v>0.01</v>
      </c>
      <c r="CM28" s="515">
        <v>0.02</v>
      </c>
      <c r="CN28" s="515">
        <v>0.01</v>
      </c>
      <c r="CO28" s="515">
        <v>0.01</v>
      </c>
      <c r="CP28" s="515" t="s">
        <v>668</v>
      </c>
      <c r="CQ28" s="515" t="s">
        <v>668</v>
      </c>
      <c r="CR28" s="515" t="s">
        <v>668</v>
      </c>
      <c r="CS28" s="515" t="s">
        <v>668</v>
      </c>
      <c r="CT28" s="515" t="s">
        <v>668</v>
      </c>
      <c r="CU28" s="515">
        <v>0.01</v>
      </c>
      <c r="CV28" s="515">
        <v>0.01</v>
      </c>
      <c r="CW28" s="515" t="s">
        <v>668</v>
      </c>
      <c r="CX28" s="515">
        <v>0.02</v>
      </c>
      <c r="CY28" s="515" t="s">
        <v>668</v>
      </c>
      <c r="CZ28" s="515" t="s">
        <v>668</v>
      </c>
      <c r="DA28" s="515" t="s">
        <v>668</v>
      </c>
      <c r="DB28" s="515">
        <v>0.01</v>
      </c>
      <c r="DC28" s="515" t="s">
        <v>668</v>
      </c>
      <c r="DD28" s="515" t="s">
        <v>668</v>
      </c>
      <c r="DE28" s="515" t="s">
        <v>668</v>
      </c>
      <c r="DF28" s="515" t="s">
        <v>668</v>
      </c>
      <c r="DG28" s="515" t="s">
        <v>668</v>
      </c>
      <c r="DH28" s="515" t="s">
        <v>668</v>
      </c>
      <c r="DI28" s="515" t="s">
        <v>668</v>
      </c>
      <c r="DJ28" s="515" t="s">
        <v>668</v>
      </c>
      <c r="DK28" s="515" t="s">
        <v>668</v>
      </c>
      <c r="DL28" s="515">
        <v>0.01</v>
      </c>
      <c r="DM28" s="515">
        <v>0.01</v>
      </c>
      <c r="DN28" s="515">
        <v>0.01</v>
      </c>
      <c r="DO28" s="515" t="s">
        <v>668</v>
      </c>
      <c r="DP28" s="515" t="s">
        <v>668</v>
      </c>
      <c r="DQ28" s="515" t="s">
        <v>668</v>
      </c>
      <c r="DR28" s="515" t="s">
        <v>668</v>
      </c>
      <c r="DS28" s="515" t="s">
        <v>668</v>
      </c>
      <c r="DT28" s="515" t="s">
        <v>668</v>
      </c>
      <c r="DU28" s="515" t="s">
        <v>668</v>
      </c>
      <c r="DV28" s="515" t="s">
        <v>668</v>
      </c>
      <c r="DW28" s="515" t="s">
        <v>668</v>
      </c>
      <c r="DX28" s="515" t="s">
        <v>668</v>
      </c>
      <c r="DY28" s="515" t="s">
        <v>668</v>
      </c>
      <c r="DZ28" s="515" t="s">
        <v>668</v>
      </c>
      <c r="EA28" s="515" t="s">
        <v>668</v>
      </c>
      <c r="EB28" s="515" t="s">
        <v>668</v>
      </c>
      <c r="EC28" s="515" t="s">
        <v>668</v>
      </c>
      <c r="ED28" s="515" t="s">
        <v>668</v>
      </c>
      <c r="EE28" s="515">
        <v>0.02</v>
      </c>
      <c r="EF28" s="515" t="s">
        <v>668</v>
      </c>
      <c r="EG28" s="515">
        <v>0.02</v>
      </c>
      <c r="EH28" s="515" t="s">
        <v>668</v>
      </c>
      <c r="EI28" s="515">
        <v>0.01</v>
      </c>
      <c r="EJ28" s="515">
        <v>0.01</v>
      </c>
      <c r="EK28" s="515" t="s">
        <v>668</v>
      </c>
      <c r="EL28" s="515">
        <v>0.01</v>
      </c>
      <c r="EM28" s="515">
        <v>0.01</v>
      </c>
      <c r="EN28" s="515">
        <v>0.01</v>
      </c>
      <c r="EO28" s="515">
        <v>0.01</v>
      </c>
      <c r="EP28" s="515" t="s">
        <v>668</v>
      </c>
      <c r="EQ28" s="515" t="s">
        <v>668</v>
      </c>
      <c r="ER28" s="515" t="s">
        <v>668</v>
      </c>
      <c r="ES28" s="515">
        <v>0.02</v>
      </c>
      <c r="ET28" s="515">
        <v>0.01</v>
      </c>
      <c r="EU28" s="515" t="s">
        <v>668</v>
      </c>
      <c r="EV28" s="515">
        <v>0.01</v>
      </c>
      <c r="EW28" s="515">
        <v>0.01</v>
      </c>
      <c r="EX28" s="515">
        <v>0.01</v>
      </c>
      <c r="EY28" s="515">
        <v>0.01</v>
      </c>
      <c r="EZ28" s="515">
        <v>0.01</v>
      </c>
      <c r="FA28" s="515">
        <v>0.01</v>
      </c>
      <c r="FB28" s="515">
        <v>0.01</v>
      </c>
      <c r="FC28" s="515">
        <v>0.01</v>
      </c>
      <c r="FD28" s="515">
        <v>0.01</v>
      </c>
      <c r="FE28" s="515">
        <v>0.01</v>
      </c>
      <c r="FF28" s="515">
        <v>0.01</v>
      </c>
      <c r="FG28" s="515">
        <v>0.01</v>
      </c>
      <c r="FH28" s="515">
        <v>0.01</v>
      </c>
      <c r="FI28" s="515">
        <v>0.01</v>
      </c>
      <c r="FJ28" s="515">
        <v>0.01</v>
      </c>
      <c r="FK28" s="515">
        <v>0.01</v>
      </c>
      <c r="FL28" s="515">
        <v>0.01</v>
      </c>
      <c r="FM28" s="515">
        <v>0.01</v>
      </c>
      <c r="FN28" s="515">
        <v>0.01</v>
      </c>
      <c r="FO28" s="515">
        <v>0.01</v>
      </c>
      <c r="FP28" s="515">
        <v>0.01</v>
      </c>
      <c r="FQ28" s="515">
        <v>0.01</v>
      </c>
      <c r="FR28" s="515">
        <v>0.01</v>
      </c>
      <c r="FS28" s="515">
        <v>0.01</v>
      </c>
      <c r="FT28" s="515">
        <v>0.01</v>
      </c>
      <c r="FU28" s="515" t="s">
        <v>668</v>
      </c>
      <c r="FV28" s="515" t="s">
        <v>668</v>
      </c>
      <c r="FW28" s="515" t="s">
        <v>668</v>
      </c>
      <c r="FX28" s="515" t="s">
        <v>668</v>
      </c>
      <c r="FY28" s="515">
        <v>0.01</v>
      </c>
      <c r="FZ28" s="515" t="s">
        <v>668</v>
      </c>
      <c r="GA28" s="515" t="s">
        <v>668</v>
      </c>
      <c r="GB28" s="515">
        <v>0.02</v>
      </c>
      <c r="GC28" s="515" t="s">
        <v>668</v>
      </c>
      <c r="GD28" s="515" t="s">
        <v>668</v>
      </c>
      <c r="GE28" s="515">
        <v>0.02</v>
      </c>
      <c r="GF28" s="515" t="s">
        <v>668</v>
      </c>
      <c r="GG28" s="515" t="s">
        <v>668</v>
      </c>
      <c r="GH28" s="515">
        <v>0.01</v>
      </c>
      <c r="GI28" s="515">
        <v>0.01</v>
      </c>
      <c r="GJ28" s="515">
        <v>0.02</v>
      </c>
      <c r="GK28" s="515">
        <v>0.02</v>
      </c>
      <c r="GL28" s="515">
        <v>0.02</v>
      </c>
      <c r="GM28" s="515">
        <v>0.02</v>
      </c>
      <c r="GN28" s="515">
        <v>0.02</v>
      </c>
      <c r="GO28" s="515">
        <v>0.01</v>
      </c>
      <c r="GP28" s="515">
        <v>0.01</v>
      </c>
      <c r="GQ28" s="515">
        <v>0.01</v>
      </c>
      <c r="GR28" s="515">
        <v>0.01</v>
      </c>
      <c r="GS28" s="515" t="s">
        <v>668</v>
      </c>
      <c r="GT28" s="515" t="s">
        <v>668</v>
      </c>
      <c r="GU28" s="515">
        <v>0.01</v>
      </c>
      <c r="GV28" s="515" t="s">
        <v>668</v>
      </c>
      <c r="GW28" s="515" t="s">
        <v>668</v>
      </c>
      <c r="GX28" s="515" t="s">
        <v>668</v>
      </c>
      <c r="GY28" s="515">
        <v>0.01</v>
      </c>
      <c r="GZ28" s="515">
        <v>0.01</v>
      </c>
      <c r="HA28" s="515" t="s">
        <v>668</v>
      </c>
      <c r="HB28" s="515" t="s">
        <v>668</v>
      </c>
      <c r="HC28" s="515">
        <v>0.02</v>
      </c>
      <c r="HD28" s="515" t="s">
        <v>668</v>
      </c>
      <c r="HE28" s="515" t="s">
        <v>668</v>
      </c>
      <c r="HF28" s="515" t="s">
        <v>668</v>
      </c>
      <c r="HG28" s="515" t="s">
        <v>668</v>
      </c>
      <c r="HH28" s="515" t="s">
        <v>668</v>
      </c>
      <c r="HI28" s="515" t="s">
        <v>668</v>
      </c>
      <c r="HJ28" s="515" t="s">
        <v>668</v>
      </c>
      <c r="HK28" s="515" t="s">
        <v>668</v>
      </c>
      <c r="HL28" s="515">
        <v>0.01</v>
      </c>
      <c r="HM28" s="515">
        <v>0.01</v>
      </c>
      <c r="HN28" s="515" t="s">
        <v>668</v>
      </c>
      <c r="HO28" s="515" t="s">
        <v>668</v>
      </c>
      <c r="HP28" s="515" t="s">
        <v>668</v>
      </c>
      <c r="HQ28" s="515" t="s">
        <v>668</v>
      </c>
      <c r="HR28" s="515" t="s">
        <v>668</v>
      </c>
      <c r="HS28" s="515">
        <v>0.02</v>
      </c>
      <c r="HT28" s="515">
        <v>0.02</v>
      </c>
      <c r="HU28" s="515" t="s">
        <v>668</v>
      </c>
      <c r="HV28" s="515" t="s">
        <v>668</v>
      </c>
      <c r="HW28" s="515" t="s">
        <v>668</v>
      </c>
      <c r="HX28" s="515">
        <v>0.01</v>
      </c>
      <c r="HY28" s="515">
        <v>0.01</v>
      </c>
      <c r="HZ28" s="515">
        <v>0.01</v>
      </c>
      <c r="IA28" s="515">
        <v>0.02</v>
      </c>
      <c r="IB28" s="515">
        <v>0.01</v>
      </c>
      <c r="IC28" s="515">
        <v>0.01</v>
      </c>
      <c r="ID28" s="515">
        <v>0.01</v>
      </c>
      <c r="IE28" s="515">
        <v>0.02</v>
      </c>
      <c r="IF28" s="515">
        <v>0.01</v>
      </c>
      <c r="IG28" s="515">
        <v>0.01</v>
      </c>
      <c r="IH28" s="575">
        <v>0.01</v>
      </c>
    </row>
    <row r="29" spans="4:242" s="503" customFormat="1" ht="15.95" customHeight="1" x14ac:dyDescent="0.2">
      <c r="D29" s="585" t="s">
        <v>505</v>
      </c>
      <c r="G29" s="504" t="s">
        <v>506</v>
      </c>
      <c r="H29" s="517">
        <v>0.02</v>
      </c>
      <c r="I29" s="517">
        <v>0.01</v>
      </c>
      <c r="J29" s="517">
        <v>2.3300000000000001E-2</v>
      </c>
      <c r="K29" s="517">
        <v>0.02</v>
      </c>
      <c r="L29" s="517">
        <v>0.02</v>
      </c>
      <c r="M29" s="517">
        <v>0.02</v>
      </c>
      <c r="N29" s="517">
        <v>1.8599999999999998E-2</v>
      </c>
      <c r="O29" s="517" t="s">
        <v>668</v>
      </c>
      <c r="P29" s="517">
        <v>2.0199999999999999E-2</v>
      </c>
      <c r="Q29" s="517">
        <v>1.8100000000000002E-2</v>
      </c>
      <c r="R29" s="517" t="s">
        <v>668</v>
      </c>
      <c r="S29" s="517" t="s">
        <v>668</v>
      </c>
      <c r="T29" s="517" t="s">
        <v>668</v>
      </c>
      <c r="U29" s="517" t="s">
        <v>668</v>
      </c>
      <c r="V29" s="517">
        <v>1.37E-2</v>
      </c>
      <c r="W29" s="517" t="s">
        <v>668</v>
      </c>
      <c r="X29" s="517" t="s">
        <v>668</v>
      </c>
      <c r="Y29" s="517" t="s">
        <v>668</v>
      </c>
      <c r="Z29" s="517" t="s">
        <v>668</v>
      </c>
      <c r="AA29" s="518">
        <v>2.3040000000000001E-2</v>
      </c>
      <c r="AB29" s="517">
        <v>1.41E-2</v>
      </c>
      <c r="AC29" s="517">
        <v>1.5299999999999999E-2</v>
      </c>
      <c r="AD29" s="517">
        <v>2.1700000000000001E-2</v>
      </c>
      <c r="AE29" s="517">
        <v>1.15E-2</v>
      </c>
      <c r="AF29" s="517">
        <v>0.02</v>
      </c>
      <c r="AG29" s="517">
        <v>0.02</v>
      </c>
      <c r="AH29" s="517">
        <v>0.02</v>
      </c>
      <c r="AI29" s="517">
        <v>0.02</v>
      </c>
      <c r="AJ29" s="517" t="s">
        <v>668</v>
      </c>
      <c r="AK29" s="517">
        <v>0.02</v>
      </c>
      <c r="AL29" s="517" t="s">
        <v>668</v>
      </c>
      <c r="AM29" s="517" t="s">
        <v>668</v>
      </c>
      <c r="AN29" s="517" t="s">
        <v>668</v>
      </c>
      <c r="AO29" s="517">
        <v>0.02</v>
      </c>
      <c r="AP29" s="518">
        <v>1.78E-2</v>
      </c>
      <c r="AQ29" s="517">
        <v>0.01</v>
      </c>
      <c r="AR29" s="517" t="s">
        <v>668</v>
      </c>
      <c r="AS29" s="517" t="s">
        <v>668</v>
      </c>
      <c r="AT29" s="517">
        <v>0.02</v>
      </c>
      <c r="AU29" s="517">
        <v>0.01</v>
      </c>
      <c r="AV29" s="517" t="s">
        <v>668</v>
      </c>
      <c r="AW29" s="517" t="s">
        <v>668</v>
      </c>
      <c r="AX29" s="517">
        <v>0.01</v>
      </c>
      <c r="AY29" s="517" t="s">
        <v>668</v>
      </c>
      <c r="AZ29" s="517">
        <v>0.01</v>
      </c>
      <c r="BA29" s="517" t="s">
        <v>668</v>
      </c>
      <c r="BB29" s="517">
        <v>0.03</v>
      </c>
      <c r="BC29" s="517">
        <v>0.03</v>
      </c>
      <c r="BD29" s="518">
        <v>1.77E-2</v>
      </c>
      <c r="BE29" s="517" t="s">
        <v>668</v>
      </c>
      <c r="BF29" s="517">
        <v>0.01</v>
      </c>
      <c r="BG29" s="517" t="s">
        <v>668</v>
      </c>
      <c r="BH29" s="517" t="s">
        <v>668</v>
      </c>
      <c r="BI29" s="517">
        <v>0.02</v>
      </c>
      <c r="BJ29" s="517" t="s">
        <v>668</v>
      </c>
      <c r="BK29" s="517" t="s">
        <v>668</v>
      </c>
      <c r="BL29" s="517" t="s">
        <v>668</v>
      </c>
      <c r="BM29" s="517">
        <v>0.02</v>
      </c>
      <c r="BN29" s="517">
        <v>0.03</v>
      </c>
      <c r="BO29" s="517">
        <v>0.03</v>
      </c>
      <c r="BP29" s="517">
        <v>0.03</v>
      </c>
      <c r="BQ29" s="517">
        <v>0.03</v>
      </c>
      <c r="BR29" s="517" t="s">
        <v>668</v>
      </c>
      <c r="BS29" s="517">
        <v>0.02</v>
      </c>
      <c r="BT29" s="517">
        <v>0.02</v>
      </c>
      <c r="BU29" s="517" t="s">
        <v>668</v>
      </c>
      <c r="BV29" s="517" t="s">
        <v>668</v>
      </c>
      <c r="BW29" s="517">
        <v>0.02</v>
      </c>
      <c r="BX29" s="517" t="s">
        <v>668</v>
      </c>
      <c r="BY29" s="517" t="s">
        <v>668</v>
      </c>
      <c r="BZ29" s="517" t="s">
        <v>668</v>
      </c>
      <c r="CA29" s="517" t="s">
        <v>668</v>
      </c>
      <c r="CB29" s="517" t="s">
        <v>668</v>
      </c>
      <c r="CC29" s="517">
        <v>0.01</v>
      </c>
      <c r="CD29" s="517">
        <v>0.01</v>
      </c>
      <c r="CE29" s="517">
        <v>0.01</v>
      </c>
      <c r="CF29" s="517" t="s">
        <v>668</v>
      </c>
      <c r="CG29" s="517" t="s">
        <v>668</v>
      </c>
      <c r="CH29" s="517">
        <v>0.02</v>
      </c>
      <c r="CI29" s="517" t="s">
        <v>668</v>
      </c>
      <c r="CJ29" s="517" t="s">
        <v>668</v>
      </c>
      <c r="CK29" s="517">
        <v>0.02</v>
      </c>
      <c r="CL29" s="517">
        <v>0.02</v>
      </c>
      <c r="CM29" s="517">
        <v>0.03</v>
      </c>
      <c r="CN29" s="517">
        <v>0.02</v>
      </c>
      <c r="CO29" s="517">
        <v>0.02</v>
      </c>
      <c r="CP29" s="517" t="s">
        <v>668</v>
      </c>
      <c r="CQ29" s="517" t="s">
        <v>668</v>
      </c>
      <c r="CR29" s="517" t="s">
        <v>668</v>
      </c>
      <c r="CS29" s="517" t="s">
        <v>668</v>
      </c>
      <c r="CT29" s="517" t="s">
        <v>668</v>
      </c>
      <c r="CU29" s="517">
        <v>0.02</v>
      </c>
      <c r="CV29" s="517">
        <v>0.01</v>
      </c>
      <c r="CW29" s="517" t="s">
        <v>668</v>
      </c>
      <c r="CX29" s="517">
        <v>0.02</v>
      </c>
      <c r="CY29" s="517" t="s">
        <v>668</v>
      </c>
      <c r="CZ29" s="517" t="s">
        <v>668</v>
      </c>
      <c r="DA29" s="517" t="s">
        <v>668</v>
      </c>
      <c r="DB29" s="517">
        <v>0.01</v>
      </c>
      <c r="DC29" s="517" t="s">
        <v>668</v>
      </c>
      <c r="DD29" s="517" t="s">
        <v>668</v>
      </c>
      <c r="DE29" s="517" t="s">
        <v>668</v>
      </c>
      <c r="DF29" s="517" t="s">
        <v>668</v>
      </c>
      <c r="DG29" s="517" t="s">
        <v>668</v>
      </c>
      <c r="DH29" s="517" t="s">
        <v>668</v>
      </c>
      <c r="DI29" s="517" t="s">
        <v>668</v>
      </c>
      <c r="DJ29" s="517" t="s">
        <v>668</v>
      </c>
      <c r="DK29" s="517" t="s">
        <v>668</v>
      </c>
      <c r="DL29" s="517">
        <v>0.02</v>
      </c>
      <c r="DM29" s="517">
        <v>0.02</v>
      </c>
      <c r="DN29" s="517">
        <v>0.02</v>
      </c>
      <c r="DO29" s="517" t="s">
        <v>668</v>
      </c>
      <c r="DP29" s="517" t="s">
        <v>668</v>
      </c>
      <c r="DQ29" s="517" t="s">
        <v>668</v>
      </c>
      <c r="DR29" s="517" t="s">
        <v>668</v>
      </c>
      <c r="DS29" s="517" t="s">
        <v>668</v>
      </c>
      <c r="DT29" s="517" t="s">
        <v>668</v>
      </c>
      <c r="DU29" s="517" t="s">
        <v>668</v>
      </c>
      <c r="DV29" s="517" t="s">
        <v>668</v>
      </c>
      <c r="DW29" s="517" t="s">
        <v>668</v>
      </c>
      <c r="DX29" s="517" t="s">
        <v>668</v>
      </c>
      <c r="DY29" s="517" t="s">
        <v>668</v>
      </c>
      <c r="DZ29" s="517" t="s">
        <v>668</v>
      </c>
      <c r="EA29" s="517" t="s">
        <v>668</v>
      </c>
      <c r="EB29" s="517" t="s">
        <v>668</v>
      </c>
      <c r="EC29" s="517" t="s">
        <v>668</v>
      </c>
      <c r="ED29" s="517" t="s">
        <v>668</v>
      </c>
      <c r="EE29" s="517">
        <v>0.02</v>
      </c>
      <c r="EF29" s="517" t="s">
        <v>668</v>
      </c>
      <c r="EG29" s="517">
        <v>0.02</v>
      </c>
      <c r="EH29" s="517" t="s">
        <v>668</v>
      </c>
      <c r="EI29" s="517">
        <v>0.02</v>
      </c>
      <c r="EJ29" s="517">
        <v>0.02</v>
      </c>
      <c r="EK29" s="517" t="s">
        <v>668</v>
      </c>
      <c r="EL29" s="517">
        <v>0.01</v>
      </c>
      <c r="EM29" s="517">
        <v>0.01</v>
      </c>
      <c r="EN29" s="517">
        <v>0.01</v>
      </c>
      <c r="EO29" s="517">
        <v>0.01</v>
      </c>
      <c r="EP29" s="517" t="s">
        <v>668</v>
      </c>
      <c r="EQ29" s="517" t="s">
        <v>668</v>
      </c>
      <c r="ER29" s="517" t="s">
        <v>668</v>
      </c>
      <c r="ES29" s="517">
        <v>0.02</v>
      </c>
      <c r="ET29" s="517">
        <v>0.01</v>
      </c>
      <c r="EU29" s="517" t="s">
        <v>668</v>
      </c>
      <c r="EV29" s="517">
        <v>0.01</v>
      </c>
      <c r="EW29" s="517">
        <v>0.01</v>
      </c>
      <c r="EX29" s="517">
        <v>0.01</v>
      </c>
      <c r="EY29" s="517">
        <v>0.01</v>
      </c>
      <c r="EZ29" s="517">
        <v>0.01</v>
      </c>
      <c r="FA29" s="517">
        <v>0.01</v>
      </c>
      <c r="FB29" s="517">
        <v>0.01</v>
      </c>
      <c r="FC29" s="517">
        <v>0.01</v>
      </c>
      <c r="FD29" s="517">
        <v>0.01</v>
      </c>
      <c r="FE29" s="517">
        <v>0.02</v>
      </c>
      <c r="FF29" s="517">
        <v>0.02</v>
      </c>
      <c r="FG29" s="517">
        <v>0.02</v>
      </c>
      <c r="FH29" s="517">
        <v>0.02</v>
      </c>
      <c r="FI29" s="517">
        <v>0.02</v>
      </c>
      <c r="FJ29" s="517">
        <v>0.02</v>
      </c>
      <c r="FK29" s="517">
        <v>0.02</v>
      </c>
      <c r="FL29" s="517">
        <v>0.02</v>
      </c>
      <c r="FM29" s="517">
        <v>0.02</v>
      </c>
      <c r="FN29" s="517">
        <v>0.02</v>
      </c>
      <c r="FO29" s="517">
        <v>0.02</v>
      </c>
      <c r="FP29" s="517">
        <v>0.02</v>
      </c>
      <c r="FQ29" s="517">
        <v>0.02</v>
      </c>
      <c r="FR29" s="517">
        <v>0.02</v>
      </c>
      <c r="FS29" s="517">
        <v>0.01</v>
      </c>
      <c r="FT29" s="517">
        <v>0.02</v>
      </c>
      <c r="FU29" s="517" t="s">
        <v>668</v>
      </c>
      <c r="FV29" s="517" t="s">
        <v>668</v>
      </c>
      <c r="FW29" s="517" t="s">
        <v>668</v>
      </c>
      <c r="FX29" s="517" t="s">
        <v>668</v>
      </c>
      <c r="FY29" s="517">
        <v>0.02</v>
      </c>
      <c r="FZ29" s="517" t="s">
        <v>668</v>
      </c>
      <c r="GA29" s="517" t="s">
        <v>668</v>
      </c>
      <c r="GB29" s="517">
        <v>0.02</v>
      </c>
      <c r="GC29" s="517" t="s">
        <v>668</v>
      </c>
      <c r="GD29" s="517" t="s">
        <v>668</v>
      </c>
      <c r="GE29" s="517">
        <v>0.02</v>
      </c>
      <c r="GF29" s="517" t="s">
        <v>668</v>
      </c>
      <c r="GG29" s="517" t="s">
        <v>668</v>
      </c>
      <c r="GH29" s="517">
        <v>0.02</v>
      </c>
      <c r="GI29" s="517">
        <v>0.02</v>
      </c>
      <c r="GJ29" s="517">
        <v>0.03</v>
      </c>
      <c r="GK29" s="517">
        <v>0.03</v>
      </c>
      <c r="GL29" s="517">
        <v>0.03</v>
      </c>
      <c r="GM29" s="517">
        <v>0.02</v>
      </c>
      <c r="GN29" s="517">
        <v>0.02</v>
      </c>
      <c r="GO29" s="517">
        <v>0.02</v>
      </c>
      <c r="GP29" s="517">
        <v>0.02</v>
      </c>
      <c r="GQ29" s="517">
        <v>0.02</v>
      </c>
      <c r="GR29" s="517">
        <v>0.02</v>
      </c>
      <c r="GS29" s="517" t="s">
        <v>668</v>
      </c>
      <c r="GT29" s="517" t="s">
        <v>668</v>
      </c>
      <c r="GU29" s="517">
        <v>0.01</v>
      </c>
      <c r="GV29" s="517" t="s">
        <v>668</v>
      </c>
      <c r="GW29" s="517" t="s">
        <v>668</v>
      </c>
      <c r="GX29" s="517" t="s">
        <v>668</v>
      </c>
      <c r="GY29" s="517">
        <v>0.01</v>
      </c>
      <c r="GZ29" s="517">
        <v>0.02</v>
      </c>
      <c r="HA29" s="517" t="s">
        <v>668</v>
      </c>
      <c r="HB29" s="517" t="s">
        <v>668</v>
      </c>
      <c r="HC29" s="517">
        <v>0.03</v>
      </c>
      <c r="HD29" s="517" t="s">
        <v>668</v>
      </c>
      <c r="HE29" s="517" t="s">
        <v>668</v>
      </c>
      <c r="HF29" s="517" t="s">
        <v>668</v>
      </c>
      <c r="HG29" s="517" t="s">
        <v>668</v>
      </c>
      <c r="HH29" s="517" t="s">
        <v>668</v>
      </c>
      <c r="HI29" s="517" t="s">
        <v>668</v>
      </c>
      <c r="HJ29" s="517" t="s">
        <v>668</v>
      </c>
      <c r="HK29" s="517" t="s">
        <v>668</v>
      </c>
      <c r="HL29" s="517">
        <v>0.01</v>
      </c>
      <c r="HM29" s="517">
        <v>0.01</v>
      </c>
      <c r="HN29" s="517" t="s">
        <v>668</v>
      </c>
      <c r="HO29" s="517" t="s">
        <v>668</v>
      </c>
      <c r="HP29" s="517" t="s">
        <v>668</v>
      </c>
      <c r="HQ29" s="517" t="s">
        <v>668</v>
      </c>
      <c r="HR29" s="517" t="s">
        <v>668</v>
      </c>
      <c r="HS29" s="517">
        <v>0.02</v>
      </c>
      <c r="HT29" s="517">
        <v>0.01</v>
      </c>
      <c r="HU29" s="517" t="s">
        <v>668</v>
      </c>
      <c r="HV29" s="517" t="s">
        <v>668</v>
      </c>
      <c r="HW29" s="517" t="s">
        <v>668</v>
      </c>
      <c r="HX29" s="517">
        <v>0.02</v>
      </c>
      <c r="HY29" s="517">
        <v>0.02</v>
      </c>
      <c r="HZ29" s="517">
        <v>0.01</v>
      </c>
      <c r="IA29" s="517">
        <v>0.02</v>
      </c>
      <c r="IB29" s="517">
        <v>0.02</v>
      </c>
      <c r="IC29" s="517">
        <v>0.02</v>
      </c>
      <c r="ID29" s="517">
        <v>0.02</v>
      </c>
      <c r="IE29" s="517">
        <v>0.02</v>
      </c>
      <c r="IF29" s="517">
        <v>0.02</v>
      </c>
      <c r="IG29" s="517">
        <v>0.02</v>
      </c>
      <c r="IH29" s="576">
        <v>0.01</v>
      </c>
    </row>
    <row r="30" spans="4:242" s="503" customFormat="1" ht="15.95" customHeight="1" x14ac:dyDescent="0.2">
      <c r="D30" s="585" t="s">
        <v>507</v>
      </c>
      <c r="G30" s="504" t="s">
        <v>508</v>
      </c>
      <c r="H30" s="515">
        <v>0.22742892845985632</v>
      </c>
      <c r="I30" s="515">
        <v>0.42638146167557933</v>
      </c>
      <c r="J30" s="515">
        <v>0.57757545981809655</v>
      </c>
      <c r="K30" s="515">
        <v>0.45267857142857149</v>
      </c>
      <c r="L30" s="515">
        <v>0.44146126760563381</v>
      </c>
      <c r="M30" s="515">
        <v>0.46790980052038161</v>
      </c>
      <c r="N30" s="515">
        <v>0.44439128793895744</v>
      </c>
      <c r="O30" s="515" t="s">
        <v>668</v>
      </c>
      <c r="P30" s="515">
        <v>0.46155289880982514</v>
      </c>
      <c r="Q30" s="515">
        <v>0.44890038502676927</v>
      </c>
      <c r="R30" s="515" t="s">
        <v>668</v>
      </c>
      <c r="S30" s="515" t="s">
        <v>668</v>
      </c>
      <c r="T30" s="515" t="s">
        <v>668</v>
      </c>
      <c r="U30" s="515" t="s">
        <v>668</v>
      </c>
      <c r="V30" s="515">
        <v>0.31859766556199287</v>
      </c>
      <c r="W30" s="515" t="s">
        <v>668</v>
      </c>
      <c r="X30" s="515" t="s">
        <v>668</v>
      </c>
      <c r="Y30" s="515" t="s">
        <v>668</v>
      </c>
      <c r="Z30" s="515" t="s">
        <v>668</v>
      </c>
      <c r="AA30" s="516">
        <v>0.67379999999999995</v>
      </c>
      <c r="AB30" s="515">
        <v>0.41921019599127884</v>
      </c>
      <c r="AC30" s="515">
        <v>0.44197483404284471</v>
      </c>
      <c r="AD30" s="515">
        <v>0.48214571949796542</v>
      </c>
      <c r="AE30" s="515">
        <v>0.23121124386349839</v>
      </c>
      <c r="AF30" s="515">
        <v>0.43035157988429018</v>
      </c>
      <c r="AG30" s="515">
        <v>0.43035157988429018</v>
      </c>
      <c r="AH30" s="515">
        <v>0.45511953089760931</v>
      </c>
      <c r="AI30" s="515">
        <v>0.47224631396357336</v>
      </c>
      <c r="AJ30" s="515" t="s">
        <v>668</v>
      </c>
      <c r="AK30" s="515">
        <v>0.43124165554072097</v>
      </c>
      <c r="AL30" s="515" t="s">
        <v>668</v>
      </c>
      <c r="AM30" s="515" t="s">
        <v>668</v>
      </c>
      <c r="AN30" s="515" t="s">
        <v>668</v>
      </c>
      <c r="AO30" s="515">
        <v>0.45311902028319939</v>
      </c>
      <c r="AP30" s="516">
        <v>0.49709999999999999</v>
      </c>
      <c r="AQ30" s="515">
        <v>0.40304317055909411</v>
      </c>
      <c r="AR30" s="515" t="s">
        <v>668</v>
      </c>
      <c r="AS30" s="515" t="s">
        <v>668</v>
      </c>
      <c r="AT30" s="515">
        <v>0.51235230934479048</v>
      </c>
      <c r="AU30" s="515">
        <v>0.27992681651855728</v>
      </c>
      <c r="AV30" s="515" t="s">
        <v>668</v>
      </c>
      <c r="AW30" s="515" t="s">
        <v>668</v>
      </c>
      <c r="AX30" s="515">
        <v>0.27833140208574741</v>
      </c>
      <c r="AY30" s="515" t="s">
        <v>668</v>
      </c>
      <c r="AZ30" s="515">
        <v>0.33731133731133733</v>
      </c>
      <c r="BA30" s="515" t="s">
        <v>668</v>
      </c>
      <c r="BB30" s="515">
        <v>0.46130825138948262</v>
      </c>
      <c r="BC30" s="515">
        <v>0.46130825138948262</v>
      </c>
      <c r="BD30" s="516">
        <v>0.49530000000000002</v>
      </c>
      <c r="BE30" s="515" t="s">
        <v>668</v>
      </c>
      <c r="BF30" s="515">
        <v>0.34417756156886592</v>
      </c>
      <c r="BG30" s="515" t="s">
        <v>668</v>
      </c>
      <c r="BH30" s="515" t="s">
        <v>668</v>
      </c>
      <c r="BI30" s="515">
        <v>0.46589018302828616</v>
      </c>
      <c r="BJ30" s="515" t="s">
        <v>668</v>
      </c>
      <c r="BK30" s="515" t="s">
        <v>668</v>
      </c>
      <c r="BL30" s="515" t="s">
        <v>668</v>
      </c>
      <c r="BM30" s="515">
        <v>0.44146126760563381</v>
      </c>
      <c r="BN30" s="515">
        <v>0.49251760563380281</v>
      </c>
      <c r="BO30" s="515">
        <v>0.52124891587163924</v>
      </c>
      <c r="BP30" s="515">
        <v>0.54900260190806593</v>
      </c>
      <c r="BQ30" s="515">
        <v>0.52124891587163924</v>
      </c>
      <c r="BR30" s="515" t="s">
        <v>668</v>
      </c>
      <c r="BS30" s="515">
        <v>0.43255620316402998</v>
      </c>
      <c r="BT30" s="515">
        <v>0.43482026851450839</v>
      </c>
      <c r="BU30" s="515" t="s">
        <v>668</v>
      </c>
      <c r="BV30" s="515" t="s">
        <v>668</v>
      </c>
      <c r="BW30" s="515">
        <v>0.43325705568268497</v>
      </c>
      <c r="BX30" s="515" t="s">
        <v>668</v>
      </c>
      <c r="BY30" s="515" t="s">
        <v>668</v>
      </c>
      <c r="BZ30" s="515" t="s">
        <v>668</v>
      </c>
      <c r="CA30" s="515" t="s">
        <v>668</v>
      </c>
      <c r="CB30" s="515" t="s">
        <v>668</v>
      </c>
      <c r="CC30" s="515">
        <v>0.40211267605633805</v>
      </c>
      <c r="CD30" s="515">
        <v>0.28090154211150653</v>
      </c>
      <c r="CE30" s="515">
        <v>0.28150961310230238</v>
      </c>
      <c r="CF30" s="515" t="s">
        <v>668</v>
      </c>
      <c r="CG30" s="515" t="s">
        <v>668</v>
      </c>
      <c r="CH30" s="515">
        <v>0.46087888531618432</v>
      </c>
      <c r="CI30" s="515" t="s">
        <v>668</v>
      </c>
      <c r="CJ30" s="515" t="s">
        <v>668</v>
      </c>
      <c r="CK30" s="515">
        <v>0.46722523410547073</v>
      </c>
      <c r="CL30" s="515">
        <v>0.43722520762090866</v>
      </c>
      <c r="CM30" s="515">
        <v>0.46127366609294324</v>
      </c>
      <c r="CN30" s="515">
        <v>0.39675074818298417</v>
      </c>
      <c r="CO30" s="515">
        <v>0.43104838709677418</v>
      </c>
      <c r="CP30" s="515" t="s">
        <v>668</v>
      </c>
      <c r="CQ30" s="515" t="s">
        <v>668</v>
      </c>
      <c r="CR30" s="515" t="s">
        <v>668</v>
      </c>
      <c r="CS30" s="515" t="s">
        <v>668</v>
      </c>
      <c r="CT30" s="515" t="s">
        <v>668</v>
      </c>
      <c r="CU30" s="515">
        <v>0.46578366445916108</v>
      </c>
      <c r="CV30" s="515">
        <v>0.45504994450610431</v>
      </c>
      <c r="CW30" s="515" t="s">
        <v>668</v>
      </c>
      <c r="CX30" s="515">
        <v>0.410842863193562</v>
      </c>
      <c r="CY30" s="515" t="s">
        <v>668</v>
      </c>
      <c r="CZ30" s="515" t="s">
        <v>668</v>
      </c>
      <c r="DA30" s="515" t="s">
        <v>668</v>
      </c>
      <c r="DB30" s="515">
        <v>0.32532127558305568</v>
      </c>
      <c r="DC30" s="515" t="s">
        <v>668</v>
      </c>
      <c r="DD30" s="515" t="s">
        <v>668</v>
      </c>
      <c r="DE30" s="515" t="s">
        <v>668</v>
      </c>
      <c r="DF30" s="515" t="s">
        <v>668</v>
      </c>
      <c r="DG30" s="515" t="s">
        <v>668</v>
      </c>
      <c r="DH30" s="515" t="s">
        <v>668</v>
      </c>
      <c r="DI30" s="515" t="s">
        <v>668</v>
      </c>
      <c r="DJ30" s="515" t="s">
        <v>668</v>
      </c>
      <c r="DK30" s="515" t="s">
        <v>668</v>
      </c>
      <c r="DL30" s="515">
        <v>0.44103248776145976</v>
      </c>
      <c r="DM30" s="515">
        <v>0.39500860585197933</v>
      </c>
      <c r="DN30" s="515">
        <v>0.39675074818298417</v>
      </c>
      <c r="DO30" s="515" t="s">
        <v>668</v>
      </c>
      <c r="DP30" s="515" t="s">
        <v>668</v>
      </c>
      <c r="DQ30" s="515" t="s">
        <v>668</v>
      </c>
      <c r="DR30" s="515" t="s">
        <v>668</v>
      </c>
      <c r="DS30" s="515" t="s">
        <v>668</v>
      </c>
      <c r="DT30" s="515" t="s">
        <v>668</v>
      </c>
      <c r="DU30" s="515" t="s">
        <v>668</v>
      </c>
      <c r="DV30" s="515" t="s">
        <v>668</v>
      </c>
      <c r="DW30" s="515" t="s">
        <v>668</v>
      </c>
      <c r="DX30" s="515" t="s">
        <v>668</v>
      </c>
      <c r="DY30" s="515" t="s">
        <v>668</v>
      </c>
      <c r="DZ30" s="515" t="s">
        <v>668</v>
      </c>
      <c r="EA30" s="515" t="s">
        <v>668</v>
      </c>
      <c r="EB30" s="515" t="s">
        <v>668</v>
      </c>
      <c r="EC30" s="515" t="s">
        <v>668</v>
      </c>
      <c r="ED30" s="515" t="s">
        <v>668</v>
      </c>
      <c r="EE30" s="515">
        <v>0.70508658008657998</v>
      </c>
      <c r="EF30" s="515" t="s">
        <v>668</v>
      </c>
      <c r="EG30" s="515">
        <v>0.47219251336898399</v>
      </c>
      <c r="EH30" s="515" t="s">
        <v>668</v>
      </c>
      <c r="EI30" s="515">
        <v>0.50276520864756158</v>
      </c>
      <c r="EJ30" s="515">
        <v>0.55045871559633019</v>
      </c>
      <c r="EK30" s="515" t="s">
        <v>668</v>
      </c>
      <c r="EL30" s="515">
        <v>0.48501664816870149</v>
      </c>
      <c r="EM30" s="515">
        <v>0.47558268590455055</v>
      </c>
      <c r="EN30" s="515">
        <v>0.48501664816870149</v>
      </c>
      <c r="EO30" s="515">
        <v>0.48501664816870149</v>
      </c>
      <c r="EP30" s="515" t="s">
        <v>668</v>
      </c>
      <c r="EQ30" s="515" t="s">
        <v>668</v>
      </c>
      <c r="ER30" s="515" t="s">
        <v>668</v>
      </c>
      <c r="ES30" s="515">
        <v>0.67869034406215323</v>
      </c>
      <c r="ET30" s="515">
        <v>0.34463961235614776</v>
      </c>
      <c r="EU30" s="515" t="s">
        <v>668</v>
      </c>
      <c r="EV30" s="515">
        <v>0.42638146167557933</v>
      </c>
      <c r="EW30" s="515">
        <v>0.44099821746880569</v>
      </c>
      <c r="EX30" s="515">
        <v>0.32192513368983955</v>
      </c>
      <c r="EY30" s="515">
        <v>0.42638146167557933</v>
      </c>
      <c r="EZ30" s="515">
        <v>0.42638146167557933</v>
      </c>
      <c r="FA30" s="515">
        <v>0.48342245989304811</v>
      </c>
      <c r="FB30" s="515">
        <v>0.30873440285204989</v>
      </c>
      <c r="FC30" s="515">
        <v>0.42638146167557933</v>
      </c>
      <c r="FD30" s="515">
        <v>0.44099821746880569</v>
      </c>
      <c r="FE30" s="515">
        <v>0.57464607464607464</v>
      </c>
      <c r="FF30" s="515">
        <v>0.53796653796653793</v>
      </c>
      <c r="FG30" s="515">
        <v>0.45356662180349933</v>
      </c>
      <c r="FH30" s="515">
        <v>0.42709735307312696</v>
      </c>
      <c r="FI30" s="515">
        <v>0.44146126760563381</v>
      </c>
      <c r="FJ30" s="515">
        <v>0.42869718309859156</v>
      </c>
      <c r="FK30" s="515">
        <v>0.44146126760563381</v>
      </c>
      <c r="FL30" s="515">
        <v>0.44146126760563381</v>
      </c>
      <c r="FM30" s="515">
        <v>0.41593309859154931</v>
      </c>
      <c r="FN30" s="515">
        <v>0.44146126760563381</v>
      </c>
      <c r="FO30" s="515">
        <v>0.43035157988429018</v>
      </c>
      <c r="FP30" s="515">
        <v>0.43035157988429018</v>
      </c>
      <c r="FQ30" s="515">
        <v>0.40186915887850466</v>
      </c>
      <c r="FR30" s="515">
        <v>0.43035157988429018</v>
      </c>
      <c r="FS30" s="515">
        <v>0.35692033822874947</v>
      </c>
      <c r="FT30" s="515">
        <v>0.45511953089760931</v>
      </c>
      <c r="FU30" s="515" t="s">
        <v>668</v>
      </c>
      <c r="FV30" s="515" t="s">
        <v>668</v>
      </c>
      <c r="FW30" s="515" t="s">
        <v>668</v>
      </c>
      <c r="FX30" s="515" t="s">
        <v>668</v>
      </c>
      <c r="FY30" s="515">
        <v>0.4070891514500537</v>
      </c>
      <c r="FZ30" s="515" t="s">
        <v>668</v>
      </c>
      <c r="GA30" s="515" t="s">
        <v>668</v>
      </c>
      <c r="GB30" s="515">
        <v>0.47590687601515969</v>
      </c>
      <c r="GC30" s="515" t="s">
        <v>668</v>
      </c>
      <c r="GD30" s="515" t="s">
        <v>668</v>
      </c>
      <c r="GE30" s="515">
        <v>0.47893569844789363</v>
      </c>
      <c r="GF30" s="515" t="s">
        <v>668</v>
      </c>
      <c r="GG30" s="515" t="s">
        <v>668</v>
      </c>
      <c r="GH30" s="515">
        <v>0.46004439511653716</v>
      </c>
      <c r="GI30" s="515">
        <v>0.463004993191103</v>
      </c>
      <c r="GJ30" s="515">
        <v>0.49251760563380281</v>
      </c>
      <c r="GK30" s="515">
        <v>0.49251760563380281</v>
      </c>
      <c r="GL30" s="515">
        <v>0.54900260190806593</v>
      </c>
      <c r="GM30" s="515">
        <v>0.46790980052038161</v>
      </c>
      <c r="GN30" s="515">
        <v>0.46790980052038161</v>
      </c>
      <c r="GO30" s="515">
        <v>0.44103248776145976</v>
      </c>
      <c r="GP30" s="515">
        <v>0.43482026851450839</v>
      </c>
      <c r="GQ30" s="515">
        <v>0.42968411942881868</v>
      </c>
      <c r="GR30" s="515">
        <v>0.43035157988429018</v>
      </c>
      <c r="GS30" s="515" t="s">
        <v>668</v>
      </c>
      <c r="GT30" s="515" t="s">
        <v>668</v>
      </c>
      <c r="GU30" s="515">
        <v>0.27944633063463042</v>
      </c>
      <c r="GV30" s="515" t="s">
        <v>668</v>
      </c>
      <c r="GW30" s="515" t="s">
        <v>668</v>
      </c>
      <c r="GX30" s="515" t="s">
        <v>668</v>
      </c>
      <c r="GY30" s="515">
        <v>0.33696033696033695</v>
      </c>
      <c r="GZ30" s="515">
        <v>0.39543889845094665</v>
      </c>
      <c r="HA30" s="515" t="s">
        <v>668</v>
      </c>
      <c r="HB30" s="515" t="s">
        <v>668</v>
      </c>
      <c r="HC30" s="515">
        <v>0.46130825138948262</v>
      </c>
      <c r="HD30" s="515" t="s">
        <v>668</v>
      </c>
      <c r="HE30" s="515" t="s">
        <v>668</v>
      </c>
      <c r="HF30" s="515" t="s">
        <v>668</v>
      </c>
      <c r="HG30" s="515" t="s">
        <v>668</v>
      </c>
      <c r="HH30" s="515" t="s">
        <v>668</v>
      </c>
      <c r="HI30" s="515" t="s">
        <v>668</v>
      </c>
      <c r="HJ30" s="515" t="s">
        <v>668</v>
      </c>
      <c r="HK30" s="515" t="s">
        <v>668</v>
      </c>
      <c r="HL30" s="515">
        <v>0.27951635846372686</v>
      </c>
      <c r="HM30" s="515">
        <v>0.27675189393939392</v>
      </c>
      <c r="HN30" s="515" t="s">
        <v>668</v>
      </c>
      <c r="HO30" s="515" t="s">
        <v>668</v>
      </c>
      <c r="HP30" s="515" t="s">
        <v>668</v>
      </c>
      <c r="HQ30" s="515" t="s">
        <v>668</v>
      </c>
      <c r="HR30" s="515" t="s">
        <v>668</v>
      </c>
      <c r="HS30" s="515">
        <v>0.2371875</v>
      </c>
      <c r="HT30" s="515">
        <v>0.21906249999999999</v>
      </c>
      <c r="HU30" s="515" t="s">
        <v>668</v>
      </c>
      <c r="HV30" s="515" t="s">
        <v>668</v>
      </c>
      <c r="HW30" s="515" t="s">
        <v>668</v>
      </c>
      <c r="HX30" s="515">
        <v>0.43219633943427627</v>
      </c>
      <c r="HY30" s="515">
        <v>0.4337027130301872</v>
      </c>
      <c r="HZ30" s="515">
        <v>0.37300779925398442</v>
      </c>
      <c r="IA30" s="515">
        <v>0.68201997780244172</v>
      </c>
      <c r="IB30" s="515">
        <v>0.54439511653718098</v>
      </c>
      <c r="IC30" s="515">
        <v>0.53107658157602666</v>
      </c>
      <c r="ID30" s="515">
        <v>0.56714761376248612</v>
      </c>
      <c r="IE30" s="515">
        <v>0.68201997780244172</v>
      </c>
      <c r="IF30" s="515">
        <v>0.56714761376248612</v>
      </c>
      <c r="IG30" s="515">
        <v>0.46548868028713419</v>
      </c>
      <c r="IH30" s="575">
        <v>0.45545102379634755</v>
      </c>
    </row>
    <row r="31" spans="4:242" s="503" customFormat="1" ht="15.95" customHeight="1" x14ac:dyDescent="0.2">
      <c r="D31" s="679" t="s">
        <v>509</v>
      </c>
      <c r="E31" s="680"/>
      <c r="F31" s="680"/>
      <c r="G31" s="681"/>
      <c r="H31" s="515">
        <v>0.98</v>
      </c>
      <c r="I31" s="515">
        <v>0.87</v>
      </c>
      <c r="J31" s="515">
        <v>0.96960000000000002</v>
      </c>
      <c r="K31" s="515">
        <v>0.96</v>
      </c>
      <c r="L31" s="515">
        <v>0.96</v>
      </c>
      <c r="M31" s="515">
        <v>0.98</v>
      </c>
      <c r="N31" s="515">
        <v>0.95050000000000001</v>
      </c>
      <c r="O31" s="515" t="s">
        <v>668</v>
      </c>
      <c r="P31" s="515">
        <v>0.96140000000000003</v>
      </c>
      <c r="Q31" s="515">
        <v>0.94730000000000003</v>
      </c>
      <c r="R31" s="515" t="s">
        <v>668</v>
      </c>
      <c r="S31" s="515" t="s">
        <v>668</v>
      </c>
      <c r="T31" s="515" t="s">
        <v>668</v>
      </c>
      <c r="U31" s="515" t="s">
        <v>668</v>
      </c>
      <c r="V31" s="515">
        <v>0.99119999999999997</v>
      </c>
      <c r="W31" s="515" t="s">
        <v>668</v>
      </c>
      <c r="X31" s="515" t="s">
        <v>668</v>
      </c>
      <c r="Y31" s="515" t="s">
        <v>668</v>
      </c>
      <c r="Z31" s="515" t="s">
        <v>668</v>
      </c>
      <c r="AA31" s="516">
        <v>0.90700000000000003</v>
      </c>
      <c r="AB31" s="515">
        <v>0.99150000000000005</v>
      </c>
      <c r="AC31" s="515">
        <v>0.98960000000000004</v>
      </c>
      <c r="AD31" s="515">
        <v>0.996</v>
      </c>
      <c r="AE31" s="515">
        <v>0.99350000000000005</v>
      </c>
      <c r="AF31" s="515">
        <v>0.96</v>
      </c>
      <c r="AG31" s="515">
        <v>0.96</v>
      </c>
      <c r="AH31" s="515">
        <v>0.96</v>
      </c>
      <c r="AI31" s="515">
        <v>0.98</v>
      </c>
      <c r="AJ31" s="515" t="s">
        <v>668</v>
      </c>
      <c r="AK31" s="515">
        <v>0.96</v>
      </c>
      <c r="AL31" s="515" t="s">
        <v>668</v>
      </c>
      <c r="AM31" s="515" t="s">
        <v>668</v>
      </c>
      <c r="AN31" s="515" t="s">
        <v>668</v>
      </c>
      <c r="AO31" s="515">
        <v>0.96</v>
      </c>
      <c r="AP31" s="516">
        <v>0.98089999999999999</v>
      </c>
      <c r="AQ31" s="515">
        <v>0.97</v>
      </c>
      <c r="AR31" s="515" t="s">
        <v>668</v>
      </c>
      <c r="AS31" s="515" t="s">
        <v>668</v>
      </c>
      <c r="AT31" s="515">
        <v>0.98</v>
      </c>
      <c r="AU31" s="515">
        <v>0.97</v>
      </c>
      <c r="AV31" s="515" t="s">
        <v>668</v>
      </c>
      <c r="AW31" s="515" t="s">
        <v>668</v>
      </c>
      <c r="AX31" s="515">
        <v>0.96</v>
      </c>
      <c r="AY31" s="515" t="s">
        <v>668</v>
      </c>
      <c r="AZ31" s="515">
        <v>0.99</v>
      </c>
      <c r="BA31" s="515" t="s">
        <v>668</v>
      </c>
      <c r="BB31" s="515">
        <v>0.98</v>
      </c>
      <c r="BC31" s="515">
        <v>0.98</v>
      </c>
      <c r="BD31" s="516">
        <v>0.98170000000000002</v>
      </c>
      <c r="BE31" s="515" t="s">
        <v>668</v>
      </c>
      <c r="BF31" s="515">
        <v>0.99</v>
      </c>
      <c r="BG31" s="515" t="s">
        <v>668</v>
      </c>
      <c r="BH31" s="515" t="s">
        <v>668</v>
      </c>
      <c r="BI31" s="515">
        <v>0.98</v>
      </c>
      <c r="BJ31" s="515" t="s">
        <v>668</v>
      </c>
      <c r="BK31" s="515" t="s">
        <v>668</v>
      </c>
      <c r="BL31" s="515" t="s">
        <v>668</v>
      </c>
      <c r="BM31" s="515">
        <v>0.96</v>
      </c>
      <c r="BN31" s="515">
        <v>0.99</v>
      </c>
      <c r="BO31" s="515">
        <v>0.99</v>
      </c>
      <c r="BP31" s="515">
        <v>0.99</v>
      </c>
      <c r="BQ31" s="515">
        <v>0.99</v>
      </c>
      <c r="BR31" s="515" t="s">
        <v>668</v>
      </c>
      <c r="BS31" s="515">
        <v>0.96</v>
      </c>
      <c r="BT31" s="515">
        <v>0.96</v>
      </c>
      <c r="BU31" s="515" t="s">
        <v>668</v>
      </c>
      <c r="BV31" s="515" t="s">
        <v>668</v>
      </c>
      <c r="BW31" s="515">
        <v>0.96</v>
      </c>
      <c r="BX31" s="515" t="s">
        <v>668</v>
      </c>
      <c r="BY31" s="515" t="s">
        <v>668</v>
      </c>
      <c r="BZ31" s="515" t="s">
        <v>668</v>
      </c>
      <c r="CA31" s="515" t="s">
        <v>668</v>
      </c>
      <c r="CB31" s="515" t="s">
        <v>668</v>
      </c>
      <c r="CC31" s="515">
        <v>0.97</v>
      </c>
      <c r="CD31" s="515">
        <v>0.96</v>
      </c>
      <c r="CE31" s="515">
        <v>0.96</v>
      </c>
      <c r="CF31" s="515" t="s">
        <v>668</v>
      </c>
      <c r="CG31" s="515" t="s">
        <v>668</v>
      </c>
      <c r="CH31" s="515">
        <v>0.99</v>
      </c>
      <c r="CI31" s="515" t="s">
        <v>668</v>
      </c>
      <c r="CJ31" s="515" t="s">
        <v>668</v>
      </c>
      <c r="CK31" s="515">
        <v>1</v>
      </c>
      <c r="CL31" s="515">
        <v>1</v>
      </c>
      <c r="CM31" s="515">
        <v>0.99</v>
      </c>
      <c r="CN31" s="515">
        <v>0.98</v>
      </c>
      <c r="CO31" s="515">
        <v>0.96</v>
      </c>
      <c r="CP31" s="515" t="s">
        <v>668</v>
      </c>
      <c r="CQ31" s="515" t="s">
        <v>668</v>
      </c>
      <c r="CR31" s="515" t="s">
        <v>668</v>
      </c>
      <c r="CS31" s="515" t="s">
        <v>668</v>
      </c>
      <c r="CT31" s="515" t="s">
        <v>668</v>
      </c>
      <c r="CU31" s="515">
        <v>0.98</v>
      </c>
      <c r="CV31" s="515">
        <v>0.99</v>
      </c>
      <c r="CW31" s="515" t="s">
        <v>668</v>
      </c>
      <c r="CX31" s="515">
        <v>0.98</v>
      </c>
      <c r="CY31" s="515" t="s">
        <v>668</v>
      </c>
      <c r="CZ31" s="515" t="s">
        <v>668</v>
      </c>
      <c r="DA31" s="515" t="s">
        <v>668</v>
      </c>
      <c r="DB31" s="515">
        <v>0.93</v>
      </c>
      <c r="DC31" s="515" t="s">
        <v>668</v>
      </c>
      <c r="DD31" s="515" t="s">
        <v>668</v>
      </c>
      <c r="DE31" s="515" t="s">
        <v>668</v>
      </c>
      <c r="DF31" s="515" t="s">
        <v>668</v>
      </c>
      <c r="DG31" s="515" t="s">
        <v>668</v>
      </c>
      <c r="DH31" s="515" t="s">
        <v>668</v>
      </c>
      <c r="DI31" s="515" t="s">
        <v>668</v>
      </c>
      <c r="DJ31" s="515" t="s">
        <v>668</v>
      </c>
      <c r="DK31" s="515" t="s">
        <v>668</v>
      </c>
      <c r="DL31" s="515">
        <v>0.96</v>
      </c>
      <c r="DM31" s="515">
        <v>0.99</v>
      </c>
      <c r="DN31" s="515">
        <v>0.98</v>
      </c>
      <c r="DO31" s="515" t="s">
        <v>668</v>
      </c>
      <c r="DP31" s="515" t="s">
        <v>668</v>
      </c>
      <c r="DQ31" s="515" t="s">
        <v>668</v>
      </c>
      <c r="DR31" s="515" t="s">
        <v>668</v>
      </c>
      <c r="DS31" s="515" t="s">
        <v>668</v>
      </c>
      <c r="DT31" s="515" t="s">
        <v>668</v>
      </c>
      <c r="DU31" s="515" t="s">
        <v>668</v>
      </c>
      <c r="DV31" s="515" t="s">
        <v>668</v>
      </c>
      <c r="DW31" s="515" t="s">
        <v>668</v>
      </c>
      <c r="DX31" s="515" t="s">
        <v>668</v>
      </c>
      <c r="DY31" s="515" t="s">
        <v>668</v>
      </c>
      <c r="DZ31" s="515" t="s">
        <v>668</v>
      </c>
      <c r="EA31" s="515" t="s">
        <v>668</v>
      </c>
      <c r="EB31" s="515" t="s">
        <v>668</v>
      </c>
      <c r="EC31" s="515" t="s">
        <v>668</v>
      </c>
      <c r="ED31" s="515" t="s">
        <v>668</v>
      </c>
      <c r="EE31" s="515">
        <v>0.93</v>
      </c>
      <c r="EF31" s="515" t="s">
        <v>668</v>
      </c>
      <c r="EG31" s="515">
        <v>0.97</v>
      </c>
      <c r="EH31" s="515" t="s">
        <v>668</v>
      </c>
      <c r="EI31" s="515">
        <v>0.98</v>
      </c>
      <c r="EJ31" s="515">
        <v>0.97</v>
      </c>
      <c r="EK31" s="515" t="s">
        <v>668</v>
      </c>
      <c r="EL31" s="515">
        <v>0.99</v>
      </c>
      <c r="EM31" s="515">
        <v>0.99</v>
      </c>
      <c r="EN31" s="515">
        <v>0.99</v>
      </c>
      <c r="EO31" s="515">
        <v>0.99</v>
      </c>
      <c r="EP31" s="515" t="s">
        <v>668</v>
      </c>
      <c r="EQ31" s="515" t="s">
        <v>668</v>
      </c>
      <c r="ER31" s="515" t="s">
        <v>668</v>
      </c>
      <c r="ES31" s="515">
        <v>0.94</v>
      </c>
      <c r="ET31" s="515">
        <v>0.98</v>
      </c>
      <c r="EU31" s="515" t="s">
        <v>668</v>
      </c>
      <c r="EV31" s="515">
        <v>0.87</v>
      </c>
      <c r="EW31" s="515">
        <v>0.8</v>
      </c>
      <c r="EX31" s="515">
        <v>0.99</v>
      </c>
      <c r="EY31" s="515">
        <v>0.87</v>
      </c>
      <c r="EZ31" s="515">
        <v>0.87</v>
      </c>
      <c r="FA31" s="515">
        <v>0.74</v>
      </c>
      <c r="FB31" s="515">
        <v>0.98</v>
      </c>
      <c r="FC31" s="515">
        <v>0.87</v>
      </c>
      <c r="FD31" s="515">
        <v>0.8</v>
      </c>
      <c r="FE31" s="515">
        <v>0.96</v>
      </c>
      <c r="FF31" s="515">
        <v>1</v>
      </c>
      <c r="FG31" s="515">
        <v>0.96</v>
      </c>
      <c r="FH31" s="515">
        <v>1</v>
      </c>
      <c r="FI31" s="515">
        <v>0.96</v>
      </c>
      <c r="FJ31" s="515">
        <v>0.95</v>
      </c>
      <c r="FK31" s="515">
        <v>0.96</v>
      </c>
      <c r="FL31" s="515">
        <v>0.96</v>
      </c>
      <c r="FM31" s="515">
        <v>1</v>
      </c>
      <c r="FN31" s="515">
        <v>0.96</v>
      </c>
      <c r="FO31" s="515">
        <v>0.96</v>
      </c>
      <c r="FP31" s="515">
        <v>0.96</v>
      </c>
      <c r="FQ31" s="515">
        <v>1</v>
      </c>
      <c r="FR31" s="515">
        <v>0.96</v>
      </c>
      <c r="FS31" s="515">
        <v>0.98</v>
      </c>
      <c r="FT31" s="515">
        <v>0.96</v>
      </c>
      <c r="FU31" s="515" t="s">
        <v>668</v>
      </c>
      <c r="FV31" s="515" t="s">
        <v>668</v>
      </c>
      <c r="FW31" s="515" t="s">
        <v>668</v>
      </c>
      <c r="FX31" s="515" t="s">
        <v>668</v>
      </c>
      <c r="FY31" s="515">
        <v>0.96</v>
      </c>
      <c r="FZ31" s="515" t="s">
        <v>668</v>
      </c>
      <c r="GA31" s="515" t="s">
        <v>668</v>
      </c>
      <c r="GB31" s="515">
        <v>0.97</v>
      </c>
      <c r="GC31" s="515" t="s">
        <v>668</v>
      </c>
      <c r="GD31" s="515" t="s">
        <v>668</v>
      </c>
      <c r="GE31" s="515">
        <v>0.96</v>
      </c>
      <c r="GF31" s="515" t="s">
        <v>668</v>
      </c>
      <c r="GG31" s="515" t="s">
        <v>668</v>
      </c>
      <c r="GH31" s="515">
        <v>0.99</v>
      </c>
      <c r="GI31" s="515">
        <v>0.97</v>
      </c>
      <c r="GJ31" s="515">
        <v>0.99</v>
      </c>
      <c r="GK31" s="515">
        <v>0.99</v>
      </c>
      <c r="GL31" s="515">
        <v>0.99</v>
      </c>
      <c r="GM31" s="515">
        <v>0.98</v>
      </c>
      <c r="GN31" s="515">
        <v>0.98</v>
      </c>
      <c r="GO31" s="515">
        <v>0.96</v>
      </c>
      <c r="GP31" s="515">
        <v>0.96</v>
      </c>
      <c r="GQ31" s="515">
        <v>0.96</v>
      </c>
      <c r="GR31" s="515">
        <v>0.96</v>
      </c>
      <c r="GS31" s="515" t="s">
        <v>668</v>
      </c>
      <c r="GT31" s="515" t="s">
        <v>668</v>
      </c>
      <c r="GU31" s="515">
        <v>0.97</v>
      </c>
      <c r="GV31" s="515" t="s">
        <v>668</v>
      </c>
      <c r="GW31" s="515" t="s">
        <v>668</v>
      </c>
      <c r="GX31" s="515" t="s">
        <v>668</v>
      </c>
      <c r="GY31" s="515">
        <v>0.99</v>
      </c>
      <c r="GZ31" s="515">
        <v>0.99</v>
      </c>
      <c r="HA31" s="515" t="s">
        <v>668</v>
      </c>
      <c r="HB31" s="515" t="s">
        <v>668</v>
      </c>
      <c r="HC31" s="515">
        <v>0.98</v>
      </c>
      <c r="HD31" s="515" t="s">
        <v>668</v>
      </c>
      <c r="HE31" s="515" t="s">
        <v>668</v>
      </c>
      <c r="HF31" s="515" t="s">
        <v>668</v>
      </c>
      <c r="HG31" s="515" t="s">
        <v>668</v>
      </c>
      <c r="HH31" s="515" t="s">
        <v>668</v>
      </c>
      <c r="HI31" s="515" t="s">
        <v>668</v>
      </c>
      <c r="HJ31" s="515" t="s">
        <v>668</v>
      </c>
      <c r="HK31" s="515" t="s">
        <v>668</v>
      </c>
      <c r="HL31" s="515">
        <v>0.97</v>
      </c>
      <c r="HM31" s="515">
        <v>0.97</v>
      </c>
      <c r="HN31" s="515" t="s">
        <v>668</v>
      </c>
      <c r="HO31" s="515" t="s">
        <v>668</v>
      </c>
      <c r="HP31" s="515" t="s">
        <v>668</v>
      </c>
      <c r="HQ31" s="515" t="s">
        <v>668</v>
      </c>
      <c r="HR31" s="515" t="s">
        <v>668</v>
      </c>
      <c r="HS31" s="515">
        <v>0.97</v>
      </c>
      <c r="HT31" s="515">
        <v>1</v>
      </c>
      <c r="HU31" s="515" t="s">
        <v>668</v>
      </c>
      <c r="HV31" s="515" t="s">
        <v>668</v>
      </c>
      <c r="HW31" s="515" t="s">
        <v>668</v>
      </c>
      <c r="HX31" s="515">
        <v>0.96</v>
      </c>
      <c r="HY31" s="515">
        <v>0.96</v>
      </c>
      <c r="HZ31" s="515">
        <v>0.98</v>
      </c>
      <c r="IA31" s="515">
        <v>0.94</v>
      </c>
      <c r="IB31" s="515">
        <v>0.97</v>
      </c>
      <c r="IC31" s="515">
        <v>0.98</v>
      </c>
      <c r="ID31" s="515">
        <v>0.96</v>
      </c>
      <c r="IE31" s="515">
        <v>0.94</v>
      </c>
      <c r="IF31" s="515">
        <v>0.96</v>
      </c>
      <c r="IG31" s="515">
        <v>0.98</v>
      </c>
      <c r="IH31" s="575">
        <v>0.99</v>
      </c>
    </row>
    <row r="32" spans="4:242" s="510" customFormat="1" ht="15.95" customHeight="1" x14ac:dyDescent="0.2">
      <c r="D32" s="1001" t="s">
        <v>510</v>
      </c>
      <c r="E32" s="1002"/>
      <c r="F32" s="1002"/>
      <c r="G32" s="1003"/>
      <c r="H32" s="512">
        <v>1.43</v>
      </c>
      <c r="I32" s="512">
        <v>1.39</v>
      </c>
      <c r="J32" s="512" t="s">
        <v>668</v>
      </c>
      <c r="K32" s="512">
        <v>1.31</v>
      </c>
      <c r="L32" s="512">
        <v>1.31</v>
      </c>
      <c r="M32" s="512">
        <v>1.26</v>
      </c>
      <c r="N32" s="512" t="s">
        <v>668</v>
      </c>
      <c r="O32" s="512" t="s">
        <v>668</v>
      </c>
      <c r="P32" s="512" t="s">
        <v>668</v>
      </c>
      <c r="Q32" s="512" t="s">
        <v>668</v>
      </c>
      <c r="R32" s="512" t="s">
        <v>668</v>
      </c>
      <c r="S32" s="512" t="s">
        <v>668</v>
      </c>
      <c r="T32" s="512" t="s">
        <v>668</v>
      </c>
      <c r="U32" s="512" t="s">
        <v>668</v>
      </c>
      <c r="V32" s="512" t="s">
        <v>668</v>
      </c>
      <c r="W32" s="512" t="s">
        <v>668</v>
      </c>
      <c r="X32" s="512" t="s">
        <v>668</v>
      </c>
      <c r="Y32" s="512" t="s">
        <v>668</v>
      </c>
      <c r="Z32" s="512" t="s">
        <v>668</v>
      </c>
      <c r="AA32" s="520">
        <v>1.1956</v>
      </c>
      <c r="AB32" s="512" t="s">
        <v>668</v>
      </c>
      <c r="AC32" s="512" t="s">
        <v>668</v>
      </c>
      <c r="AD32" s="512" t="s">
        <v>668</v>
      </c>
      <c r="AE32" s="512" t="s">
        <v>668</v>
      </c>
      <c r="AF32" s="512">
        <v>1.34</v>
      </c>
      <c r="AG32" s="512">
        <v>1.34</v>
      </c>
      <c r="AH32" s="512">
        <v>1.31</v>
      </c>
      <c r="AI32" s="512">
        <v>1.27</v>
      </c>
      <c r="AJ32" s="512" t="s">
        <v>668</v>
      </c>
      <c r="AK32" s="512">
        <v>1.35</v>
      </c>
      <c r="AL32" s="512" t="s">
        <v>668</v>
      </c>
      <c r="AM32" s="512" t="s">
        <v>668</v>
      </c>
      <c r="AN32" s="512" t="s">
        <v>668</v>
      </c>
      <c r="AO32" s="512">
        <v>1.29</v>
      </c>
      <c r="AP32" s="521">
        <v>1.34</v>
      </c>
      <c r="AQ32" s="512">
        <v>1.27</v>
      </c>
      <c r="AR32" s="512" t="s">
        <v>668</v>
      </c>
      <c r="AS32" s="512" t="s">
        <v>668</v>
      </c>
      <c r="AT32" s="512">
        <v>1.34</v>
      </c>
      <c r="AU32" s="512">
        <v>1.26</v>
      </c>
      <c r="AV32" s="512" t="s">
        <v>668</v>
      </c>
      <c r="AW32" s="512" t="s">
        <v>668</v>
      </c>
      <c r="AX32" s="512">
        <v>1.24</v>
      </c>
      <c r="AY32" s="512" t="s">
        <v>668</v>
      </c>
      <c r="AZ32" s="512">
        <v>1.28</v>
      </c>
      <c r="BA32" s="512" t="s">
        <v>668</v>
      </c>
      <c r="BB32" s="512">
        <v>1.26</v>
      </c>
      <c r="BC32" s="512">
        <v>1.26</v>
      </c>
      <c r="BD32" s="520">
        <v>1.3391</v>
      </c>
      <c r="BE32" s="512" t="s">
        <v>668</v>
      </c>
      <c r="BF32" s="512">
        <v>1.23</v>
      </c>
      <c r="BG32" s="512" t="s">
        <v>668</v>
      </c>
      <c r="BH32" s="512" t="s">
        <v>668</v>
      </c>
      <c r="BI32" s="512">
        <v>1.34</v>
      </c>
      <c r="BJ32" s="512" t="s">
        <v>668</v>
      </c>
      <c r="BK32" s="512" t="s">
        <v>668</v>
      </c>
      <c r="BL32" s="512" t="s">
        <v>668</v>
      </c>
      <c r="BM32" s="512">
        <v>1.31</v>
      </c>
      <c r="BN32" s="512">
        <v>1.24</v>
      </c>
      <c r="BO32" s="512">
        <v>1.22</v>
      </c>
      <c r="BP32" s="512">
        <v>1.2</v>
      </c>
      <c r="BQ32" s="512">
        <v>1.22</v>
      </c>
      <c r="BR32" s="512" t="s">
        <v>668</v>
      </c>
      <c r="BS32" s="512">
        <v>1.32</v>
      </c>
      <c r="BT32" s="512">
        <v>1.33</v>
      </c>
      <c r="BU32" s="512" t="s">
        <v>668</v>
      </c>
      <c r="BV32" s="512" t="s">
        <v>668</v>
      </c>
      <c r="BW32" s="512">
        <v>1.27</v>
      </c>
      <c r="BX32" s="512" t="s">
        <v>668</v>
      </c>
      <c r="BY32" s="512" t="s">
        <v>668</v>
      </c>
      <c r="BZ32" s="512" t="s">
        <v>668</v>
      </c>
      <c r="CA32" s="512" t="s">
        <v>668</v>
      </c>
      <c r="CB32" s="512" t="s">
        <v>668</v>
      </c>
      <c r="CC32" s="512">
        <v>1.26</v>
      </c>
      <c r="CD32" s="512">
        <v>1.24</v>
      </c>
      <c r="CE32" s="512">
        <v>1.24</v>
      </c>
      <c r="CF32" s="512" t="s">
        <v>668</v>
      </c>
      <c r="CG32" s="512" t="s">
        <v>668</v>
      </c>
      <c r="CH32" s="512">
        <v>1.32</v>
      </c>
      <c r="CI32" s="512" t="s">
        <v>668</v>
      </c>
      <c r="CJ32" s="512" t="s">
        <v>668</v>
      </c>
      <c r="CK32" s="512">
        <v>1.27</v>
      </c>
      <c r="CL32" s="512">
        <v>1.29</v>
      </c>
      <c r="CM32" s="512">
        <v>1.24</v>
      </c>
      <c r="CN32" s="512">
        <v>1.3</v>
      </c>
      <c r="CO32" s="512">
        <v>1.29</v>
      </c>
      <c r="CP32" s="512" t="s">
        <v>668</v>
      </c>
      <c r="CQ32" s="512" t="s">
        <v>668</v>
      </c>
      <c r="CR32" s="512" t="s">
        <v>668</v>
      </c>
      <c r="CS32" s="512" t="s">
        <v>668</v>
      </c>
      <c r="CT32" s="512" t="s">
        <v>668</v>
      </c>
      <c r="CU32" s="512">
        <v>1.34</v>
      </c>
      <c r="CV32" s="512">
        <v>1.33</v>
      </c>
      <c r="CW32" s="512" t="s">
        <v>668</v>
      </c>
      <c r="CX32" s="512">
        <v>1.28</v>
      </c>
      <c r="CY32" s="512" t="s">
        <v>668</v>
      </c>
      <c r="CZ32" s="512" t="s">
        <v>668</v>
      </c>
      <c r="DA32" s="512" t="s">
        <v>668</v>
      </c>
      <c r="DB32" s="512">
        <v>1.24</v>
      </c>
      <c r="DC32" s="512" t="s">
        <v>668</v>
      </c>
      <c r="DD32" s="512" t="s">
        <v>668</v>
      </c>
      <c r="DE32" s="512" t="s">
        <v>668</v>
      </c>
      <c r="DF32" s="512" t="s">
        <v>668</v>
      </c>
      <c r="DG32" s="512" t="s">
        <v>668</v>
      </c>
      <c r="DH32" s="512" t="s">
        <v>668</v>
      </c>
      <c r="DI32" s="512" t="s">
        <v>668</v>
      </c>
      <c r="DJ32" s="512" t="s">
        <v>668</v>
      </c>
      <c r="DK32" s="512" t="s">
        <v>668</v>
      </c>
      <c r="DL32" s="512">
        <v>1.33</v>
      </c>
      <c r="DM32" s="512">
        <v>1.29</v>
      </c>
      <c r="DN32" s="512">
        <v>1.3</v>
      </c>
      <c r="DO32" s="512" t="s">
        <v>668</v>
      </c>
      <c r="DP32" s="512" t="s">
        <v>668</v>
      </c>
      <c r="DQ32" s="512" t="s">
        <v>668</v>
      </c>
      <c r="DR32" s="512" t="s">
        <v>668</v>
      </c>
      <c r="DS32" s="512" t="s">
        <v>668</v>
      </c>
      <c r="DT32" s="512" t="s">
        <v>668</v>
      </c>
      <c r="DU32" s="512" t="s">
        <v>668</v>
      </c>
      <c r="DV32" s="512" t="s">
        <v>668</v>
      </c>
      <c r="DW32" s="512" t="s">
        <v>668</v>
      </c>
      <c r="DX32" s="512" t="s">
        <v>668</v>
      </c>
      <c r="DY32" s="512" t="s">
        <v>668</v>
      </c>
      <c r="DZ32" s="512" t="s">
        <v>668</v>
      </c>
      <c r="EA32" s="512" t="s">
        <v>668</v>
      </c>
      <c r="EB32" s="512" t="s">
        <v>668</v>
      </c>
      <c r="EC32" s="512" t="s">
        <v>668</v>
      </c>
      <c r="ED32" s="512" t="s">
        <v>668</v>
      </c>
      <c r="EE32" s="512">
        <v>1.35</v>
      </c>
      <c r="EF32" s="512" t="s">
        <v>668</v>
      </c>
      <c r="EG32" s="512">
        <v>1.33</v>
      </c>
      <c r="EH32" s="512" t="s">
        <v>668</v>
      </c>
      <c r="EI32" s="512">
        <v>1.31</v>
      </c>
      <c r="EJ32" s="512">
        <v>1.36</v>
      </c>
      <c r="EK32" s="512" t="s">
        <v>668</v>
      </c>
      <c r="EL32" s="512">
        <v>1.35</v>
      </c>
      <c r="EM32" s="512">
        <v>1.34</v>
      </c>
      <c r="EN32" s="512">
        <v>1.35</v>
      </c>
      <c r="EO32" s="512">
        <v>1.35</v>
      </c>
      <c r="EP32" s="512" t="s">
        <v>668</v>
      </c>
      <c r="EQ32" s="512" t="s">
        <v>668</v>
      </c>
      <c r="ER32" s="512" t="s">
        <v>668</v>
      </c>
      <c r="ES32" s="512">
        <v>1.38</v>
      </c>
      <c r="ET32" s="512">
        <v>1.23</v>
      </c>
      <c r="EU32" s="512" t="s">
        <v>668</v>
      </c>
      <c r="EV32" s="512">
        <v>1.39</v>
      </c>
      <c r="EW32" s="512">
        <v>1.56</v>
      </c>
      <c r="EX32" s="512">
        <v>1.3</v>
      </c>
      <c r="EY32" s="512">
        <v>1.39</v>
      </c>
      <c r="EZ32" s="512">
        <v>1.39</v>
      </c>
      <c r="FA32" s="512">
        <v>1.77</v>
      </c>
      <c r="FB32" s="512">
        <v>1.32</v>
      </c>
      <c r="FC32" s="512">
        <v>1.39</v>
      </c>
      <c r="FD32" s="512">
        <v>1.56</v>
      </c>
      <c r="FE32" s="512">
        <v>1.37</v>
      </c>
      <c r="FF32" s="512">
        <v>1.32</v>
      </c>
      <c r="FG32" s="512">
        <v>1.31</v>
      </c>
      <c r="FH32" s="512">
        <v>1.27</v>
      </c>
      <c r="FI32" s="512">
        <v>1.31</v>
      </c>
      <c r="FJ32" s="512">
        <v>1.34</v>
      </c>
      <c r="FK32" s="512">
        <v>1.31</v>
      </c>
      <c r="FL32" s="512">
        <v>1.31</v>
      </c>
      <c r="FM32" s="512">
        <v>1.27</v>
      </c>
      <c r="FN32" s="512">
        <v>1.31</v>
      </c>
      <c r="FO32" s="512">
        <v>1.34</v>
      </c>
      <c r="FP32" s="512">
        <v>1.34</v>
      </c>
      <c r="FQ32" s="512">
        <v>1.29</v>
      </c>
      <c r="FR32" s="512">
        <v>1.34</v>
      </c>
      <c r="FS32" s="512">
        <v>1.36</v>
      </c>
      <c r="FT32" s="512">
        <v>1.31</v>
      </c>
      <c r="FU32" s="512" t="s">
        <v>668</v>
      </c>
      <c r="FV32" s="512" t="s">
        <v>668</v>
      </c>
      <c r="FW32" s="512" t="s">
        <v>668</v>
      </c>
      <c r="FX32" s="512" t="s">
        <v>668</v>
      </c>
      <c r="FY32" s="512">
        <v>1.25</v>
      </c>
      <c r="FZ32" s="512" t="s">
        <v>668</v>
      </c>
      <c r="GA32" s="512" t="s">
        <v>668</v>
      </c>
      <c r="GB32" s="512">
        <v>1.34</v>
      </c>
      <c r="GC32" s="512" t="s">
        <v>668</v>
      </c>
      <c r="GD32" s="512" t="s">
        <v>668</v>
      </c>
      <c r="GE32" s="512">
        <v>1.36</v>
      </c>
      <c r="GF32" s="512" t="s">
        <v>668</v>
      </c>
      <c r="GG32" s="512" t="s">
        <v>668</v>
      </c>
      <c r="GH32" s="512">
        <v>1.33</v>
      </c>
      <c r="GI32" s="512">
        <v>1.3</v>
      </c>
      <c r="GJ32" s="512">
        <v>1.24</v>
      </c>
      <c r="GK32" s="512">
        <v>1.24</v>
      </c>
      <c r="GL32" s="512">
        <v>1.2</v>
      </c>
      <c r="GM32" s="512">
        <v>1.26</v>
      </c>
      <c r="GN32" s="512">
        <v>1.26</v>
      </c>
      <c r="GO32" s="512">
        <v>1.33</v>
      </c>
      <c r="GP32" s="512">
        <v>1.33</v>
      </c>
      <c r="GQ32" s="512">
        <v>1.34</v>
      </c>
      <c r="GR32" s="512">
        <v>1.34</v>
      </c>
      <c r="GS32" s="512" t="s">
        <v>668</v>
      </c>
      <c r="GT32" s="512" t="s">
        <v>668</v>
      </c>
      <c r="GU32" s="512">
        <v>1.26</v>
      </c>
      <c r="GV32" s="512" t="s">
        <v>668</v>
      </c>
      <c r="GW32" s="512" t="s">
        <v>668</v>
      </c>
      <c r="GX32" s="512" t="s">
        <v>668</v>
      </c>
      <c r="GY32" s="512">
        <v>1.27</v>
      </c>
      <c r="GZ32" s="512">
        <v>1.28</v>
      </c>
      <c r="HA32" s="512" t="s">
        <v>668</v>
      </c>
      <c r="HB32" s="512" t="s">
        <v>668</v>
      </c>
      <c r="HC32" s="512">
        <v>1.26</v>
      </c>
      <c r="HD32" s="512" t="s">
        <v>668</v>
      </c>
      <c r="HE32" s="512" t="s">
        <v>668</v>
      </c>
      <c r="HF32" s="512" t="s">
        <v>668</v>
      </c>
      <c r="HG32" s="512" t="s">
        <v>668</v>
      </c>
      <c r="HH32" s="512" t="s">
        <v>668</v>
      </c>
      <c r="HI32" s="512" t="s">
        <v>668</v>
      </c>
      <c r="HJ32" s="512" t="s">
        <v>668</v>
      </c>
      <c r="HK32" s="512" t="s">
        <v>668</v>
      </c>
      <c r="HL32" s="512">
        <v>1.23</v>
      </c>
      <c r="HM32" s="512">
        <v>1.23</v>
      </c>
      <c r="HN32" s="512" t="s">
        <v>668</v>
      </c>
      <c r="HO32" s="512" t="s">
        <v>668</v>
      </c>
      <c r="HP32" s="512" t="s">
        <v>668</v>
      </c>
      <c r="HQ32" s="512" t="s">
        <v>668</v>
      </c>
      <c r="HR32" s="512" t="s">
        <v>668</v>
      </c>
      <c r="HS32" s="512">
        <v>1.48</v>
      </c>
      <c r="HT32" s="512">
        <v>1.4</v>
      </c>
      <c r="HU32" s="512" t="s">
        <v>668</v>
      </c>
      <c r="HV32" s="512" t="s">
        <v>668</v>
      </c>
      <c r="HW32" s="512" t="s">
        <v>668</v>
      </c>
      <c r="HX32" s="512">
        <v>1.32</v>
      </c>
      <c r="HY32" s="512">
        <v>1.27</v>
      </c>
      <c r="HZ32" s="512">
        <v>1.24</v>
      </c>
      <c r="IA32" s="512">
        <v>1.38</v>
      </c>
      <c r="IB32" s="512">
        <v>1.37</v>
      </c>
      <c r="IC32" s="512">
        <v>1.35</v>
      </c>
      <c r="ID32" s="512">
        <v>1.37</v>
      </c>
      <c r="IE32" s="512">
        <v>1.38</v>
      </c>
      <c r="IF32" s="512">
        <v>1.37</v>
      </c>
      <c r="IG32" s="512">
        <v>1.34</v>
      </c>
      <c r="IH32" s="573">
        <v>1.33</v>
      </c>
    </row>
    <row r="33" spans="1:242" ht="15.95" customHeight="1" x14ac:dyDescent="0.2">
      <c r="D33" s="1010" t="s">
        <v>511</v>
      </c>
      <c r="E33" s="1011"/>
      <c r="F33" s="1011"/>
      <c r="G33" s="1011"/>
      <c r="H33" s="1011"/>
      <c r="I33" s="1011"/>
      <c r="J33" s="1011"/>
      <c r="K33" s="1011"/>
      <c r="L33" s="1011"/>
      <c r="M33" s="1011"/>
      <c r="N33" s="1011"/>
      <c r="O33" s="1011"/>
      <c r="P33" s="1011"/>
      <c r="Q33" s="1011"/>
      <c r="R33" s="1011"/>
      <c r="S33" s="1011"/>
      <c r="T33" s="1011"/>
      <c r="U33" s="1011"/>
      <c r="V33" s="1011"/>
      <c r="W33" s="1011"/>
      <c r="X33" s="1011"/>
      <c r="Y33" s="1011"/>
      <c r="Z33" s="1011"/>
      <c r="AA33" s="1011"/>
      <c r="AB33" s="1011"/>
      <c r="AC33" s="1011"/>
      <c r="AD33" s="1011"/>
      <c r="AE33" s="1011"/>
      <c r="AF33" s="1011"/>
      <c r="AG33" s="1011"/>
      <c r="AH33" s="1011"/>
      <c r="AI33" s="1011"/>
      <c r="AJ33" s="1011"/>
      <c r="AK33" s="1011"/>
      <c r="AL33" s="1011"/>
      <c r="AM33" s="1011"/>
      <c r="AN33" s="1011"/>
      <c r="AO33" s="1011"/>
      <c r="AP33" s="1011"/>
      <c r="AQ33" s="1011"/>
      <c r="AR33" s="1011"/>
      <c r="AS33" s="1011"/>
      <c r="AT33" s="1011"/>
      <c r="AU33" s="1011"/>
      <c r="AV33" s="1011"/>
      <c r="AW33" s="1011"/>
      <c r="AX33" s="1011"/>
      <c r="AY33" s="1011"/>
      <c r="AZ33" s="1011"/>
      <c r="BA33" s="1011"/>
      <c r="BB33" s="1011"/>
      <c r="BC33" s="1011"/>
      <c r="BD33" s="1011"/>
      <c r="BE33" s="1011"/>
      <c r="BF33" s="1011"/>
      <c r="BG33" s="1011"/>
      <c r="BH33" s="1011"/>
      <c r="BI33" s="1011"/>
      <c r="BJ33" s="1011"/>
      <c r="BK33" s="1011"/>
      <c r="BL33" s="1011"/>
      <c r="BM33" s="1011"/>
      <c r="BN33" s="1011"/>
      <c r="BO33" s="1011"/>
      <c r="BP33" s="1011"/>
      <c r="BQ33" s="1011"/>
      <c r="BR33" s="1011"/>
      <c r="BS33" s="1011"/>
      <c r="BT33" s="1011"/>
      <c r="BU33" s="1011"/>
      <c r="BV33" s="1011"/>
      <c r="BW33" s="1011"/>
      <c r="BX33" s="1011"/>
      <c r="BY33" s="1011"/>
      <c r="BZ33" s="1011"/>
      <c r="CA33" s="1011"/>
      <c r="CB33" s="1011"/>
      <c r="CC33" s="1011"/>
      <c r="CD33" s="1011"/>
      <c r="CE33" s="1011"/>
      <c r="CF33" s="1011"/>
      <c r="CG33" s="1011"/>
      <c r="CH33" s="1011"/>
      <c r="CI33" s="1011"/>
      <c r="CJ33" s="1011"/>
      <c r="CK33" s="1011"/>
      <c r="CL33" s="1011"/>
      <c r="CM33" s="1011"/>
      <c r="CN33" s="1011"/>
      <c r="CO33" s="1011"/>
      <c r="CP33" s="1011"/>
      <c r="CQ33" s="1011"/>
      <c r="CR33" s="1011"/>
      <c r="CS33" s="1011"/>
      <c r="CT33" s="1011"/>
      <c r="CU33" s="1011"/>
      <c r="CV33" s="1011"/>
      <c r="CW33" s="1011"/>
      <c r="CX33" s="1011"/>
      <c r="CY33" s="1011"/>
      <c r="CZ33" s="1011"/>
      <c r="DA33" s="1011"/>
      <c r="DB33" s="1011"/>
      <c r="DC33" s="1011"/>
      <c r="DD33" s="1011"/>
      <c r="DE33" s="1011"/>
      <c r="DF33" s="1011"/>
      <c r="DG33" s="1011"/>
      <c r="DH33" s="1011"/>
      <c r="DI33" s="1011"/>
      <c r="DJ33" s="1011"/>
      <c r="DK33" s="1011"/>
      <c r="DL33" s="1011"/>
      <c r="DM33" s="1011"/>
      <c r="DN33" s="1011"/>
      <c r="DO33" s="1011"/>
      <c r="DP33" s="1011"/>
      <c r="DQ33" s="1011"/>
      <c r="DR33" s="1011"/>
      <c r="DS33" s="1011"/>
      <c r="DT33" s="1011"/>
      <c r="DU33" s="1011"/>
      <c r="DV33" s="1011"/>
      <c r="DW33" s="1011"/>
      <c r="DX33" s="1011"/>
      <c r="DY33" s="1011"/>
      <c r="DZ33" s="1011"/>
      <c r="EA33" s="1011"/>
      <c r="EB33" s="1011"/>
      <c r="EC33" s="1011"/>
      <c r="ED33" s="1011"/>
      <c r="EE33" s="1011"/>
      <c r="EF33" s="1011"/>
      <c r="EG33" s="1011"/>
      <c r="EH33" s="1011"/>
      <c r="EI33" s="1011"/>
      <c r="EJ33" s="1011"/>
      <c r="EK33" s="1011"/>
      <c r="EL33" s="1011"/>
      <c r="EM33" s="1011"/>
      <c r="EN33" s="1011"/>
      <c r="EO33" s="1011"/>
      <c r="EP33" s="1011"/>
      <c r="EQ33" s="1011"/>
      <c r="ER33" s="1011"/>
      <c r="ES33" s="1011"/>
      <c r="ET33" s="1011"/>
      <c r="EU33" s="1011"/>
      <c r="EV33" s="1011"/>
      <c r="EW33" s="1011"/>
      <c r="EX33" s="1011"/>
      <c r="EY33" s="1011"/>
      <c r="EZ33" s="1011"/>
      <c r="FA33" s="1011"/>
      <c r="FB33" s="1011"/>
      <c r="FC33" s="1011"/>
      <c r="FD33" s="1011"/>
      <c r="FE33" s="1011"/>
      <c r="FF33" s="1011"/>
      <c r="FG33" s="1011"/>
      <c r="FH33" s="1011"/>
      <c r="FI33" s="1011"/>
      <c r="FJ33" s="1011"/>
      <c r="FK33" s="1011"/>
      <c r="FL33" s="1011"/>
      <c r="FM33" s="1011"/>
      <c r="FN33" s="1011"/>
      <c r="FO33" s="1011"/>
      <c r="FP33" s="1011"/>
      <c r="FQ33" s="1011"/>
      <c r="FR33" s="1011"/>
      <c r="FS33" s="1011"/>
      <c r="FT33" s="1011"/>
      <c r="FU33" s="1011"/>
      <c r="FV33" s="1011"/>
      <c r="FW33" s="1011"/>
      <c r="FX33" s="1011"/>
      <c r="FY33" s="1011"/>
      <c r="FZ33" s="1011"/>
      <c r="GA33" s="1011"/>
      <c r="GB33" s="1011"/>
      <c r="GC33" s="1011"/>
      <c r="GD33" s="1011"/>
      <c r="GE33" s="1011"/>
      <c r="GF33" s="1011"/>
      <c r="GG33" s="1011"/>
      <c r="GH33" s="1011"/>
      <c r="GI33" s="1011"/>
      <c r="GJ33" s="1011"/>
      <c r="GK33" s="1011"/>
      <c r="GL33" s="1011"/>
      <c r="GM33" s="1011"/>
      <c r="GN33" s="1011"/>
      <c r="GO33" s="1011"/>
      <c r="GP33" s="1011"/>
      <c r="GQ33" s="1011"/>
      <c r="GR33" s="1011"/>
      <c r="GS33" s="1011"/>
      <c r="GT33" s="1011"/>
      <c r="GU33" s="1011"/>
      <c r="GV33" s="1011"/>
      <c r="GW33" s="1011"/>
      <c r="GX33" s="1011"/>
      <c r="GY33" s="1011"/>
      <c r="GZ33" s="1011"/>
      <c r="HA33" s="1011"/>
      <c r="HB33" s="1011"/>
      <c r="HC33" s="1011"/>
      <c r="HD33" s="1011"/>
      <c r="HE33" s="1011"/>
      <c r="HF33" s="1011"/>
      <c r="HG33" s="1011"/>
      <c r="HH33" s="1011"/>
      <c r="HI33" s="1011"/>
      <c r="HJ33" s="1011"/>
      <c r="HK33" s="1011"/>
      <c r="HL33" s="1011"/>
      <c r="HM33" s="1011"/>
      <c r="HN33" s="1011"/>
      <c r="HO33" s="1011"/>
      <c r="HP33" s="1011"/>
      <c r="HQ33" s="1011"/>
      <c r="HR33" s="1011"/>
      <c r="HS33" s="1011"/>
      <c r="HT33" s="1011"/>
      <c r="HU33" s="1011"/>
      <c r="HV33" s="1011"/>
      <c r="HW33" s="1011"/>
      <c r="HX33" s="1011"/>
      <c r="HY33" s="1011"/>
      <c r="HZ33" s="1011"/>
      <c r="IA33" s="1011"/>
      <c r="IB33" s="1011"/>
      <c r="IC33" s="1011"/>
      <c r="ID33" s="1011"/>
      <c r="IE33" s="1011"/>
      <c r="IF33" s="1011"/>
      <c r="IG33" s="1011"/>
      <c r="IH33" s="1012"/>
    </row>
    <row r="34" spans="1:242" s="500" customFormat="1" ht="15.95" customHeight="1" x14ac:dyDescent="0.2">
      <c r="D34" s="586" t="s">
        <v>493</v>
      </c>
      <c r="E34" s="501"/>
      <c r="F34" s="501"/>
      <c r="G34" s="513" t="s">
        <v>494</v>
      </c>
      <c r="H34" s="514" t="s">
        <v>668</v>
      </c>
      <c r="I34" s="514" t="s">
        <v>668</v>
      </c>
      <c r="J34" s="514" t="s">
        <v>668</v>
      </c>
      <c r="K34" s="514" t="s">
        <v>668</v>
      </c>
      <c r="L34" s="514" t="s">
        <v>668</v>
      </c>
      <c r="M34" s="514" t="s">
        <v>668</v>
      </c>
      <c r="N34" s="514" t="s">
        <v>668</v>
      </c>
      <c r="O34" s="514">
        <v>935573.35609744745</v>
      </c>
      <c r="P34" s="514" t="s">
        <v>668</v>
      </c>
      <c r="Q34" s="514" t="s">
        <v>668</v>
      </c>
      <c r="R34" s="514">
        <v>953915.71657600789</v>
      </c>
      <c r="S34" s="514">
        <v>953915.71657600789</v>
      </c>
      <c r="T34" s="514">
        <v>5357.6649199249287</v>
      </c>
      <c r="U34" s="514">
        <v>958318.3960085283</v>
      </c>
      <c r="V34" s="514" t="s">
        <v>668</v>
      </c>
      <c r="W34" s="514">
        <v>971225.03411700914</v>
      </c>
      <c r="X34" s="514">
        <v>35651.67801956155</v>
      </c>
      <c r="Y34" s="514">
        <v>14717.793332297511</v>
      </c>
      <c r="Z34" s="514">
        <v>13165.293962307978</v>
      </c>
      <c r="AA34" s="514" t="s">
        <v>668</v>
      </c>
      <c r="AB34" s="514" t="s">
        <v>668</v>
      </c>
      <c r="AC34" s="514" t="s">
        <v>668</v>
      </c>
      <c r="AD34" s="514" t="s">
        <v>668</v>
      </c>
      <c r="AE34" s="514" t="s">
        <v>668</v>
      </c>
      <c r="AF34" s="514" t="s">
        <v>668</v>
      </c>
      <c r="AG34" s="514" t="s">
        <v>668</v>
      </c>
      <c r="AH34" s="514" t="s">
        <v>668</v>
      </c>
      <c r="AI34" s="514" t="s">
        <v>668</v>
      </c>
      <c r="AJ34" s="514">
        <v>1429558</v>
      </c>
      <c r="AK34" s="514" t="s">
        <v>668</v>
      </c>
      <c r="AL34" s="514">
        <v>792556.1</v>
      </c>
      <c r="AM34" s="514">
        <v>1487012</v>
      </c>
      <c r="AN34" s="514">
        <v>7968.11</v>
      </c>
      <c r="AO34" s="514">
        <v>1549669</v>
      </c>
      <c r="AP34" s="514" t="s">
        <v>668</v>
      </c>
      <c r="AQ34" s="514" t="s">
        <v>668</v>
      </c>
      <c r="AR34" s="514">
        <v>1547978</v>
      </c>
      <c r="AS34" s="514">
        <v>60163.47</v>
      </c>
      <c r="AT34" s="514">
        <v>3500</v>
      </c>
      <c r="AU34" s="514" t="s">
        <v>668</v>
      </c>
      <c r="AV34" s="514">
        <v>89357.119999999995</v>
      </c>
      <c r="AW34" s="514">
        <v>58496.32</v>
      </c>
      <c r="AX34" s="514" t="s">
        <v>668</v>
      </c>
      <c r="AY34" s="514">
        <v>97389.42</v>
      </c>
      <c r="AZ34" s="514" t="s">
        <v>668</v>
      </c>
      <c r="BA34" s="514">
        <v>63300.34</v>
      </c>
      <c r="BB34" s="514" t="s">
        <v>668</v>
      </c>
      <c r="BC34" s="514" t="s">
        <v>668</v>
      </c>
      <c r="BD34" s="514" t="s">
        <v>668</v>
      </c>
      <c r="BE34" s="514">
        <v>8853.58</v>
      </c>
      <c r="BF34" s="514" t="s">
        <v>668</v>
      </c>
      <c r="BG34" s="514">
        <v>7940.68</v>
      </c>
      <c r="BH34" s="514">
        <v>7940.68</v>
      </c>
      <c r="BI34" s="514" t="s">
        <v>668</v>
      </c>
      <c r="BJ34" s="514">
        <v>5090.5600000000004</v>
      </c>
      <c r="BK34" s="514">
        <v>2843.2</v>
      </c>
      <c r="BL34" s="514">
        <v>1977.46</v>
      </c>
      <c r="BM34" s="514" t="s">
        <v>668</v>
      </c>
      <c r="BN34" s="514" t="s">
        <v>668</v>
      </c>
      <c r="BO34" s="514" t="s">
        <v>668</v>
      </c>
      <c r="BP34" s="514" t="s">
        <v>668</v>
      </c>
      <c r="BQ34" s="514" t="s">
        <v>668</v>
      </c>
      <c r="BR34" s="514">
        <v>1550312</v>
      </c>
      <c r="BS34" s="514">
        <v>1550117</v>
      </c>
      <c r="BT34" s="514">
        <v>4816.84</v>
      </c>
      <c r="BU34" s="514">
        <v>1487814</v>
      </c>
      <c r="BV34" s="514">
        <v>1487814</v>
      </c>
      <c r="BW34" s="514">
        <v>1549670</v>
      </c>
      <c r="BX34" s="514">
        <v>1429658</v>
      </c>
      <c r="BY34" s="514">
        <v>784582</v>
      </c>
      <c r="BZ34" s="514">
        <v>784582</v>
      </c>
      <c r="CA34" s="514">
        <v>1488037</v>
      </c>
      <c r="CB34" s="514">
        <v>1488155</v>
      </c>
      <c r="CC34" s="514">
        <v>37.76</v>
      </c>
      <c r="CD34" s="514">
        <v>63713.07</v>
      </c>
      <c r="CE34" s="514" t="s">
        <v>668</v>
      </c>
      <c r="CF34" s="514">
        <v>24338.19</v>
      </c>
      <c r="CG34" s="514">
        <v>1615732</v>
      </c>
      <c r="CH34" s="514">
        <v>1566966</v>
      </c>
      <c r="CI34" s="514">
        <v>58496.32</v>
      </c>
      <c r="CJ34" s="514">
        <v>58491.74</v>
      </c>
      <c r="CK34" s="514" t="s">
        <v>668</v>
      </c>
      <c r="CL34" s="514">
        <v>177.63</v>
      </c>
      <c r="CM34" s="514" t="s">
        <v>668</v>
      </c>
      <c r="CN34" s="514">
        <v>96.91</v>
      </c>
      <c r="CO34" s="514">
        <v>7966.51</v>
      </c>
      <c r="CP34" s="514">
        <v>3120.02</v>
      </c>
      <c r="CQ34" s="514">
        <v>7940.68</v>
      </c>
      <c r="CR34" s="514">
        <v>7940.68</v>
      </c>
      <c r="CS34" s="514">
        <v>3120.02</v>
      </c>
      <c r="CT34" s="514">
        <v>16629.18</v>
      </c>
      <c r="CU34" s="514">
        <v>13727.57</v>
      </c>
      <c r="CV34" s="514" t="s">
        <v>668</v>
      </c>
      <c r="CW34" s="514">
        <v>3444.9</v>
      </c>
      <c r="CX34" s="514">
        <v>3119.72</v>
      </c>
      <c r="CY34" s="514">
        <v>842398.5</v>
      </c>
      <c r="CZ34" s="514">
        <v>842398.5</v>
      </c>
      <c r="DA34" s="514">
        <v>88535.72</v>
      </c>
      <c r="DB34" s="514">
        <v>48008.81</v>
      </c>
      <c r="DC34" s="514">
        <v>15589</v>
      </c>
      <c r="DD34" s="514">
        <v>15589</v>
      </c>
      <c r="DE34" s="514">
        <v>1487814</v>
      </c>
      <c r="DF34" s="514">
        <v>1487814</v>
      </c>
      <c r="DG34" s="514">
        <v>97.52</v>
      </c>
      <c r="DH34" s="514">
        <v>2.2000000000000002</v>
      </c>
      <c r="DI34" s="514" t="s">
        <v>668</v>
      </c>
      <c r="DJ34" s="514">
        <v>2.2000000000000002</v>
      </c>
      <c r="DK34" s="514">
        <v>35271</v>
      </c>
      <c r="DL34" s="514" t="s">
        <v>668</v>
      </c>
      <c r="DM34" s="514" t="s">
        <v>668</v>
      </c>
      <c r="DN34" s="514" t="s">
        <v>668</v>
      </c>
      <c r="DO34" s="514">
        <v>178.49</v>
      </c>
      <c r="DP34" s="514">
        <v>0</v>
      </c>
      <c r="DQ34" s="514">
        <v>784588</v>
      </c>
      <c r="DR34" s="514">
        <v>784588</v>
      </c>
      <c r="DS34" s="514">
        <v>89357.15</v>
      </c>
      <c r="DT34" s="514">
        <v>1547978</v>
      </c>
      <c r="DU34" s="514">
        <v>97389.42</v>
      </c>
      <c r="DV34" s="514">
        <v>63300.34</v>
      </c>
      <c r="DW34" s="514">
        <v>7940.68</v>
      </c>
      <c r="DX34" s="514">
        <v>3444.9</v>
      </c>
      <c r="DY34" s="514">
        <v>844376</v>
      </c>
      <c r="DZ34" s="514">
        <v>844376</v>
      </c>
      <c r="EA34" s="514">
        <v>60163.47</v>
      </c>
      <c r="EB34" s="514">
        <v>88535.72</v>
      </c>
      <c r="EC34" s="514">
        <v>0</v>
      </c>
      <c r="ED34" s="514">
        <v>9228.49</v>
      </c>
      <c r="EE34" s="514" t="s">
        <v>668</v>
      </c>
      <c r="EF34" s="514">
        <v>4814.8599999999997</v>
      </c>
      <c r="EG34" s="514" t="s">
        <v>668</v>
      </c>
      <c r="EH34" s="514">
        <v>3500</v>
      </c>
      <c r="EI34" s="514">
        <v>2373.64</v>
      </c>
      <c r="EJ34" s="514">
        <v>22013.61</v>
      </c>
      <c r="EK34" s="514">
        <v>44615.29</v>
      </c>
      <c r="EL34" s="514" t="s">
        <v>668</v>
      </c>
      <c r="EM34" s="514">
        <v>1.1000000000000001</v>
      </c>
      <c r="EN34" s="514" t="s">
        <v>668</v>
      </c>
      <c r="EO34" s="514">
        <v>1.1000000000000001</v>
      </c>
      <c r="EP34" s="514">
        <v>0</v>
      </c>
      <c r="EQ34" s="514">
        <v>75.819999999999993</v>
      </c>
      <c r="ER34" s="514">
        <v>44.09</v>
      </c>
      <c r="ES34" s="514" t="s">
        <v>668</v>
      </c>
      <c r="ET34" s="514">
        <v>7936.61</v>
      </c>
      <c r="EU34" s="514">
        <v>207.82</v>
      </c>
      <c r="EV34" s="514" t="s">
        <v>668</v>
      </c>
      <c r="EW34" s="514" t="s">
        <v>668</v>
      </c>
      <c r="EX34" s="514" t="s">
        <v>668</v>
      </c>
      <c r="EY34" s="514" t="s">
        <v>668</v>
      </c>
      <c r="EZ34" s="514" t="s">
        <v>668</v>
      </c>
      <c r="FA34" s="514" t="s">
        <v>668</v>
      </c>
      <c r="FB34" s="514" t="s">
        <v>668</v>
      </c>
      <c r="FC34" s="514" t="s">
        <v>668</v>
      </c>
      <c r="FD34" s="514" t="s">
        <v>668</v>
      </c>
      <c r="FE34" s="514" t="s">
        <v>668</v>
      </c>
      <c r="FF34" s="514" t="s">
        <v>668</v>
      </c>
      <c r="FG34" s="514" t="s">
        <v>668</v>
      </c>
      <c r="FH34" s="514" t="s">
        <v>668</v>
      </c>
      <c r="FI34" s="514" t="s">
        <v>668</v>
      </c>
      <c r="FJ34" s="514">
        <v>0.38</v>
      </c>
      <c r="FK34" s="514" t="s">
        <v>668</v>
      </c>
      <c r="FL34" s="514" t="s">
        <v>668</v>
      </c>
      <c r="FM34" s="514" t="s">
        <v>668</v>
      </c>
      <c r="FN34" s="514" t="s">
        <v>668</v>
      </c>
      <c r="FO34" s="514" t="s">
        <v>668</v>
      </c>
      <c r="FP34" s="514" t="s">
        <v>668</v>
      </c>
      <c r="FQ34" s="514" t="s">
        <v>668</v>
      </c>
      <c r="FR34" s="514" t="s">
        <v>668</v>
      </c>
      <c r="FS34" s="514" t="s">
        <v>668</v>
      </c>
      <c r="FT34" s="514" t="s">
        <v>668</v>
      </c>
      <c r="FU34" s="514">
        <v>1431494</v>
      </c>
      <c r="FV34" s="514">
        <v>1519216</v>
      </c>
      <c r="FW34" s="514">
        <v>89836.68</v>
      </c>
      <c r="FX34" s="514" t="s">
        <v>668</v>
      </c>
      <c r="FY34" s="514" t="s">
        <v>668</v>
      </c>
      <c r="FZ34" s="514">
        <v>58588.22</v>
      </c>
      <c r="GA34" s="514">
        <v>427.42</v>
      </c>
      <c r="GB34" s="514" t="s">
        <v>668</v>
      </c>
      <c r="GC34" s="514">
        <v>322.08</v>
      </c>
      <c r="GD34" s="514" t="s">
        <v>668</v>
      </c>
      <c r="GE34" s="514" t="s">
        <v>668</v>
      </c>
      <c r="GF34" s="514">
        <v>365.84</v>
      </c>
      <c r="GG34" s="514" t="s">
        <v>668</v>
      </c>
      <c r="GH34" s="514" t="s">
        <v>668</v>
      </c>
      <c r="GI34" s="514" t="s">
        <v>668</v>
      </c>
      <c r="GJ34" s="514" t="s">
        <v>668</v>
      </c>
      <c r="GK34" s="514" t="s">
        <v>668</v>
      </c>
      <c r="GL34" s="514" t="s">
        <v>668</v>
      </c>
      <c r="GM34" s="514" t="s">
        <v>668</v>
      </c>
      <c r="GN34" s="514" t="s">
        <v>668</v>
      </c>
      <c r="GO34" s="514" t="s">
        <v>668</v>
      </c>
      <c r="GP34" s="514">
        <v>5194.63</v>
      </c>
      <c r="GQ34" s="514" t="s">
        <v>668</v>
      </c>
      <c r="GR34" s="514" t="s">
        <v>668</v>
      </c>
      <c r="GS34" s="514">
        <v>89357.15</v>
      </c>
      <c r="GT34" s="514">
        <v>1487814</v>
      </c>
      <c r="GU34" s="514" t="s">
        <v>668</v>
      </c>
      <c r="GV34" s="514">
        <v>88535.72</v>
      </c>
      <c r="GW34" s="514">
        <v>88535.72</v>
      </c>
      <c r="GX34" s="514">
        <v>88535.84</v>
      </c>
      <c r="GY34" s="514" t="s">
        <v>668</v>
      </c>
      <c r="GZ34" s="514">
        <v>178.51</v>
      </c>
      <c r="HA34" s="514">
        <v>177.53</v>
      </c>
      <c r="HB34" s="514">
        <v>96.91</v>
      </c>
      <c r="HC34" s="514" t="s">
        <v>668</v>
      </c>
      <c r="HD34" s="514">
        <v>1977.46</v>
      </c>
      <c r="HE34" s="514">
        <v>5090.5600000000004</v>
      </c>
      <c r="HF34" s="514">
        <v>1977.46</v>
      </c>
      <c r="HG34" s="514">
        <v>15849.55</v>
      </c>
      <c r="HH34" s="514">
        <v>0</v>
      </c>
      <c r="HI34" s="514">
        <v>15849.55</v>
      </c>
      <c r="HJ34" s="514">
        <v>269.89999999999998</v>
      </c>
      <c r="HK34" s="514">
        <v>331.8</v>
      </c>
      <c r="HL34" s="514">
        <v>63820.43</v>
      </c>
      <c r="HM34" s="514" t="s">
        <v>668</v>
      </c>
      <c r="HN34" s="514">
        <v>25453.25</v>
      </c>
      <c r="HO34" s="514">
        <v>3500</v>
      </c>
      <c r="HP34" s="514">
        <v>1615732</v>
      </c>
      <c r="HQ34" s="514">
        <v>44615.29</v>
      </c>
      <c r="HR34" s="514">
        <v>260.55</v>
      </c>
      <c r="HS34" s="514" t="s">
        <v>668</v>
      </c>
      <c r="HT34" s="514" t="s">
        <v>668</v>
      </c>
      <c r="HU34" s="514">
        <v>1487814</v>
      </c>
      <c r="HV34" s="514">
        <v>89331.45</v>
      </c>
      <c r="HW34" s="514">
        <v>1550312</v>
      </c>
      <c r="HX34" s="514">
        <v>1550116</v>
      </c>
      <c r="HY34" s="514">
        <v>1549671</v>
      </c>
      <c r="HZ34" s="514">
        <v>1511931</v>
      </c>
      <c r="IA34" s="514" t="s">
        <v>668</v>
      </c>
      <c r="IB34" s="514" t="s">
        <v>668</v>
      </c>
      <c r="IC34" s="514" t="s">
        <v>668</v>
      </c>
      <c r="ID34" s="514" t="s">
        <v>668</v>
      </c>
      <c r="IE34" s="514" t="s">
        <v>668</v>
      </c>
      <c r="IF34" s="514" t="s">
        <v>668</v>
      </c>
      <c r="IG34" s="514">
        <v>7637.68</v>
      </c>
      <c r="IH34" s="574">
        <v>4704.5200000000004</v>
      </c>
    </row>
    <row r="35" spans="1:242" s="503" customFormat="1" ht="15.95" customHeight="1" x14ac:dyDescent="0.2">
      <c r="D35" s="585" t="s">
        <v>497</v>
      </c>
      <c r="G35" s="504" t="s">
        <v>498</v>
      </c>
      <c r="H35" s="508" t="s">
        <v>668</v>
      </c>
      <c r="I35" s="508" t="s">
        <v>668</v>
      </c>
      <c r="J35" s="508" t="s">
        <v>668</v>
      </c>
      <c r="K35" s="508" t="s">
        <v>668</v>
      </c>
      <c r="L35" s="508" t="s">
        <v>668</v>
      </c>
      <c r="M35" s="508" t="s">
        <v>668</v>
      </c>
      <c r="N35" s="508" t="s">
        <v>668</v>
      </c>
      <c r="O35" s="508">
        <v>24.232244824874098</v>
      </c>
      <c r="P35" s="508" t="s">
        <v>668</v>
      </c>
      <c r="Q35" s="508" t="s">
        <v>668</v>
      </c>
      <c r="R35" s="508">
        <v>24.882301461285021</v>
      </c>
      <c r="S35" s="508">
        <v>24.883745393742778</v>
      </c>
      <c r="T35" s="508">
        <v>18.015000000000001</v>
      </c>
      <c r="U35" s="508">
        <v>24.830325104844583</v>
      </c>
      <c r="V35" s="508" t="s">
        <v>668</v>
      </c>
      <c r="W35" s="508">
        <v>24.232244824874101</v>
      </c>
      <c r="X35" s="508">
        <v>24.232244824874101</v>
      </c>
      <c r="Y35" s="508">
        <v>18.150087836045579</v>
      </c>
      <c r="Z35" s="508">
        <v>18.150106013922425</v>
      </c>
      <c r="AA35" s="508" t="s">
        <v>668</v>
      </c>
      <c r="AB35" s="508" t="s">
        <v>668</v>
      </c>
      <c r="AC35" s="508" t="s">
        <v>668</v>
      </c>
      <c r="AD35" s="508" t="s">
        <v>668</v>
      </c>
      <c r="AE35" s="508" t="s">
        <v>668</v>
      </c>
      <c r="AF35" s="508" t="s">
        <v>668</v>
      </c>
      <c r="AG35" s="508" t="s">
        <v>668</v>
      </c>
      <c r="AH35" s="508" t="s">
        <v>668</v>
      </c>
      <c r="AI35" s="508" t="s">
        <v>668</v>
      </c>
      <c r="AJ35" s="508">
        <v>18.5</v>
      </c>
      <c r="AK35" s="508" t="s">
        <v>668</v>
      </c>
      <c r="AL35" s="508">
        <v>19.05</v>
      </c>
      <c r="AM35" s="508">
        <v>18.899999999999999</v>
      </c>
      <c r="AN35" s="508">
        <v>19.05</v>
      </c>
      <c r="AO35" s="508">
        <v>18.920000000000002</v>
      </c>
      <c r="AP35" s="508" t="s">
        <v>668</v>
      </c>
      <c r="AQ35" s="508" t="s">
        <v>668</v>
      </c>
      <c r="AR35" s="508">
        <v>18.5</v>
      </c>
      <c r="AS35" s="508">
        <v>18.5</v>
      </c>
      <c r="AT35" s="508">
        <v>30.91</v>
      </c>
      <c r="AU35" s="508" t="s">
        <v>668</v>
      </c>
      <c r="AV35" s="508">
        <v>27.87</v>
      </c>
      <c r="AW35" s="508">
        <v>18.5</v>
      </c>
      <c r="AX35" s="508" t="s">
        <v>668</v>
      </c>
      <c r="AY35" s="508">
        <v>27.62</v>
      </c>
      <c r="AZ35" s="508" t="s">
        <v>668</v>
      </c>
      <c r="BA35" s="508">
        <v>19.329999999999998</v>
      </c>
      <c r="BB35" s="508" t="s">
        <v>668</v>
      </c>
      <c r="BC35" s="508" t="s">
        <v>668</v>
      </c>
      <c r="BD35" s="508" t="s">
        <v>668</v>
      </c>
      <c r="BE35" s="508">
        <v>27.62</v>
      </c>
      <c r="BF35" s="508" t="s">
        <v>668</v>
      </c>
      <c r="BG35" s="508">
        <v>19.03</v>
      </c>
      <c r="BH35" s="508">
        <v>19.329999999999998</v>
      </c>
      <c r="BI35" s="508" t="s">
        <v>668</v>
      </c>
      <c r="BJ35" s="508">
        <v>20.149999999999999</v>
      </c>
      <c r="BK35" s="508">
        <v>18.02</v>
      </c>
      <c r="BL35" s="508">
        <v>24.76</v>
      </c>
      <c r="BM35" s="508" t="s">
        <v>668</v>
      </c>
      <c r="BN35" s="508" t="s">
        <v>668</v>
      </c>
      <c r="BO35" s="508" t="s">
        <v>668</v>
      </c>
      <c r="BP35" s="508" t="s">
        <v>668</v>
      </c>
      <c r="BQ35" s="508" t="s">
        <v>668</v>
      </c>
      <c r="BR35" s="508">
        <v>18.920000000000002</v>
      </c>
      <c r="BS35" s="508">
        <v>18.920000000000002</v>
      </c>
      <c r="BT35" s="508">
        <v>18.38</v>
      </c>
      <c r="BU35" s="508">
        <v>18.5</v>
      </c>
      <c r="BV35" s="508">
        <v>18.5</v>
      </c>
      <c r="BW35" s="508">
        <v>18.920000000000002</v>
      </c>
      <c r="BX35" s="508">
        <v>18.5</v>
      </c>
      <c r="BY35" s="508">
        <v>19.05</v>
      </c>
      <c r="BZ35" s="508">
        <v>19.05</v>
      </c>
      <c r="CA35" s="508">
        <v>18.5</v>
      </c>
      <c r="CB35" s="508">
        <v>18.5</v>
      </c>
      <c r="CC35" s="508">
        <v>18.690000000000001</v>
      </c>
      <c r="CD35" s="508">
        <v>24.38</v>
      </c>
      <c r="CE35" s="508" t="s">
        <v>668</v>
      </c>
      <c r="CF35" s="508">
        <v>43.31</v>
      </c>
      <c r="CG35" s="508">
        <v>30.91</v>
      </c>
      <c r="CH35" s="508">
        <v>31.55</v>
      </c>
      <c r="CI35" s="508">
        <v>18.5</v>
      </c>
      <c r="CJ35" s="508">
        <v>18.5</v>
      </c>
      <c r="CK35" s="508" t="s">
        <v>668</v>
      </c>
      <c r="CL35" s="508">
        <v>18.02</v>
      </c>
      <c r="CM35" s="508" t="s">
        <v>668</v>
      </c>
      <c r="CN35" s="508">
        <v>18.04</v>
      </c>
      <c r="CO35" s="508">
        <v>19.05</v>
      </c>
      <c r="CP35" s="508">
        <v>18.03</v>
      </c>
      <c r="CQ35" s="508">
        <v>19.03</v>
      </c>
      <c r="CR35" s="508">
        <v>19.03</v>
      </c>
      <c r="CS35" s="508">
        <v>18.03</v>
      </c>
      <c r="CT35" s="508">
        <v>20.149999999999999</v>
      </c>
      <c r="CU35" s="508">
        <v>20.64</v>
      </c>
      <c r="CV35" s="508" t="s">
        <v>668</v>
      </c>
      <c r="CW35" s="508">
        <v>18.02</v>
      </c>
      <c r="CX35" s="508">
        <v>18.03</v>
      </c>
      <c r="CY35" s="508">
        <v>24.76</v>
      </c>
      <c r="CZ35" s="508">
        <v>24.76</v>
      </c>
      <c r="DA35" s="508">
        <v>27.62</v>
      </c>
      <c r="DB35" s="508">
        <v>21.43</v>
      </c>
      <c r="DC35" s="508">
        <v>43.52</v>
      </c>
      <c r="DD35" s="508">
        <v>43.52</v>
      </c>
      <c r="DE35" s="508">
        <v>18.5</v>
      </c>
      <c r="DF35" s="508">
        <v>18.5</v>
      </c>
      <c r="DG35" s="508">
        <v>44.05</v>
      </c>
      <c r="DH35" s="508">
        <v>18.02</v>
      </c>
      <c r="DI35" s="508" t="s">
        <v>668</v>
      </c>
      <c r="DJ35" s="508">
        <v>18.02</v>
      </c>
      <c r="DK35" s="508">
        <v>44.05</v>
      </c>
      <c r="DL35" s="508" t="s">
        <v>668</v>
      </c>
      <c r="DM35" s="508" t="s">
        <v>668</v>
      </c>
      <c r="DN35" s="508" t="s">
        <v>668</v>
      </c>
      <c r="DO35" s="508">
        <v>18.02</v>
      </c>
      <c r="DP35" s="508">
        <v>27.62</v>
      </c>
      <c r="DQ35" s="508">
        <v>19.05</v>
      </c>
      <c r="DR35" s="508">
        <v>19.05</v>
      </c>
      <c r="DS35" s="508">
        <v>27.87</v>
      </c>
      <c r="DT35" s="508">
        <v>18.5</v>
      </c>
      <c r="DU35" s="508">
        <v>27.62</v>
      </c>
      <c r="DV35" s="508">
        <v>19.329999999999998</v>
      </c>
      <c r="DW35" s="508">
        <v>19.03</v>
      </c>
      <c r="DX35" s="508">
        <v>18.02</v>
      </c>
      <c r="DY35" s="508">
        <v>24.76</v>
      </c>
      <c r="DZ35" s="508">
        <v>24.76</v>
      </c>
      <c r="EA35" s="508">
        <v>18.5</v>
      </c>
      <c r="EB35" s="508">
        <v>27.62</v>
      </c>
      <c r="EC35" s="508">
        <v>18.02</v>
      </c>
      <c r="ED35" s="508">
        <v>23.86</v>
      </c>
      <c r="EE35" s="508" t="s">
        <v>668</v>
      </c>
      <c r="EF35" s="508">
        <v>29.66</v>
      </c>
      <c r="EG35" s="508" t="s">
        <v>668</v>
      </c>
      <c r="EH35" s="508">
        <v>30.91</v>
      </c>
      <c r="EI35" s="508">
        <v>41.92</v>
      </c>
      <c r="EJ35" s="508">
        <v>18.04</v>
      </c>
      <c r="EK35" s="508">
        <v>18.29</v>
      </c>
      <c r="EL35" s="508" t="s">
        <v>668</v>
      </c>
      <c r="EM35" s="508">
        <v>18.02</v>
      </c>
      <c r="EN35" s="508" t="s">
        <v>668</v>
      </c>
      <c r="EO35" s="508">
        <v>18.02</v>
      </c>
      <c r="EP35" s="508">
        <v>18.5</v>
      </c>
      <c r="EQ35" s="508">
        <v>20.88</v>
      </c>
      <c r="ER35" s="508">
        <v>20.88</v>
      </c>
      <c r="ES35" s="508" t="s">
        <v>668</v>
      </c>
      <c r="ET35" s="508">
        <v>19.02</v>
      </c>
      <c r="EU35" s="508">
        <v>18.02</v>
      </c>
      <c r="EV35" s="508" t="s">
        <v>668</v>
      </c>
      <c r="EW35" s="508" t="s">
        <v>668</v>
      </c>
      <c r="EX35" s="508" t="s">
        <v>668</v>
      </c>
      <c r="EY35" s="508" t="s">
        <v>668</v>
      </c>
      <c r="EZ35" s="508" t="s">
        <v>668</v>
      </c>
      <c r="FA35" s="508" t="s">
        <v>668</v>
      </c>
      <c r="FB35" s="508" t="s">
        <v>668</v>
      </c>
      <c r="FC35" s="508" t="s">
        <v>668</v>
      </c>
      <c r="FD35" s="508" t="s">
        <v>668</v>
      </c>
      <c r="FE35" s="508" t="s">
        <v>668</v>
      </c>
      <c r="FF35" s="508" t="s">
        <v>668</v>
      </c>
      <c r="FG35" s="508" t="s">
        <v>668</v>
      </c>
      <c r="FH35" s="508" t="s">
        <v>668</v>
      </c>
      <c r="FI35" s="508" t="s">
        <v>668</v>
      </c>
      <c r="FJ35" s="508">
        <v>18.38</v>
      </c>
      <c r="FK35" s="508" t="s">
        <v>668</v>
      </c>
      <c r="FL35" s="508" t="s">
        <v>668</v>
      </c>
      <c r="FM35" s="508" t="s">
        <v>668</v>
      </c>
      <c r="FN35" s="508" t="s">
        <v>668</v>
      </c>
      <c r="FO35" s="508" t="s">
        <v>668</v>
      </c>
      <c r="FP35" s="508" t="s">
        <v>668</v>
      </c>
      <c r="FQ35" s="508" t="s">
        <v>668</v>
      </c>
      <c r="FR35" s="508" t="s">
        <v>668</v>
      </c>
      <c r="FS35" s="508" t="s">
        <v>668</v>
      </c>
      <c r="FT35" s="508" t="s">
        <v>668</v>
      </c>
      <c r="FU35" s="508">
        <v>18.510000000000002</v>
      </c>
      <c r="FV35" s="508">
        <v>18.72</v>
      </c>
      <c r="FW35" s="508">
        <v>27.93</v>
      </c>
      <c r="FX35" s="508" t="s">
        <v>668</v>
      </c>
      <c r="FY35" s="508" t="s">
        <v>668</v>
      </c>
      <c r="FZ35" s="508">
        <v>18.510000000000002</v>
      </c>
      <c r="GA35" s="508">
        <v>27.01</v>
      </c>
      <c r="GB35" s="508" t="s">
        <v>668</v>
      </c>
      <c r="GC35" s="508">
        <v>18.04</v>
      </c>
      <c r="GD35" s="508" t="s">
        <v>668</v>
      </c>
      <c r="GE35" s="508" t="s">
        <v>668</v>
      </c>
      <c r="GF35" s="508">
        <v>18.02</v>
      </c>
      <c r="GG35" s="508" t="s">
        <v>668</v>
      </c>
      <c r="GH35" s="508" t="s">
        <v>668</v>
      </c>
      <c r="GI35" s="508" t="s">
        <v>668</v>
      </c>
      <c r="GJ35" s="508" t="s">
        <v>668</v>
      </c>
      <c r="GK35" s="508" t="s">
        <v>668</v>
      </c>
      <c r="GL35" s="508" t="s">
        <v>668</v>
      </c>
      <c r="GM35" s="508" t="s">
        <v>668</v>
      </c>
      <c r="GN35" s="508" t="s">
        <v>668</v>
      </c>
      <c r="GO35" s="508" t="s">
        <v>668</v>
      </c>
      <c r="GP35" s="508">
        <v>19.3</v>
      </c>
      <c r="GQ35" s="508" t="s">
        <v>668</v>
      </c>
      <c r="GR35" s="508" t="s">
        <v>668</v>
      </c>
      <c r="GS35" s="508">
        <v>27.87</v>
      </c>
      <c r="GT35" s="508">
        <v>18.5</v>
      </c>
      <c r="GU35" s="508" t="s">
        <v>668</v>
      </c>
      <c r="GV35" s="508">
        <v>27.62</v>
      </c>
      <c r="GW35" s="508">
        <v>27.62</v>
      </c>
      <c r="GX35" s="508">
        <v>27.62</v>
      </c>
      <c r="GY35" s="508" t="s">
        <v>668</v>
      </c>
      <c r="GZ35" s="508">
        <v>18.02</v>
      </c>
      <c r="HA35" s="508">
        <v>18.02</v>
      </c>
      <c r="HB35" s="508">
        <v>18.04</v>
      </c>
      <c r="HC35" s="508" t="s">
        <v>668</v>
      </c>
      <c r="HD35" s="508">
        <v>24.76</v>
      </c>
      <c r="HE35" s="508">
        <v>20.149999999999999</v>
      </c>
      <c r="HF35" s="508">
        <v>24.76</v>
      </c>
      <c r="HG35" s="508">
        <v>43.53</v>
      </c>
      <c r="HH35" s="508">
        <v>27.62</v>
      </c>
      <c r="HI35" s="508">
        <v>43.53</v>
      </c>
      <c r="HJ35" s="508">
        <v>18.02</v>
      </c>
      <c r="HK35" s="508">
        <v>18.02</v>
      </c>
      <c r="HL35" s="508">
        <v>24.39</v>
      </c>
      <c r="HM35" s="508" t="s">
        <v>668</v>
      </c>
      <c r="HN35" s="508">
        <v>43.39</v>
      </c>
      <c r="HO35" s="508">
        <v>30.91</v>
      </c>
      <c r="HP35" s="508">
        <v>30.91</v>
      </c>
      <c r="HQ35" s="508">
        <v>18.29</v>
      </c>
      <c r="HR35" s="508">
        <v>44.03</v>
      </c>
      <c r="HS35" s="508" t="s">
        <v>668</v>
      </c>
      <c r="HT35" s="508" t="s">
        <v>668</v>
      </c>
      <c r="HU35" s="508">
        <v>18.5</v>
      </c>
      <c r="HV35" s="508">
        <v>27.87</v>
      </c>
      <c r="HW35" s="508">
        <v>18.920000000000002</v>
      </c>
      <c r="HX35" s="508">
        <v>18.920000000000002</v>
      </c>
      <c r="HY35" s="508">
        <v>18.920000000000002</v>
      </c>
      <c r="HZ35" s="508">
        <v>18.75</v>
      </c>
      <c r="IA35" s="508" t="s">
        <v>668</v>
      </c>
      <c r="IB35" s="508" t="s">
        <v>668</v>
      </c>
      <c r="IC35" s="508" t="s">
        <v>668</v>
      </c>
      <c r="ID35" s="508" t="s">
        <v>668</v>
      </c>
      <c r="IE35" s="508" t="s">
        <v>668</v>
      </c>
      <c r="IF35" s="508" t="s">
        <v>668</v>
      </c>
      <c r="IG35" s="508">
        <v>19.38</v>
      </c>
      <c r="IH35" s="572">
        <v>20.34</v>
      </c>
    </row>
    <row r="36" spans="1:242" s="503" customFormat="1" ht="15.95" customHeight="1" x14ac:dyDescent="0.2">
      <c r="D36" s="585" t="s">
        <v>499</v>
      </c>
      <c r="G36" s="504" t="s">
        <v>500</v>
      </c>
      <c r="H36" s="508" t="s">
        <v>668</v>
      </c>
      <c r="I36" s="508" t="s">
        <v>668</v>
      </c>
      <c r="J36" s="508" t="s">
        <v>668</v>
      </c>
      <c r="K36" s="508" t="s">
        <v>668</v>
      </c>
      <c r="L36" s="508" t="s">
        <v>668</v>
      </c>
      <c r="M36" s="508" t="s">
        <v>668</v>
      </c>
      <c r="N36" s="508" t="s">
        <v>668</v>
      </c>
      <c r="O36" s="508">
        <v>75.773894726815342</v>
      </c>
      <c r="P36" s="508" t="s">
        <v>668</v>
      </c>
      <c r="Q36" s="508" t="s">
        <v>668</v>
      </c>
      <c r="R36" s="508">
        <v>75.441369161166875</v>
      </c>
      <c r="S36" s="508">
        <v>74.211876156571861</v>
      </c>
      <c r="T36" s="508">
        <v>62.008833120000006</v>
      </c>
      <c r="U36" s="508">
        <v>74.182937711655072</v>
      </c>
      <c r="V36" s="508" t="s">
        <v>668</v>
      </c>
      <c r="W36" s="508">
        <v>74.076264329533444</v>
      </c>
      <c r="X36" s="508">
        <v>74.076264329533444</v>
      </c>
      <c r="Y36" s="508">
        <v>61.470239999999997</v>
      </c>
      <c r="Z36" s="508">
        <v>61.470239999999997</v>
      </c>
      <c r="AA36" s="508" t="s">
        <v>668</v>
      </c>
      <c r="AB36" s="508" t="s">
        <v>668</v>
      </c>
      <c r="AC36" s="508" t="s">
        <v>668</v>
      </c>
      <c r="AD36" s="508" t="s">
        <v>668</v>
      </c>
      <c r="AE36" s="508" t="s">
        <v>668</v>
      </c>
      <c r="AF36" s="508" t="s">
        <v>668</v>
      </c>
      <c r="AG36" s="508" t="s">
        <v>668</v>
      </c>
      <c r="AH36" s="508" t="s">
        <v>668</v>
      </c>
      <c r="AI36" s="508" t="s">
        <v>668</v>
      </c>
      <c r="AJ36" s="508">
        <v>62.63</v>
      </c>
      <c r="AK36" s="508" t="s">
        <v>668</v>
      </c>
      <c r="AL36" s="508">
        <v>61.63</v>
      </c>
      <c r="AM36" s="508">
        <v>61.66</v>
      </c>
      <c r="AN36" s="508">
        <v>61.63</v>
      </c>
      <c r="AO36" s="508">
        <v>58.47</v>
      </c>
      <c r="AP36" s="508" t="s">
        <v>668</v>
      </c>
      <c r="AQ36" s="508" t="s">
        <v>668</v>
      </c>
      <c r="AR36" s="508">
        <v>58.53</v>
      </c>
      <c r="AS36" s="508">
        <v>58.52</v>
      </c>
      <c r="AT36" s="508">
        <v>61.44</v>
      </c>
      <c r="AU36" s="508" t="s">
        <v>668</v>
      </c>
      <c r="AV36" s="508">
        <v>56.6</v>
      </c>
      <c r="AW36" s="508">
        <v>61.38</v>
      </c>
      <c r="AX36" s="508" t="s">
        <v>668</v>
      </c>
      <c r="AY36" s="508">
        <v>56.42</v>
      </c>
      <c r="AZ36" s="508" t="s">
        <v>668</v>
      </c>
      <c r="BA36" s="508">
        <v>61.3</v>
      </c>
      <c r="BB36" s="508" t="s">
        <v>668</v>
      </c>
      <c r="BC36" s="508" t="s">
        <v>668</v>
      </c>
      <c r="BD36" s="508" t="s">
        <v>668</v>
      </c>
      <c r="BE36" s="508">
        <v>56.42</v>
      </c>
      <c r="BF36" s="508" t="s">
        <v>668</v>
      </c>
      <c r="BG36" s="508">
        <v>60.38</v>
      </c>
      <c r="BH36" s="508">
        <v>57.22</v>
      </c>
      <c r="BI36" s="508" t="s">
        <v>668</v>
      </c>
      <c r="BJ36" s="508">
        <v>58.54</v>
      </c>
      <c r="BK36" s="508">
        <v>61.82</v>
      </c>
      <c r="BL36" s="508">
        <v>62.24</v>
      </c>
      <c r="BM36" s="508" t="s">
        <v>668</v>
      </c>
      <c r="BN36" s="508" t="s">
        <v>668</v>
      </c>
      <c r="BO36" s="508" t="s">
        <v>668</v>
      </c>
      <c r="BP36" s="508" t="s">
        <v>668</v>
      </c>
      <c r="BQ36" s="508" t="s">
        <v>668</v>
      </c>
      <c r="BR36" s="508">
        <v>61.65</v>
      </c>
      <c r="BS36" s="508">
        <v>60.76</v>
      </c>
      <c r="BT36" s="508">
        <v>61.06</v>
      </c>
      <c r="BU36" s="508">
        <v>58.48</v>
      </c>
      <c r="BV36" s="508">
        <v>60.76</v>
      </c>
      <c r="BW36" s="508">
        <v>58.47</v>
      </c>
      <c r="BX36" s="508">
        <v>61.38</v>
      </c>
      <c r="BY36" s="508">
        <v>61.63</v>
      </c>
      <c r="BZ36" s="508">
        <v>61.93</v>
      </c>
      <c r="CA36" s="508">
        <v>60.7</v>
      </c>
      <c r="CB36" s="508">
        <v>61.38</v>
      </c>
      <c r="CC36" s="508">
        <v>59.02</v>
      </c>
      <c r="CD36" s="508">
        <v>57.93</v>
      </c>
      <c r="CE36" s="508" t="s">
        <v>668</v>
      </c>
      <c r="CF36" s="508">
        <v>54.41</v>
      </c>
      <c r="CG36" s="508">
        <v>61.59</v>
      </c>
      <c r="CH36" s="508">
        <v>61.53</v>
      </c>
      <c r="CI36" s="508">
        <v>61.31</v>
      </c>
      <c r="CJ36" s="508">
        <v>62.62</v>
      </c>
      <c r="CK36" s="508" t="s">
        <v>668</v>
      </c>
      <c r="CL36" s="508">
        <v>61.91</v>
      </c>
      <c r="CM36" s="508" t="s">
        <v>668</v>
      </c>
      <c r="CN36" s="508">
        <v>62.1</v>
      </c>
      <c r="CO36" s="508">
        <v>60.08</v>
      </c>
      <c r="CP36" s="508">
        <v>59.33</v>
      </c>
      <c r="CQ36" s="508">
        <v>59.98</v>
      </c>
      <c r="CR36" s="508">
        <v>56.84</v>
      </c>
      <c r="CS36" s="508">
        <v>61.25</v>
      </c>
      <c r="CT36" s="508">
        <v>58.54</v>
      </c>
      <c r="CU36" s="508">
        <v>58.79</v>
      </c>
      <c r="CV36" s="508" t="s">
        <v>668</v>
      </c>
      <c r="CW36" s="508">
        <v>61.82</v>
      </c>
      <c r="CX36" s="508">
        <v>58.44</v>
      </c>
      <c r="CY36" s="508">
        <v>62.24</v>
      </c>
      <c r="CZ36" s="508">
        <v>62.14</v>
      </c>
      <c r="DA36" s="508">
        <v>56.42</v>
      </c>
      <c r="DB36" s="508">
        <v>57.09</v>
      </c>
      <c r="DC36" s="508">
        <v>51.36</v>
      </c>
      <c r="DD36" s="508">
        <v>53.02</v>
      </c>
      <c r="DE36" s="508">
        <v>58.51</v>
      </c>
      <c r="DF36" s="508">
        <v>58.51</v>
      </c>
      <c r="DG36" s="508">
        <v>51.83</v>
      </c>
      <c r="DH36" s="508">
        <v>59.57</v>
      </c>
      <c r="DI36" s="508" t="s">
        <v>668</v>
      </c>
      <c r="DJ36" s="508">
        <v>59.57</v>
      </c>
      <c r="DK36" s="508">
        <v>51.66</v>
      </c>
      <c r="DL36" s="508" t="s">
        <v>668</v>
      </c>
      <c r="DM36" s="508" t="s">
        <v>668</v>
      </c>
      <c r="DN36" s="508" t="s">
        <v>668</v>
      </c>
      <c r="DO36" s="508">
        <v>62.74</v>
      </c>
      <c r="DP36" s="508">
        <v>56.43</v>
      </c>
      <c r="DQ36" s="508">
        <v>61.63</v>
      </c>
      <c r="DR36" s="508">
        <v>61.63</v>
      </c>
      <c r="DS36" s="508">
        <v>56.49</v>
      </c>
      <c r="DT36" s="508">
        <v>58.48</v>
      </c>
      <c r="DU36" s="508">
        <v>56.43</v>
      </c>
      <c r="DV36" s="508">
        <v>61.33</v>
      </c>
      <c r="DW36" s="508">
        <v>60.37</v>
      </c>
      <c r="DX36" s="508">
        <v>61.82</v>
      </c>
      <c r="DY36" s="508">
        <v>62.24</v>
      </c>
      <c r="DZ36" s="508">
        <v>62.24</v>
      </c>
      <c r="EA36" s="508">
        <v>58.51</v>
      </c>
      <c r="EB36" s="508">
        <v>56.43</v>
      </c>
      <c r="EC36" s="508">
        <v>61.11</v>
      </c>
      <c r="ED36" s="508">
        <v>57.45</v>
      </c>
      <c r="EE36" s="508" t="s">
        <v>668</v>
      </c>
      <c r="EF36" s="508">
        <v>64.63</v>
      </c>
      <c r="EG36" s="508" t="s">
        <v>668</v>
      </c>
      <c r="EH36" s="508">
        <v>61.44</v>
      </c>
      <c r="EI36" s="508">
        <v>62.25</v>
      </c>
      <c r="EJ36" s="508">
        <v>57.21</v>
      </c>
      <c r="EK36" s="508">
        <v>57.5</v>
      </c>
      <c r="EL36" s="508" t="s">
        <v>668</v>
      </c>
      <c r="EM36" s="508">
        <v>60.03</v>
      </c>
      <c r="EN36" s="508" t="s">
        <v>668</v>
      </c>
      <c r="EO36" s="508">
        <v>59.59</v>
      </c>
      <c r="EP36" s="508">
        <v>61.38</v>
      </c>
      <c r="EQ36" s="508">
        <v>70.569999999999993</v>
      </c>
      <c r="ER36" s="508">
        <v>70.569999999999993</v>
      </c>
      <c r="ES36" s="508" t="s">
        <v>668</v>
      </c>
      <c r="ET36" s="508">
        <v>60.28</v>
      </c>
      <c r="EU36" s="508">
        <v>62.14</v>
      </c>
      <c r="EV36" s="508" t="s">
        <v>668</v>
      </c>
      <c r="EW36" s="508" t="s">
        <v>668</v>
      </c>
      <c r="EX36" s="508" t="s">
        <v>668</v>
      </c>
      <c r="EY36" s="508" t="s">
        <v>668</v>
      </c>
      <c r="EZ36" s="508" t="s">
        <v>668</v>
      </c>
      <c r="FA36" s="508" t="s">
        <v>668</v>
      </c>
      <c r="FB36" s="508" t="s">
        <v>668</v>
      </c>
      <c r="FC36" s="508" t="s">
        <v>668</v>
      </c>
      <c r="FD36" s="508" t="s">
        <v>668</v>
      </c>
      <c r="FE36" s="508" t="s">
        <v>668</v>
      </c>
      <c r="FF36" s="508" t="s">
        <v>668</v>
      </c>
      <c r="FG36" s="508" t="s">
        <v>668</v>
      </c>
      <c r="FH36" s="508" t="s">
        <v>668</v>
      </c>
      <c r="FI36" s="508" t="s">
        <v>668</v>
      </c>
      <c r="FJ36" s="508">
        <v>62.17</v>
      </c>
      <c r="FK36" s="508" t="s">
        <v>668</v>
      </c>
      <c r="FL36" s="508" t="s">
        <v>668</v>
      </c>
      <c r="FM36" s="508" t="s">
        <v>668</v>
      </c>
      <c r="FN36" s="508" t="s">
        <v>668</v>
      </c>
      <c r="FO36" s="508" t="s">
        <v>668</v>
      </c>
      <c r="FP36" s="508" t="s">
        <v>668</v>
      </c>
      <c r="FQ36" s="508" t="s">
        <v>668</v>
      </c>
      <c r="FR36" s="508" t="s">
        <v>668</v>
      </c>
      <c r="FS36" s="508" t="s">
        <v>668</v>
      </c>
      <c r="FT36" s="508" t="s">
        <v>668</v>
      </c>
      <c r="FU36" s="508">
        <v>62.4</v>
      </c>
      <c r="FV36" s="508">
        <v>59.04</v>
      </c>
      <c r="FW36" s="508">
        <v>56.42</v>
      </c>
      <c r="FX36" s="508" t="s">
        <v>668</v>
      </c>
      <c r="FY36" s="508" t="s">
        <v>668</v>
      </c>
      <c r="FZ36" s="508">
        <v>62.55</v>
      </c>
      <c r="GA36" s="508">
        <v>60.65</v>
      </c>
      <c r="GB36" s="508" t="s">
        <v>668</v>
      </c>
      <c r="GC36" s="508">
        <v>57.49</v>
      </c>
      <c r="GD36" s="508" t="s">
        <v>668</v>
      </c>
      <c r="GE36" s="508" t="s">
        <v>668</v>
      </c>
      <c r="GF36" s="508">
        <v>59.41</v>
      </c>
      <c r="GG36" s="508" t="s">
        <v>668</v>
      </c>
      <c r="GH36" s="508" t="s">
        <v>668</v>
      </c>
      <c r="GI36" s="508" t="s">
        <v>668</v>
      </c>
      <c r="GJ36" s="508" t="s">
        <v>668</v>
      </c>
      <c r="GK36" s="508" t="s">
        <v>668</v>
      </c>
      <c r="GL36" s="508" t="s">
        <v>668</v>
      </c>
      <c r="GM36" s="508" t="s">
        <v>668</v>
      </c>
      <c r="GN36" s="508" t="s">
        <v>668</v>
      </c>
      <c r="GO36" s="508" t="s">
        <v>668</v>
      </c>
      <c r="GP36" s="508">
        <v>61.74</v>
      </c>
      <c r="GQ36" s="508" t="s">
        <v>668</v>
      </c>
      <c r="GR36" s="508" t="s">
        <v>668</v>
      </c>
      <c r="GS36" s="508">
        <v>56.49</v>
      </c>
      <c r="GT36" s="508">
        <v>58.52</v>
      </c>
      <c r="GU36" s="508" t="s">
        <v>668</v>
      </c>
      <c r="GV36" s="508">
        <v>56.43</v>
      </c>
      <c r="GW36" s="508">
        <v>56.43</v>
      </c>
      <c r="GX36" s="508">
        <v>56.42</v>
      </c>
      <c r="GY36" s="508" t="s">
        <v>668</v>
      </c>
      <c r="GZ36" s="508">
        <v>62.03</v>
      </c>
      <c r="HA36" s="508">
        <v>62.04</v>
      </c>
      <c r="HB36" s="508">
        <v>62.1</v>
      </c>
      <c r="HC36" s="508" t="s">
        <v>668</v>
      </c>
      <c r="HD36" s="508">
        <v>62.24</v>
      </c>
      <c r="HE36" s="508">
        <v>58.54</v>
      </c>
      <c r="HF36" s="508">
        <v>62.24</v>
      </c>
      <c r="HG36" s="508">
        <v>52.83</v>
      </c>
      <c r="HH36" s="508">
        <v>56.43</v>
      </c>
      <c r="HI36" s="508">
        <v>52.83</v>
      </c>
      <c r="HJ36" s="508">
        <v>61.82</v>
      </c>
      <c r="HK36" s="508">
        <v>61.82</v>
      </c>
      <c r="HL36" s="508">
        <v>57.93</v>
      </c>
      <c r="HM36" s="508" t="s">
        <v>668</v>
      </c>
      <c r="HN36" s="508">
        <v>54.4</v>
      </c>
      <c r="HO36" s="508">
        <v>61.44</v>
      </c>
      <c r="HP36" s="508">
        <v>61.44</v>
      </c>
      <c r="HQ36" s="508">
        <v>57.5</v>
      </c>
      <c r="HR36" s="508">
        <v>53.14</v>
      </c>
      <c r="HS36" s="508" t="s">
        <v>668</v>
      </c>
      <c r="HT36" s="508" t="s">
        <v>668</v>
      </c>
      <c r="HU36" s="508">
        <v>58.51</v>
      </c>
      <c r="HV36" s="508">
        <v>56.74</v>
      </c>
      <c r="HW36" s="508">
        <v>61.65</v>
      </c>
      <c r="HX36" s="508">
        <v>60.76</v>
      </c>
      <c r="HY36" s="508">
        <v>58.47</v>
      </c>
      <c r="HZ36" s="508">
        <v>59.15</v>
      </c>
      <c r="IA36" s="508" t="s">
        <v>668</v>
      </c>
      <c r="IB36" s="508" t="s">
        <v>668</v>
      </c>
      <c r="IC36" s="508" t="s">
        <v>668</v>
      </c>
      <c r="ID36" s="508" t="s">
        <v>668</v>
      </c>
      <c r="IE36" s="508" t="s">
        <v>668</v>
      </c>
      <c r="IF36" s="508" t="s">
        <v>668</v>
      </c>
      <c r="IG36" s="508">
        <v>58.16</v>
      </c>
      <c r="IH36" s="572">
        <v>60.57</v>
      </c>
    </row>
    <row r="37" spans="1:242" s="503" customFormat="1" ht="15.95" customHeight="1" x14ac:dyDescent="0.2">
      <c r="D37" s="585" t="s">
        <v>503</v>
      </c>
      <c r="G37" s="504" t="s">
        <v>504</v>
      </c>
      <c r="H37" s="515" t="s">
        <v>668</v>
      </c>
      <c r="I37" s="515" t="s">
        <v>668</v>
      </c>
      <c r="J37" s="515" t="s">
        <v>668</v>
      </c>
      <c r="K37" s="515" t="s">
        <v>668</v>
      </c>
      <c r="L37" s="515" t="s">
        <v>668</v>
      </c>
      <c r="M37" s="515" t="s">
        <v>668</v>
      </c>
      <c r="N37" s="515" t="s">
        <v>668</v>
      </c>
      <c r="O37" s="515">
        <v>0.84809615514121728</v>
      </c>
      <c r="P37" s="515" t="s">
        <v>668</v>
      </c>
      <c r="Q37" s="515" t="s">
        <v>668</v>
      </c>
      <c r="R37" s="515">
        <v>0.82727394692631162</v>
      </c>
      <c r="S37" s="515">
        <v>0.65379760797773523</v>
      </c>
      <c r="T37" s="515">
        <v>0.60118508382457891</v>
      </c>
      <c r="U37" s="515">
        <v>0.6547984464807366</v>
      </c>
      <c r="V37" s="515" t="s">
        <v>668</v>
      </c>
      <c r="W37" s="515">
        <v>0.62764564172921489</v>
      </c>
      <c r="X37" s="515">
        <v>0.62764564172921489</v>
      </c>
      <c r="Y37" s="515">
        <v>0.46924753509622297</v>
      </c>
      <c r="Z37" s="515">
        <v>0.46924753509622297</v>
      </c>
      <c r="AA37" s="515" t="s">
        <v>668</v>
      </c>
      <c r="AB37" s="515" t="s">
        <v>668</v>
      </c>
      <c r="AC37" s="515" t="s">
        <v>668</v>
      </c>
      <c r="AD37" s="515" t="s">
        <v>668</v>
      </c>
      <c r="AE37" s="515" t="s">
        <v>668</v>
      </c>
      <c r="AF37" s="515" t="s">
        <v>668</v>
      </c>
      <c r="AG37" s="515" t="s">
        <v>668</v>
      </c>
      <c r="AH37" s="515" t="s">
        <v>668</v>
      </c>
      <c r="AI37" s="515" t="s">
        <v>668</v>
      </c>
      <c r="AJ37" s="515">
        <v>0.76</v>
      </c>
      <c r="AK37" s="515" t="s">
        <v>668</v>
      </c>
      <c r="AL37" s="515">
        <v>0.56999999999999995</v>
      </c>
      <c r="AM37" s="515">
        <v>0.63</v>
      </c>
      <c r="AN37" s="515">
        <v>0.56999999999999995</v>
      </c>
      <c r="AO37" s="515">
        <v>0.25</v>
      </c>
      <c r="AP37" s="515" t="s">
        <v>668</v>
      </c>
      <c r="AQ37" s="515" t="s">
        <v>668</v>
      </c>
      <c r="AR37" s="515">
        <v>0.22</v>
      </c>
      <c r="AS37" s="515">
        <v>0.22</v>
      </c>
      <c r="AT37" s="515">
        <v>0.32</v>
      </c>
      <c r="AU37" s="515" t="s">
        <v>668</v>
      </c>
      <c r="AV37" s="515">
        <v>0.48</v>
      </c>
      <c r="AW37" s="515">
        <v>0.44</v>
      </c>
      <c r="AX37" s="515" t="s">
        <v>668</v>
      </c>
      <c r="AY37" s="515">
        <v>0.45</v>
      </c>
      <c r="AZ37" s="515" t="s">
        <v>668</v>
      </c>
      <c r="BA37" s="515">
        <v>0.59</v>
      </c>
      <c r="BB37" s="515" t="s">
        <v>668</v>
      </c>
      <c r="BC37" s="515" t="s">
        <v>668</v>
      </c>
      <c r="BD37" s="515" t="s">
        <v>668</v>
      </c>
      <c r="BE37" s="515">
        <v>0.45</v>
      </c>
      <c r="BF37" s="515" t="s">
        <v>668</v>
      </c>
      <c r="BG37" s="515">
        <v>0.35</v>
      </c>
      <c r="BH37" s="515">
        <v>0.18</v>
      </c>
      <c r="BI37" s="515" t="s">
        <v>668</v>
      </c>
      <c r="BJ37" s="515">
        <v>0.21</v>
      </c>
      <c r="BK37" s="515">
        <v>0.56000000000000005</v>
      </c>
      <c r="BL37" s="515">
        <v>0.33</v>
      </c>
      <c r="BM37" s="515" t="s">
        <v>668</v>
      </c>
      <c r="BN37" s="515" t="s">
        <v>668</v>
      </c>
      <c r="BO37" s="515" t="s">
        <v>668</v>
      </c>
      <c r="BP37" s="515" t="s">
        <v>668</v>
      </c>
      <c r="BQ37" s="515" t="s">
        <v>668</v>
      </c>
      <c r="BR37" s="515">
        <v>0.63</v>
      </c>
      <c r="BS37" s="515">
        <v>0.44</v>
      </c>
      <c r="BT37" s="515">
        <v>0.51</v>
      </c>
      <c r="BU37" s="515">
        <v>0.22</v>
      </c>
      <c r="BV37" s="515">
        <v>0.36</v>
      </c>
      <c r="BW37" s="515">
        <v>0.25</v>
      </c>
      <c r="BX37" s="515">
        <v>0.44</v>
      </c>
      <c r="BY37" s="515">
        <v>0.56999999999999995</v>
      </c>
      <c r="BZ37" s="515">
        <v>0.65</v>
      </c>
      <c r="CA37" s="515">
        <v>0.35</v>
      </c>
      <c r="CB37" s="515">
        <v>0.44</v>
      </c>
      <c r="CC37" s="515">
        <v>0.26</v>
      </c>
      <c r="CD37" s="515">
        <v>0.54</v>
      </c>
      <c r="CE37" s="515" t="s">
        <v>668</v>
      </c>
      <c r="CF37" s="515">
        <v>0.28000000000000003</v>
      </c>
      <c r="CG37" s="515">
        <v>0.33</v>
      </c>
      <c r="CH37" s="515">
        <v>0.32</v>
      </c>
      <c r="CI37" s="515">
        <v>0.43</v>
      </c>
      <c r="CJ37" s="515">
        <v>0.76</v>
      </c>
      <c r="CK37" s="515" t="s">
        <v>668</v>
      </c>
      <c r="CL37" s="515">
        <v>0.59</v>
      </c>
      <c r="CM37" s="515" t="s">
        <v>668</v>
      </c>
      <c r="CN37" s="515">
        <v>0.67</v>
      </c>
      <c r="CO37" s="515">
        <v>0.34</v>
      </c>
      <c r="CP37" s="515">
        <v>0.27</v>
      </c>
      <c r="CQ37" s="515">
        <v>0.32</v>
      </c>
      <c r="CR37" s="515">
        <v>0.19</v>
      </c>
      <c r="CS37" s="515">
        <v>0.45</v>
      </c>
      <c r="CT37" s="515">
        <v>0.21</v>
      </c>
      <c r="CU37" s="515">
        <v>0.21</v>
      </c>
      <c r="CV37" s="515" t="s">
        <v>668</v>
      </c>
      <c r="CW37" s="515">
        <v>0.56000000000000005</v>
      </c>
      <c r="CX37" s="515">
        <v>0.23</v>
      </c>
      <c r="CY37" s="515">
        <v>0.33</v>
      </c>
      <c r="CZ37" s="515">
        <v>0.32</v>
      </c>
      <c r="DA37" s="515">
        <v>0.45</v>
      </c>
      <c r="DB37" s="515">
        <v>0.33</v>
      </c>
      <c r="DC37" s="515">
        <v>0.21</v>
      </c>
      <c r="DD37" s="515">
        <v>0.23</v>
      </c>
      <c r="DE37" s="515">
        <v>0.22</v>
      </c>
      <c r="DF37" s="515">
        <v>0.22</v>
      </c>
      <c r="DG37" s="515">
        <v>0.21</v>
      </c>
      <c r="DH37" s="515">
        <v>0.28000000000000003</v>
      </c>
      <c r="DI37" s="515" t="s">
        <v>668</v>
      </c>
      <c r="DJ37" s="515">
        <v>0.28000000000000003</v>
      </c>
      <c r="DK37" s="515">
        <v>0.21</v>
      </c>
      <c r="DL37" s="515" t="s">
        <v>668</v>
      </c>
      <c r="DM37" s="515" t="s">
        <v>668</v>
      </c>
      <c r="DN37" s="515" t="s">
        <v>668</v>
      </c>
      <c r="DO37" s="515">
        <v>0.89</v>
      </c>
      <c r="DP37" s="515">
        <v>0.45</v>
      </c>
      <c r="DQ37" s="515">
        <v>0.56999999999999995</v>
      </c>
      <c r="DR37" s="515">
        <v>0.56999999999999995</v>
      </c>
      <c r="DS37" s="515">
        <v>0.47</v>
      </c>
      <c r="DT37" s="515">
        <v>0.22</v>
      </c>
      <c r="DU37" s="515">
        <v>0.45</v>
      </c>
      <c r="DV37" s="515">
        <v>0.6</v>
      </c>
      <c r="DW37" s="515">
        <v>0.35</v>
      </c>
      <c r="DX37" s="515">
        <v>0.56000000000000005</v>
      </c>
      <c r="DY37" s="515">
        <v>0.33</v>
      </c>
      <c r="DZ37" s="515">
        <v>0.33</v>
      </c>
      <c r="EA37" s="515">
        <v>0.22</v>
      </c>
      <c r="EB37" s="515">
        <v>0.45</v>
      </c>
      <c r="EC37" s="515">
        <v>0.42</v>
      </c>
      <c r="ED37" s="515">
        <v>0.14000000000000001</v>
      </c>
      <c r="EE37" s="515" t="s">
        <v>668</v>
      </c>
      <c r="EF37" s="515">
        <v>0.21</v>
      </c>
      <c r="EG37" s="515" t="s">
        <v>668</v>
      </c>
      <c r="EH37" s="515">
        <v>0.32</v>
      </c>
      <c r="EI37" s="515">
        <v>0.41</v>
      </c>
      <c r="EJ37" s="515">
        <v>0.19</v>
      </c>
      <c r="EK37" s="515">
        <v>0.21</v>
      </c>
      <c r="EL37" s="515" t="s">
        <v>668</v>
      </c>
      <c r="EM37" s="515">
        <v>0.31</v>
      </c>
      <c r="EN37" s="515" t="s">
        <v>668</v>
      </c>
      <c r="EO37" s="515">
        <v>0.28000000000000003</v>
      </c>
      <c r="EP37" s="515">
        <v>0.44</v>
      </c>
      <c r="EQ37" s="515">
        <v>0.64</v>
      </c>
      <c r="ER37" s="515">
        <v>0.64</v>
      </c>
      <c r="ES37" s="515" t="s">
        <v>668</v>
      </c>
      <c r="ET37" s="515">
        <v>0.34</v>
      </c>
      <c r="EU37" s="515">
        <v>0.65</v>
      </c>
      <c r="EV37" s="515" t="s">
        <v>668</v>
      </c>
      <c r="EW37" s="515" t="s">
        <v>668</v>
      </c>
      <c r="EX37" s="515" t="s">
        <v>668</v>
      </c>
      <c r="EY37" s="515" t="s">
        <v>668</v>
      </c>
      <c r="EZ37" s="515" t="s">
        <v>668</v>
      </c>
      <c r="FA37" s="515" t="s">
        <v>668</v>
      </c>
      <c r="FB37" s="515" t="s">
        <v>668</v>
      </c>
      <c r="FC37" s="515" t="s">
        <v>668</v>
      </c>
      <c r="FD37" s="515" t="s">
        <v>668</v>
      </c>
      <c r="FE37" s="515" t="s">
        <v>668</v>
      </c>
      <c r="FF37" s="515" t="s">
        <v>668</v>
      </c>
      <c r="FG37" s="515" t="s">
        <v>668</v>
      </c>
      <c r="FH37" s="515" t="s">
        <v>668</v>
      </c>
      <c r="FI37" s="515" t="s">
        <v>668</v>
      </c>
      <c r="FJ37" s="515">
        <v>0.69</v>
      </c>
      <c r="FK37" s="515" t="s">
        <v>668</v>
      </c>
      <c r="FL37" s="515" t="s">
        <v>668</v>
      </c>
      <c r="FM37" s="515" t="s">
        <v>668</v>
      </c>
      <c r="FN37" s="515" t="s">
        <v>668</v>
      </c>
      <c r="FO37" s="515" t="s">
        <v>668</v>
      </c>
      <c r="FP37" s="515" t="s">
        <v>668</v>
      </c>
      <c r="FQ37" s="515" t="s">
        <v>668</v>
      </c>
      <c r="FR37" s="515" t="s">
        <v>668</v>
      </c>
      <c r="FS37" s="515" t="s">
        <v>668</v>
      </c>
      <c r="FT37" s="515" t="s">
        <v>668</v>
      </c>
      <c r="FU37" s="515">
        <v>0.76</v>
      </c>
      <c r="FV37" s="515">
        <v>0.26</v>
      </c>
      <c r="FW37" s="515">
        <v>0.46</v>
      </c>
      <c r="FX37" s="515" t="s">
        <v>668</v>
      </c>
      <c r="FY37" s="515" t="s">
        <v>668</v>
      </c>
      <c r="FZ37" s="515">
        <v>0.75</v>
      </c>
      <c r="GA37" s="515">
        <v>0.2</v>
      </c>
      <c r="GB37" s="515" t="s">
        <v>668</v>
      </c>
      <c r="GC37" s="515">
        <v>0.19</v>
      </c>
      <c r="GD37" s="515" t="s">
        <v>668</v>
      </c>
      <c r="GE37" s="515" t="s">
        <v>668</v>
      </c>
      <c r="GF37" s="515">
        <v>0.27</v>
      </c>
      <c r="GG37" s="515" t="s">
        <v>668</v>
      </c>
      <c r="GH37" s="515" t="s">
        <v>668</v>
      </c>
      <c r="GI37" s="515" t="s">
        <v>668</v>
      </c>
      <c r="GJ37" s="515" t="s">
        <v>668</v>
      </c>
      <c r="GK37" s="515" t="s">
        <v>668</v>
      </c>
      <c r="GL37" s="515" t="s">
        <v>668</v>
      </c>
      <c r="GM37" s="515" t="s">
        <v>668</v>
      </c>
      <c r="GN37" s="515" t="s">
        <v>668</v>
      </c>
      <c r="GO37" s="515" t="s">
        <v>668</v>
      </c>
      <c r="GP37" s="515">
        <v>0.53</v>
      </c>
      <c r="GQ37" s="515" t="s">
        <v>668</v>
      </c>
      <c r="GR37" s="515" t="s">
        <v>668</v>
      </c>
      <c r="GS37" s="515">
        <v>0.47</v>
      </c>
      <c r="GT37" s="515">
        <v>0.22</v>
      </c>
      <c r="GU37" s="515" t="s">
        <v>668</v>
      </c>
      <c r="GV37" s="515">
        <v>0.45</v>
      </c>
      <c r="GW37" s="515">
        <v>0.45</v>
      </c>
      <c r="GX37" s="515">
        <v>0.45</v>
      </c>
      <c r="GY37" s="515" t="s">
        <v>668</v>
      </c>
      <c r="GZ37" s="515">
        <v>0.62</v>
      </c>
      <c r="HA37" s="515">
        <v>0.63</v>
      </c>
      <c r="HB37" s="515">
        <v>0.67</v>
      </c>
      <c r="HC37" s="515" t="s">
        <v>668</v>
      </c>
      <c r="HD37" s="515">
        <v>0.33</v>
      </c>
      <c r="HE37" s="515">
        <v>0.21</v>
      </c>
      <c r="HF37" s="515">
        <v>0.33</v>
      </c>
      <c r="HG37" s="515">
        <v>0.23</v>
      </c>
      <c r="HH37" s="515">
        <v>0.45</v>
      </c>
      <c r="HI37" s="515">
        <v>0.23</v>
      </c>
      <c r="HJ37" s="515">
        <v>0.56000000000000005</v>
      </c>
      <c r="HK37" s="515">
        <v>0.56000000000000005</v>
      </c>
      <c r="HL37" s="515">
        <v>0.54</v>
      </c>
      <c r="HM37" s="515" t="s">
        <v>668</v>
      </c>
      <c r="HN37" s="515">
        <v>0.27</v>
      </c>
      <c r="HO37" s="515">
        <v>0.32</v>
      </c>
      <c r="HP37" s="515">
        <v>0.32</v>
      </c>
      <c r="HQ37" s="515">
        <v>0.21</v>
      </c>
      <c r="HR37" s="515">
        <v>0.23</v>
      </c>
      <c r="HS37" s="515" t="s">
        <v>668</v>
      </c>
      <c r="HT37" s="515" t="s">
        <v>668</v>
      </c>
      <c r="HU37" s="515">
        <v>0.22</v>
      </c>
      <c r="HV37" s="515">
        <v>0.49</v>
      </c>
      <c r="HW37" s="515">
        <v>0.63</v>
      </c>
      <c r="HX37" s="515">
        <v>0.44</v>
      </c>
      <c r="HY37" s="515">
        <v>0.25</v>
      </c>
      <c r="HZ37" s="515">
        <v>0.26</v>
      </c>
      <c r="IA37" s="515" t="s">
        <v>668</v>
      </c>
      <c r="IB37" s="515" t="s">
        <v>668</v>
      </c>
      <c r="IC37" s="515" t="s">
        <v>668</v>
      </c>
      <c r="ID37" s="515" t="s">
        <v>668</v>
      </c>
      <c r="IE37" s="515" t="s">
        <v>668</v>
      </c>
      <c r="IF37" s="515" t="s">
        <v>668</v>
      </c>
      <c r="IG37" s="515">
        <v>0.2</v>
      </c>
      <c r="IH37" s="575">
        <v>0.28999999999999998</v>
      </c>
    </row>
    <row r="38" spans="1:242" s="503" customFormat="1" ht="15.95" customHeight="1" x14ac:dyDescent="0.2">
      <c r="D38" s="585" t="s">
        <v>505</v>
      </c>
      <c r="G38" s="504" t="s">
        <v>506</v>
      </c>
      <c r="H38" s="517" t="s">
        <v>668</v>
      </c>
      <c r="I38" s="517" t="s">
        <v>668</v>
      </c>
      <c r="J38" s="517" t="s">
        <v>668</v>
      </c>
      <c r="K38" s="517" t="s">
        <v>668</v>
      </c>
      <c r="L38" s="517" t="s">
        <v>668</v>
      </c>
      <c r="M38" s="517" t="s">
        <v>668</v>
      </c>
      <c r="N38" s="517" t="s">
        <v>668</v>
      </c>
      <c r="O38" s="517">
        <v>0.34297622999999999</v>
      </c>
      <c r="P38" s="517" t="s">
        <v>668</v>
      </c>
      <c r="Q38" s="517" t="s">
        <v>668</v>
      </c>
      <c r="R38" s="517">
        <v>0.34424681933900142</v>
      </c>
      <c r="S38" s="517">
        <v>0.35198742399999999</v>
      </c>
      <c r="T38" s="517">
        <v>0.36985828599999998</v>
      </c>
      <c r="U38" s="517">
        <v>0.35209679443538444</v>
      </c>
      <c r="V38" s="517" t="s">
        <v>668</v>
      </c>
      <c r="W38" s="517">
        <v>0.35219745000000002</v>
      </c>
      <c r="X38" s="517">
        <v>0.35219745000000002</v>
      </c>
      <c r="Y38" s="517">
        <v>0.37828000000000001</v>
      </c>
      <c r="Z38" s="517">
        <v>0.37828000000000001</v>
      </c>
      <c r="AA38" s="517" t="s">
        <v>668</v>
      </c>
      <c r="AB38" s="517" t="s">
        <v>668</v>
      </c>
      <c r="AC38" s="517" t="s">
        <v>668</v>
      </c>
      <c r="AD38" s="517" t="s">
        <v>668</v>
      </c>
      <c r="AE38" s="517" t="s">
        <v>668</v>
      </c>
      <c r="AF38" s="517" t="s">
        <v>668</v>
      </c>
      <c r="AG38" s="517" t="s">
        <v>668</v>
      </c>
      <c r="AH38" s="517" t="s">
        <v>668</v>
      </c>
      <c r="AI38" s="517" t="s">
        <v>668</v>
      </c>
      <c r="AJ38" s="517">
        <v>0.35</v>
      </c>
      <c r="AK38" s="517" t="s">
        <v>668</v>
      </c>
      <c r="AL38" s="517">
        <v>0.33</v>
      </c>
      <c r="AM38" s="517">
        <v>0.33</v>
      </c>
      <c r="AN38" s="517">
        <v>0.33</v>
      </c>
      <c r="AO38" s="517">
        <v>0.35</v>
      </c>
      <c r="AP38" s="517" t="s">
        <v>668</v>
      </c>
      <c r="AQ38" s="517" t="s">
        <v>668</v>
      </c>
      <c r="AR38" s="517">
        <v>0.38</v>
      </c>
      <c r="AS38" s="517">
        <v>0.38</v>
      </c>
      <c r="AT38" s="517">
        <v>0.23</v>
      </c>
      <c r="AU38" s="517" t="s">
        <v>668</v>
      </c>
      <c r="AV38" s="517">
        <v>0.15</v>
      </c>
      <c r="AW38" s="517">
        <v>0.37</v>
      </c>
      <c r="AX38" s="517" t="s">
        <v>668</v>
      </c>
      <c r="AY38" s="517">
        <v>0.11</v>
      </c>
      <c r="AZ38" s="517" t="s">
        <v>668</v>
      </c>
      <c r="BA38" s="517">
        <v>0.32</v>
      </c>
      <c r="BB38" s="517" t="s">
        <v>668</v>
      </c>
      <c r="BC38" s="517" t="s">
        <v>668</v>
      </c>
      <c r="BD38" s="517" t="s">
        <v>668</v>
      </c>
      <c r="BE38" s="517">
        <v>0.15</v>
      </c>
      <c r="BF38" s="517" t="s">
        <v>668</v>
      </c>
      <c r="BG38" s="517">
        <v>0.35</v>
      </c>
      <c r="BH38" s="517">
        <v>0.36</v>
      </c>
      <c r="BI38" s="517" t="s">
        <v>668</v>
      </c>
      <c r="BJ38" s="517">
        <v>0.35</v>
      </c>
      <c r="BK38" s="517">
        <v>0.37</v>
      </c>
      <c r="BL38" s="517">
        <v>0.28000000000000003</v>
      </c>
      <c r="BM38" s="517" t="s">
        <v>668</v>
      </c>
      <c r="BN38" s="517" t="s">
        <v>668</v>
      </c>
      <c r="BO38" s="517" t="s">
        <v>668</v>
      </c>
      <c r="BP38" s="517" t="s">
        <v>668</v>
      </c>
      <c r="BQ38" s="517" t="s">
        <v>668</v>
      </c>
      <c r="BR38" s="517">
        <v>0.33</v>
      </c>
      <c r="BS38" s="517">
        <v>0.34</v>
      </c>
      <c r="BT38" s="517">
        <v>0.35</v>
      </c>
      <c r="BU38" s="517">
        <v>0.38</v>
      </c>
      <c r="BV38" s="517">
        <v>0.37</v>
      </c>
      <c r="BW38" s="517">
        <v>0.35</v>
      </c>
      <c r="BX38" s="517">
        <v>0.37</v>
      </c>
      <c r="BY38" s="517">
        <v>0.33</v>
      </c>
      <c r="BZ38" s="517">
        <v>0.33</v>
      </c>
      <c r="CA38" s="517">
        <v>0.37</v>
      </c>
      <c r="CB38" s="517">
        <v>0.37</v>
      </c>
      <c r="CC38" s="517">
        <v>0.37</v>
      </c>
      <c r="CD38" s="517">
        <v>0.18</v>
      </c>
      <c r="CE38" s="517" t="s">
        <v>668</v>
      </c>
      <c r="CF38" s="517">
        <v>0.09</v>
      </c>
      <c r="CG38" s="517">
        <v>0.23</v>
      </c>
      <c r="CH38" s="517">
        <v>0.23</v>
      </c>
      <c r="CI38" s="517">
        <v>0.37</v>
      </c>
      <c r="CJ38" s="517">
        <v>0.35</v>
      </c>
      <c r="CK38" s="517" t="s">
        <v>668</v>
      </c>
      <c r="CL38" s="517">
        <v>0.36</v>
      </c>
      <c r="CM38" s="517" t="s">
        <v>668</v>
      </c>
      <c r="CN38" s="517">
        <v>0.36</v>
      </c>
      <c r="CO38" s="517">
        <v>0.35</v>
      </c>
      <c r="CP38" s="517">
        <v>0.39</v>
      </c>
      <c r="CQ38" s="517">
        <v>0.35</v>
      </c>
      <c r="CR38" s="517">
        <v>0.35</v>
      </c>
      <c r="CS38" s="517">
        <v>0.37</v>
      </c>
      <c r="CT38" s="517">
        <v>0.35</v>
      </c>
      <c r="CU38" s="517">
        <v>0.34</v>
      </c>
      <c r="CV38" s="517" t="s">
        <v>668</v>
      </c>
      <c r="CW38" s="517">
        <v>0.37</v>
      </c>
      <c r="CX38" s="517">
        <v>0.39</v>
      </c>
      <c r="CY38" s="517">
        <v>0.28000000000000003</v>
      </c>
      <c r="CZ38" s="517">
        <v>0.28000000000000003</v>
      </c>
      <c r="DA38" s="517">
        <v>0.11</v>
      </c>
      <c r="DB38" s="517">
        <v>0.14000000000000001</v>
      </c>
      <c r="DC38" s="517">
        <v>0.08</v>
      </c>
      <c r="DD38" s="517">
        <v>0.08</v>
      </c>
      <c r="DE38" s="517">
        <v>0.38</v>
      </c>
      <c r="DF38" s="517">
        <v>0.38</v>
      </c>
      <c r="DG38" s="517">
        <v>0.08</v>
      </c>
      <c r="DH38" s="517">
        <v>0.39</v>
      </c>
      <c r="DI38" s="517" t="s">
        <v>668</v>
      </c>
      <c r="DJ38" s="517">
        <v>0.39</v>
      </c>
      <c r="DK38" s="517">
        <v>0.08</v>
      </c>
      <c r="DL38" s="517" t="s">
        <v>668</v>
      </c>
      <c r="DM38" s="517" t="s">
        <v>668</v>
      </c>
      <c r="DN38" s="517" t="s">
        <v>668</v>
      </c>
      <c r="DO38" s="517">
        <v>0.35</v>
      </c>
      <c r="DP38" s="517">
        <v>0.15</v>
      </c>
      <c r="DQ38" s="517">
        <v>0.33</v>
      </c>
      <c r="DR38" s="517">
        <v>0.33</v>
      </c>
      <c r="DS38" s="517">
        <v>0.15</v>
      </c>
      <c r="DT38" s="517">
        <v>0.38</v>
      </c>
      <c r="DU38" s="517">
        <v>0.15</v>
      </c>
      <c r="DV38" s="517">
        <v>0.32</v>
      </c>
      <c r="DW38" s="517">
        <v>0.35</v>
      </c>
      <c r="DX38" s="517">
        <v>0.37</v>
      </c>
      <c r="DY38" s="517">
        <v>0.28000000000000003</v>
      </c>
      <c r="DZ38" s="517">
        <v>0.28000000000000003</v>
      </c>
      <c r="EA38" s="517">
        <v>0.38</v>
      </c>
      <c r="EB38" s="517">
        <v>0.15</v>
      </c>
      <c r="EC38" s="517">
        <v>0.38</v>
      </c>
      <c r="ED38" s="517">
        <v>0.28999999999999998</v>
      </c>
      <c r="EE38" s="517" t="s">
        <v>668</v>
      </c>
      <c r="EF38" s="517">
        <v>0.26</v>
      </c>
      <c r="EG38" s="517" t="s">
        <v>668</v>
      </c>
      <c r="EH38" s="517">
        <v>0.23</v>
      </c>
      <c r="EI38" s="517">
        <v>0.18</v>
      </c>
      <c r="EJ38" s="517">
        <v>0.39</v>
      </c>
      <c r="EK38" s="517">
        <v>0.28000000000000003</v>
      </c>
      <c r="EL38" s="517" t="s">
        <v>668</v>
      </c>
      <c r="EM38" s="517">
        <v>0.39</v>
      </c>
      <c r="EN38" s="517" t="s">
        <v>668</v>
      </c>
      <c r="EO38" s="517">
        <v>0.39</v>
      </c>
      <c r="EP38" s="517">
        <v>0.37</v>
      </c>
      <c r="EQ38" s="517">
        <v>0.35</v>
      </c>
      <c r="ER38" s="517">
        <v>0.35</v>
      </c>
      <c r="ES38" s="517" t="s">
        <v>668</v>
      </c>
      <c r="ET38" s="517">
        <v>0.35</v>
      </c>
      <c r="EU38" s="517">
        <v>0.36</v>
      </c>
      <c r="EV38" s="517" t="s">
        <v>668</v>
      </c>
      <c r="EW38" s="517" t="s">
        <v>668</v>
      </c>
      <c r="EX38" s="517" t="s">
        <v>668</v>
      </c>
      <c r="EY38" s="517" t="s">
        <v>668</v>
      </c>
      <c r="EZ38" s="517" t="s">
        <v>668</v>
      </c>
      <c r="FA38" s="517" t="s">
        <v>668</v>
      </c>
      <c r="FB38" s="517" t="s">
        <v>668</v>
      </c>
      <c r="FC38" s="517" t="s">
        <v>668</v>
      </c>
      <c r="FD38" s="517" t="s">
        <v>668</v>
      </c>
      <c r="FE38" s="517" t="s">
        <v>668</v>
      </c>
      <c r="FF38" s="517" t="s">
        <v>668</v>
      </c>
      <c r="FG38" s="517" t="s">
        <v>668</v>
      </c>
      <c r="FH38" s="517" t="s">
        <v>668</v>
      </c>
      <c r="FI38" s="517" t="s">
        <v>668</v>
      </c>
      <c r="FJ38" s="517">
        <v>0.35</v>
      </c>
      <c r="FK38" s="517" t="s">
        <v>668</v>
      </c>
      <c r="FL38" s="517" t="s">
        <v>668</v>
      </c>
      <c r="FM38" s="517" t="s">
        <v>668</v>
      </c>
      <c r="FN38" s="517" t="s">
        <v>668</v>
      </c>
      <c r="FO38" s="517" t="s">
        <v>668</v>
      </c>
      <c r="FP38" s="517" t="s">
        <v>668</v>
      </c>
      <c r="FQ38" s="517" t="s">
        <v>668</v>
      </c>
      <c r="FR38" s="517" t="s">
        <v>668</v>
      </c>
      <c r="FS38" s="517" t="s">
        <v>668</v>
      </c>
      <c r="FT38" s="517" t="s">
        <v>668</v>
      </c>
      <c r="FU38" s="517">
        <v>0.34</v>
      </c>
      <c r="FV38" s="517">
        <v>0.37</v>
      </c>
      <c r="FW38" s="517">
        <v>0.14000000000000001</v>
      </c>
      <c r="FX38" s="517" t="s">
        <v>668</v>
      </c>
      <c r="FY38" s="517" t="s">
        <v>668</v>
      </c>
      <c r="FZ38" s="517">
        <v>0.35</v>
      </c>
      <c r="GA38" s="517">
        <v>0.26</v>
      </c>
      <c r="GB38" s="517" t="s">
        <v>668</v>
      </c>
      <c r="GC38" s="517">
        <v>0.4</v>
      </c>
      <c r="GD38" s="517" t="s">
        <v>668</v>
      </c>
      <c r="GE38" s="517" t="s">
        <v>668</v>
      </c>
      <c r="GF38" s="517">
        <v>0.39</v>
      </c>
      <c r="GG38" s="517" t="s">
        <v>668</v>
      </c>
      <c r="GH38" s="517" t="s">
        <v>668</v>
      </c>
      <c r="GI38" s="517" t="s">
        <v>668</v>
      </c>
      <c r="GJ38" s="517" t="s">
        <v>668</v>
      </c>
      <c r="GK38" s="517" t="s">
        <v>668</v>
      </c>
      <c r="GL38" s="517" t="s">
        <v>668</v>
      </c>
      <c r="GM38" s="517" t="s">
        <v>668</v>
      </c>
      <c r="GN38" s="517" t="s">
        <v>668</v>
      </c>
      <c r="GO38" s="517" t="s">
        <v>668</v>
      </c>
      <c r="GP38" s="517">
        <v>0.33</v>
      </c>
      <c r="GQ38" s="517" t="s">
        <v>668</v>
      </c>
      <c r="GR38" s="517" t="s">
        <v>668</v>
      </c>
      <c r="GS38" s="517">
        <v>0.15</v>
      </c>
      <c r="GT38" s="517">
        <v>0.38</v>
      </c>
      <c r="GU38" s="517" t="s">
        <v>668</v>
      </c>
      <c r="GV38" s="517">
        <v>0.15</v>
      </c>
      <c r="GW38" s="517">
        <v>0.15</v>
      </c>
      <c r="GX38" s="517">
        <v>0.15</v>
      </c>
      <c r="GY38" s="517" t="s">
        <v>668</v>
      </c>
      <c r="GZ38" s="517">
        <v>0.36</v>
      </c>
      <c r="HA38" s="517">
        <v>0.36</v>
      </c>
      <c r="HB38" s="517">
        <v>0.36</v>
      </c>
      <c r="HC38" s="517" t="s">
        <v>668</v>
      </c>
      <c r="HD38" s="517">
        <v>0.28000000000000003</v>
      </c>
      <c r="HE38" s="517">
        <v>0.35</v>
      </c>
      <c r="HF38" s="517">
        <v>0.28000000000000003</v>
      </c>
      <c r="HG38" s="517">
        <v>0.08</v>
      </c>
      <c r="HH38" s="517">
        <v>0.15</v>
      </c>
      <c r="HI38" s="517">
        <v>0.08</v>
      </c>
      <c r="HJ38" s="517">
        <v>0.37</v>
      </c>
      <c r="HK38" s="517">
        <v>0.37</v>
      </c>
      <c r="HL38" s="517">
        <v>0.18</v>
      </c>
      <c r="HM38" s="517" t="s">
        <v>668</v>
      </c>
      <c r="HN38" s="517">
        <v>0.09</v>
      </c>
      <c r="HO38" s="517">
        <v>0.23</v>
      </c>
      <c r="HP38" s="517">
        <v>0.23</v>
      </c>
      <c r="HQ38" s="517">
        <v>0.28000000000000003</v>
      </c>
      <c r="HR38" s="517">
        <v>0.08</v>
      </c>
      <c r="HS38" s="517" t="s">
        <v>668</v>
      </c>
      <c r="HT38" s="517" t="s">
        <v>668</v>
      </c>
      <c r="HU38" s="517">
        <v>0.38</v>
      </c>
      <c r="HV38" s="517">
        <v>0.15</v>
      </c>
      <c r="HW38" s="517">
        <v>0.33</v>
      </c>
      <c r="HX38" s="517">
        <v>0.34</v>
      </c>
      <c r="HY38" s="517">
        <v>0.35</v>
      </c>
      <c r="HZ38" s="517">
        <v>0.37</v>
      </c>
      <c r="IA38" s="517" t="s">
        <v>668</v>
      </c>
      <c r="IB38" s="517" t="s">
        <v>668</v>
      </c>
      <c r="IC38" s="517" t="s">
        <v>668</v>
      </c>
      <c r="ID38" s="517" t="s">
        <v>668</v>
      </c>
      <c r="IE38" s="517" t="s">
        <v>668</v>
      </c>
      <c r="IF38" s="517" t="s">
        <v>668</v>
      </c>
      <c r="IG38" s="517">
        <v>0.37</v>
      </c>
      <c r="IH38" s="576">
        <v>0.34</v>
      </c>
    </row>
    <row r="39" spans="1:242" s="503" customFormat="1" ht="15.95" customHeight="1" x14ac:dyDescent="0.2">
      <c r="D39" s="585" t="s">
        <v>507</v>
      </c>
      <c r="G39" s="504" t="s">
        <v>508</v>
      </c>
      <c r="H39" s="515" t="s">
        <v>668</v>
      </c>
      <c r="I39" s="515" t="s">
        <v>668</v>
      </c>
      <c r="J39" s="515" t="s">
        <v>668</v>
      </c>
      <c r="K39" s="515" t="s">
        <v>668</v>
      </c>
      <c r="L39" s="515" t="s">
        <v>668</v>
      </c>
      <c r="M39" s="515" t="s">
        <v>668</v>
      </c>
      <c r="N39" s="515" t="s">
        <v>668</v>
      </c>
      <c r="O39" s="515">
        <v>0.75976160000000004</v>
      </c>
      <c r="P39" s="515" t="s">
        <v>668</v>
      </c>
      <c r="Q39" s="515" t="s">
        <v>668</v>
      </c>
      <c r="R39" s="515">
        <v>0.76368912206000006</v>
      </c>
      <c r="S39" s="515">
        <v>0.76368912206000006</v>
      </c>
      <c r="T39" s="515">
        <v>1</v>
      </c>
      <c r="U39" s="515">
        <v>0.76457803645999989</v>
      </c>
      <c r="V39" s="515" t="s">
        <v>668</v>
      </c>
      <c r="W39" s="515">
        <v>0.75976160000000004</v>
      </c>
      <c r="X39" s="515">
        <v>0.75976160000000004</v>
      </c>
      <c r="Y39" s="515">
        <v>1</v>
      </c>
      <c r="Z39" s="515">
        <v>1</v>
      </c>
      <c r="AA39" s="515" t="s">
        <v>668</v>
      </c>
      <c r="AB39" s="515" t="s">
        <v>668</v>
      </c>
      <c r="AC39" s="515" t="s">
        <v>668</v>
      </c>
      <c r="AD39" s="515" t="s">
        <v>668</v>
      </c>
      <c r="AE39" s="515" t="s">
        <v>668</v>
      </c>
      <c r="AF39" s="515" t="s">
        <v>668</v>
      </c>
      <c r="AG39" s="515" t="s">
        <v>668</v>
      </c>
      <c r="AH39" s="515" t="s">
        <v>668</v>
      </c>
      <c r="AI39" s="515" t="s">
        <v>668</v>
      </c>
      <c r="AJ39" s="515">
        <v>0.98270270270270266</v>
      </c>
      <c r="AK39" s="515" t="s">
        <v>668</v>
      </c>
      <c r="AL39" s="515">
        <v>0.96010498687664036</v>
      </c>
      <c r="AM39" s="515">
        <v>0.96613756613756629</v>
      </c>
      <c r="AN39" s="515">
        <v>0.96010498687664036</v>
      </c>
      <c r="AO39" s="515">
        <v>0.98361522198731488</v>
      </c>
      <c r="AP39" s="515" t="s">
        <v>668</v>
      </c>
      <c r="AQ39" s="515" t="s">
        <v>668</v>
      </c>
      <c r="AR39" s="515">
        <v>1.0854054054054054</v>
      </c>
      <c r="AS39" s="515">
        <v>1.0854054054054054</v>
      </c>
      <c r="AT39" s="515">
        <v>0.83500485279844705</v>
      </c>
      <c r="AU39" s="515" t="s">
        <v>668</v>
      </c>
      <c r="AV39" s="515">
        <v>0.69895945461069253</v>
      </c>
      <c r="AW39" s="515">
        <v>0.9848648648648648</v>
      </c>
      <c r="AX39" s="515" t="s">
        <v>668</v>
      </c>
      <c r="AY39" s="515">
        <v>0.69732078204199854</v>
      </c>
      <c r="AZ39" s="515" t="s">
        <v>668</v>
      </c>
      <c r="BA39" s="515">
        <v>0.94671495085359558</v>
      </c>
      <c r="BB39" s="515" t="s">
        <v>668</v>
      </c>
      <c r="BC39" s="515" t="s">
        <v>668</v>
      </c>
      <c r="BD39" s="515" t="s">
        <v>668</v>
      </c>
      <c r="BE39" s="515">
        <v>0.69732078204199854</v>
      </c>
      <c r="BF39" s="515" t="s">
        <v>668</v>
      </c>
      <c r="BG39" s="515">
        <v>0.97740409879138201</v>
      </c>
      <c r="BH39" s="515">
        <v>1.1272633212622867</v>
      </c>
      <c r="BI39" s="515" t="s">
        <v>668</v>
      </c>
      <c r="BJ39" s="515">
        <v>1.0734491315136476</v>
      </c>
      <c r="BK39" s="515">
        <v>0.95504994450610436</v>
      </c>
      <c r="BL39" s="515">
        <v>0.91760904684975753</v>
      </c>
      <c r="BM39" s="515" t="s">
        <v>668</v>
      </c>
      <c r="BN39" s="515" t="s">
        <v>668</v>
      </c>
      <c r="BO39" s="515" t="s">
        <v>668</v>
      </c>
      <c r="BP39" s="515" t="s">
        <v>668</v>
      </c>
      <c r="BQ39" s="515" t="s">
        <v>668</v>
      </c>
      <c r="BR39" s="515">
        <v>0.96511627906976749</v>
      </c>
      <c r="BS39" s="515">
        <v>0.96775898520084547</v>
      </c>
      <c r="BT39" s="515">
        <v>0.98204570184983686</v>
      </c>
      <c r="BU39" s="515">
        <v>1.0064864864864866</v>
      </c>
      <c r="BV39" s="515">
        <v>0.98810810810810812</v>
      </c>
      <c r="BW39" s="515">
        <v>1.0396405919661733</v>
      </c>
      <c r="BX39" s="515">
        <v>0.9848648648648648</v>
      </c>
      <c r="BY39" s="515">
        <v>0.96010498687664036</v>
      </c>
      <c r="BZ39" s="515">
        <v>0.95958005249343836</v>
      </c>
      <c r="CA39" s="515">
        <v>0.99675675675675679</v>
      </c>
      <c r="CB39" s="515">
        <v>0.9848648648648648</v>
      </c>
      <c r="CC39" s="515">
        <v>0.98983413590155156</v>
      </c>
      <c r="CD39" s="515">
        <v>0.7719442165709598</v>
      </c>
      <c r="CE39" s="515" t="s">
        <v>668</v>
      </c>
      <c r="CF39" s="515">
        <v>0.48487647194643269</v>
      </c>
      <c r="CG39" s="515">
        <v>0.88709155613070212</v>
      </c>
      <c r="CH39" s="515">
        <v>0.88557844690966725</v>
      </c>
      <c r="CI39" s="515">
        <v>0.97243243243243238</v>
      </c>
      <c r="CJ39" s="515">
        <v>0.98270270270270266</v>
      </c>
      <c r="CK39" s="515" t="s">
        <v>668</v>
      </c>
      <c r="CL39" s="515">
        <v>0.95061043285238622</v>
      </c>
      <c r="CM39" s="515" t="s">
        <v>668</v>
      </c>
      <c r="CN39" s="515">
        <v>0.93847006651884701</v>
      </c>
      <c r="CO39" s="515">
        <v>0.98215223097112858</v>
      </c>
      <c r="CP39" s="515">
        <v>1.0549084858569051</v>
      </c>
      <c r="CQ39" s="515">
        <v>0.99106673673147649</v>
      </c>
      <c r="CR39" s="515">
        <v>1.1029952706253283</v>
      </c>
      <c r="CS39" s="515">
        <v>0.97559622850804206</v>
      </c>
      <c r="CT39" s="515">
        <v>1.0734491315136476</v>
      </c>
      <c r="CU39" s="515">
        <v>1.060562015503876</v>
      </c>
      <c r="CV39" s="515" t="s">
        <v>668</v>
      </c>
      <c r="CW39" s="515">
        <v>0.95504994450610436</v>
      </c>
      <c r="CX39" s="515">
        <v>1.0926234054353854</v>
      </c>
      <c r="CY39" s="515">
        <v>0.91760904684975753</v>
      </c>
      <c r="CZ39" s="515">
        <v>0.92084006462035539</v>
      </c>
      <c r="DA39" s="515">
        <v>0.69732078204199854</v>
      </c>
      <c r="DB39" s="515">
        <v>0.86840877274848338</v>
      </c>
      <c r="DC39" s="515">
        <v>0.50160845588235281</v>
      </c>
      <c r="DD39" s="515">
        <v>0.54250919117647056</v>
      </c>
      <c r="DE39" s="515">
        <v>1.0059459459459459</v>
      </c>
      <c r="DF39" s="515">
        <v>1.0059459459459459</v>
      </c>
      <c r="DG39" s="515">
        <v>0.55119182746878548</v>
      </c>
      <c r="DH39" s="515">
        <v>1.0077691453940067</v>
      </c>
      <c r="DI39" s="515" t="s">
        <v>668</v>
      </c>
      <c r="DJ39" s="515">
        <v>1.0077691453940067</v>
      </c>
      <c r="DK39" s="515">
        <v>0.49489216799091945</v>
      </c>
      <c r="DL39" s="515" t="s">
        <v>668</v>
      </c>
      <c r="DM39" s="515" t="s">
        <v>668</v>
      </c>
      <c r="DN39" s="515" t="s">
        <v>668</v>
      </c>
      <c r="DO39" s="515">
        <v>0.91897891231964479</v>
      </c>
      <c r="DP39" s="515">
        <v>0.69732078204199854</v>
      </c>
      <c r="DQ39" s="515">
        <v>0.96010498687664036</v>
      </c>
      <c r="DR39" s="515">
        <v>0.96010498687664036</v>
      </c>
      <c r="DS39" s="515">
        <v>0.69178327951202012</v>
      </c>
      <c r="DT39" s="515">
        <v>1.0064864864864866</v>
      </c>
      <c r="DU39" s="515">
        <v>0.69732078204199854</v>
      </c>
      <c r="DV39" s="515">
        <v>0.94671495085359558</v>
      </c>
      <c r="DW39" s="515">
        <v>0.97687861271676291</v>
      </c>
      <c r="DX39" s="515">
        <v>0.95504994450610436</v>
      </c>
      <c r="DY39" s="515">
        <v>0.91760904684975753</v>
      </c>
      <c r="DZ39" s="515">
        <v>0.91760904684975753</v>
      </c>
      <c r="EA39" s="515">
        <v>1.0059459459459459</v>
      </c>
      <c r="EB39" s="515">
        <v>0.69732078204199854</v>
      </c>
      <c r="EC39" s="515">
        <v>0.99889012208657046</v>
      </c>
      <c r="ED39" s="515">
        <v>0.96018440905280811</v>
      </c>
      <c r="EE39" s="515" t="s">
        <v>668</v>
      </c>
      <c r="EF39" s="515">
        <v>0.88098449089683073</v>
      </c>
      <c r="EG39" s="515" t="s">
        <v>668</v>
      </c>
      <c r="EH39" s="515">
        <v>0.83500485279844705</v>
      </c>
      <c r="EI39" s="515">
        <v>0.77838740458015265</v>
      </c>
      <c r="EJ39" s="515">
        <v>1.0282705099778271</v>
      </c>
      <c r="EK39" s="515">
        <v>1.0087479496992893</v>
      </c>
      <c r="EL39" s="515" t="s">
        <v>668</v>
      </c>
      <c r="EM39" s="515">
        <v>1.0044395116537181</v>
      </c>
      <c r="EN39" s="515" t="s">
        <v>668</v>
      </c>
      <c r="EO39" s="515">
        <v>1.0072142064372918</v>
      </c>
      <c r="EP39" s="515">
        <v>0.9848648648648648</v>
      </c>
      <c r="EQ39" s="515">
        <v>0.87883141762452122</v>
      </c>
      <c r="ER39" s="515">
        <v>0.78017241379310343</v>
      </c>
      <c r="ES39" s="515" t="s">
        <v>668</v>
      </c>
      <c r="ET39" s="515">
        <v>0.98212407991587802</v>
      </c>
      <c r="EU39" s="515">
        <v>0.94173140954495005</v>
      </c>
      <c r="EV39" s="515" t="s">
        <v>668</v>
      </c>
      <c r="EW39" s="515" t="s">
        <v>668</v>
      </c>
      <c r="EX39" s="515" t="s">
        <v>668</v>
      </c>
      <c r="EY39" s="515" t="s">
        <v>668</v>
      </c>
      <c r="EZ39" s="515" t="s">
        <v>668</v>
      </c>
      <c r="FA39" s="515" t="s">
        <v>668</v>
      </c>
      <c r="FB39" s="515" t="s">
        <v>668</v>
      </c>
      <c r="FC39" s="515" t="s">
        <v>668</v>
      </c>
      <c r="FD39" s="515" t="s">
        <v>668</v>
      </c>
      <c r="FE39" s="515" t="s">
        <v>668</v>
      </c>
      <c r="FF39" s="515" t="s">
        <v>668</v>
      </c>
      <c r="FG39" s="515" t="s">
        <v>668</v>
      </c>
      <c r="FH39" s="515" t="s">
        <v>668</v>
      </c>
      <c r="FI39" s="515" t="s">
        <v>668</v>
      </c>
      <c r="FJ39" s="515">
        <v>0.93090315560391734</v>
      </c>
      <c r="FK39" s="515" t="s">
        <v>668</v>
      </c>
      <c r="FL39" s="515" t="s">
        <v>668</v>
      </c>
      <c r="FM39" s="515" t="s">
        <v>668</v>
      </c>
      <c r="FN39" s="515" t="s">
        <v>668</v>
      </c>
      <c r="FO39" s="515" t="s">
        <v>668</v>
      </c>
      <c r="FP39" s="515" t="s">
        <v>668</v>
      </c>
      <c r="FQ39" s="515" t="s">
        <v>668</v>
      </c>
      <c r="FR39" s="515" t="s">
        <v>668</v>
      </c>
      <c r="FS39" s="515" t="s">
        <v>668</v>
      </c>
      <c r="FT39" s="515" t="s">
        <v>668</v>
      </c>
      <c r="FU39" s="515">
        <v>0.98379254457050236</v>
      </c>
      <c r="FV39" s="515">
        <v>0.98931623931623935</v>
      </c>
      <c r="FW39" s="515">
        <v>0.69101324740422487</v>
      </c>
      <c r="FX39" s="515" t="s">
        <v>668</v>
      </c>
      <c r="FY39" s="515" t="s">
        <v>668</v>
      </c>
      <c r="FZ39" s="515">
        <v>0.98271204754186925</v>
      </c>
      <c r="GA39" s="515">
        <v>0.96334690855238791</v>
      </c>
      <c r="GB39" s="515" t="s">
        <v>668</v>
      </c>
      <c r="GC39" s="515">
        <v>1.1302660753880267</v>
      </c>
      <c r="GD39" s="515" t="s">
        <v>668</v>
      </c>
      <c r="GE39" s="515" t="s">
        <v>668</v>
      </c>
      <c r="GF39" s="515">
        <v>1.0543840177580466</v>
      </c>
      <c r="GG39" s="515" t="s">
        <v>668</v>
      </c>
      <c r="GH39" s="515" t="s">
        <v>668</v>
      </c>
      <c r="GI39" s="515" t="s">
        <v>668</v>
      </c>
      <c r="GJ39" s="515" t="s">
        <v>668</v>
      </c>
      <c r="GK39" s="515" t="s">
        <v>668</v>
      </c>
      <c r="GL39" s="515" t="s">
        <v>668</v>
      </c>
      <c r="GM39" s="515" t="s">
        <v>668</v>
      </c>
      <c r="GN39" s="515" t="s">
        <v>668</v>
      </c>
      <c r="GO39" s="515" t="s">
        <v>668</v>
      </c>
      <c r="GP39" s="515">
        <v>0.95440414507772031</v>
      </c>
      <c r="GQ39" s="515" t="s">
        <v>668</v>
      </c>
      <c r="GR39" s="515" t="s">
        <v>668</v>
      </c>
      <c r="GS39" s="515">
        <v>0.69178327951202012</v>
      </c>
      <c r="GT39" s="515">
        <v>1.0854054054054054</v>
      </c>
      <c r="GU39" s="515" t="s">
        <v>668</v>
      </c>
      <c r="GV39" s="515">
        <v>0.69732078204199854</v>
      </c>
      <c r="GW39" s="515">
        <v>0.69732078204199854</v>
      </c>
      <c r="GX39" s="515">
        <v>0.69732078204199854</v>
      </c>
      <c r="GY39" s="515" t="s">
        <v>668</v>
      </c>
      <c r="GZ39" s="515">
        <v>0.94506104328523866</v>
      </c>
      <c r="HA39" s="515">
        <v>0.94450610432852389</v>
      </c>
      <c r="HB39" s="515">
        <v>0.93847006651884701</v>
      </c>
      <c r="HC39" s="515" t="s">
        <v>668</v>
      </c>
      <c r="HD39" s="515">
        <v>0.91760904684975753</v>
      </c>
      <c r="HE39" s="515">
        <v>1.0734491315136476</v>
      </c>
      <c r="HF39" s="515">
        <v>0.91760904684975753</v>
      </c>
      <c r="HG39" s="515">
        <v>0.49276361130254992</v>
      </c>
      <c r="HH39" s="515">
        <v>0.69732078204199854</v>
      </c>
      <c r="HI39" s="515">
        <v>0.49276361130254992</v>
      </c>
      <c r="HJ39" s="515">
        <v>0.95504994450610436</v>
      </c>
      <c r="HK39" s="515">
        <v>0.95504994450610436</v>
      </c>
      <c r="HL39" s="515">
        <v>0.76260762607626076</v>
      </c>
      <c r="HM39" s="515" t="s">
        <v>668</v>
      </c>
      <c r="HN39" s="515">
        <v>0.51970500115233931</v>
      </c>
      <c r="HO39" s="515">
        <v>0.83500485279844705</v>
      </c>
      <c r="HP39" s="515">
        <v>0.83500485279844705</v>
      </c>
      <c r="HQ39" s="515">
        <v>1.0087479496992893</v>
      </c>
      <c r="HR39" s="515">
        <v>0.5017033840563252</v>
      </c>
      <c r="HS39" s="515" t="s">
        <v>668</v>
      </c>
      <c r="HT39" s="515" t="s">
        <v>668</v>
      </c>
      <c r="HU39" s="515">
        <v>1.0059459459459459</v>
      </c>
      <c r="HV39" s="515">
        <v>0.6968066020810908</v>
      </c>
      <c r="HW39" s="515">
        <v>0.96511627906976749</v>
      </c>
      <c r="HX39" s="515">
        <v>0.96775898520084547</v>
      </c>
      <c r="HY39" s="515">
        <v>1.0412262156448202</v>
      </c>
      <c r="HZ39" s="515">
        <v>1.0362666666666667</v>
      </c>
      <c r="IA39" s="515" t="s">
        <v>668</v>
      </c>
      <c r="IB39" s="515" t="s">
        <v>668</v>
      </c>
      <c r="IC39" s="515" t="s">
        <v>668</v>
      </c>
      <c r="ID39" s="515" t="s">
        <v>668</v>
      </c>
      <c r="IE39" s="515" t="s">
        <v>668</v>
      </c>
      <c r="IF39" s="515" t="s">
        <v>668</v>
      </c>
      <c r="IG39" s="515">
        <v>1.0923632610939114</v>
      </c>
      <c r="IH39" s="575">
        <v>0.99705014749262544</v>
      </c>
    </row>
    <row r="40" spans="1:242" s="510" customFormat="1" ht="15.95" customHeight="1" x14ac:dyDescent="0.2">
      <c r="D40" s="587" t="s">
        <v>512</v>
      </c>
      <c r="E40" s="511"/>
      <c r="F40" s="511"/>
      <c r="G40" s="519" t="s">
        <v>513</v>
      </c>
      <c r="H40" s="522" t="s">
        <v>668</v>
      </c>
      <c r="I40" s="522" t="s">
        <v>668</v>
      </c>
      <c r="J40" s="522" t="s">
        <v>668</v>
      </c>
      <c r="K40" s="522" t="s">
        <v>668</v>
      </c>
      <c r="L40" s="522" t="s">
        <v>668</v>
      </c>
      <c r="M40" s="522" t="s">
        <v>668</v>
      </c>
      <c r="N40" s="522" t="s">
        <v>668</v>
      </c>
      <c r="O40" s="522">
        <v>68.240859671890959</v>
      </c>
      <c r="P40" s="522" t="s">
        <v>668</v>
      </c>
      <c r="Q40" s="522" t="s">
        <v>668</v>
      </c>
      <c r="R40" s="522">
        <v>67.973038285686158</v>
      </c>
      <c r="S40" s="522">
        <v>63.421410362059568</v>
      </c>
      <c r="T40" s="522">
        <v>68.890898531999994</v>
      </c>
      <c r="U40" s="522">
        <v>63.513048851635538</v>
      </c>
      <c r="V40" s="522" t="s">
        <v>668</v>
      </c>
      <c r="W40" s="522">
        <v>62.163595637006239</v>
      </c>
      <c r="X40" s="522">
        <v>62.163595637006239</v>
      </c>
      <c r="Y40" s="522">
        <v>65.773098000000005</v>
      </c>
      <c r="Z40" s="522">
        <v>65.773098000000005</v>
      </c>
      <c r="AA40" s="522" t="s">
        <v>668</v>
      </c>
      <c r="AB40" s="522" t="s">
        <v>668</v>
      </c>
      <c r="AC40" s="522" t="s">
        <v>668</v>
      </c>
      <c r="AD40" s="522" t="s">
        <v>668</v>
      </c>
      <c r="AE40" s="522" t="s">
        <v>668</v>
      </c>
      <c r="AF40" s="522" t="s">
        <v>668</v>
      </c>
      <c r="AG40" s="522" t="s">
        <v>668</v>
      </c>
      <c r="AH40" s="522" t="s">
        <v>668</v>
      </c>
      <c r="AI40" s="522" t="s">
        <v>668</v>
      </c>
      <c r="AJ40" s="522">
        <v>70.91</v>
      </c>
      <c r="AK40" s="522" t="s">
        <v>668</v>
      </c>
      <c r="AL40" s="522">
        <v>67.290000000000006</v>
      </c>
      <c r="AM40" s="522">
        <v>68.45</v>
      </c>
      <c r="AN40" s="522">
        <v>67.290000000000006</v>
      </c>
      <c r="AO40" s="522">
        <v>55.06</v>
      </c>
      <c r="AP40" s="522" t="s">
        <v>668</v>
      </c>
      <c r="AQ40" s="522" t="s">
        <v>668</v>
      </c>
      <c r="AR40" s="522">
        <v>52.84</v>
      </c>
      <c r="AS40" s="522">
        <v>52.78</v>
      </c>
      <c r="AT40" s="522">
        <v>47.19</v>
      </c>
      <c r="AU40" s="522" t="s">
        <v>668</v>
      </c>
      <c r="AV40" s="522">
        <v>52.64</v>
      </c>
      <c r="AW40" s="522">
        <v>64.98</v>
      </c>
      <c r="AX40" s="522" t="s">
        <v>668</v>
      </c>
      <c r="AY40" s="522">
        <v>52.33</v>
      </c>
      <c r="AZ40" s="522" t="s">
        <v>668</v>
      </c>
      <c r="BA40" s="522">
        <v>67.23</v>
      </c>
      <c r="BB40" s="522" t="s">
        <v>668</v>
      </c>
      <c r="BC40" s="522" t="s">
        <v>668</v>
      </c>
      <c r="BD40" s="522" t="s">
        <v>668</v>
      </c>
      <c r="BE40" s="522">
        <v>52.33</v>
      </c>
      <c r="BF40" s="522" t="s">
        <v>668</v>
      </c>
      <c r="BG40" s="522">
        <v>61.2</v>
      </c>
      <c r="BH40" s="522">
        <v>45.74</v>
      </c>
      <c r="BI40" s="522" t="s">
        <v>668</v>
      </c>
      <c r="BJ40" s="522">
        <v>48.81</v>
      </c>
      <c r="BK40" s="522">
        <v>68.31</v>
      </c>
      <c r="BL40" s="522">
        <v>54.26</v>
      </c>
      <c r="BM40" s="522" t="s">
        <v>668</v>
      </c>
      <c r="BN40" s="522" t="s">
        <v>668</v>
      </c>
      <c r="BO40" s="522" t="s">
        <v>668</v>
      </c>
      <c r="BP40" s="522" t="s">
        <v>668</v>
      </c>
      <c r="BQ40" s="522" t="s">
        <v>668</v>
      </c>
      <c r="BR40" s="522">
        <v>68.41</v>
      </c>
      <c r="BS40" s="522">
        <v>64.41</v>
      </c>
      <c r="BT40" s="522">
        <v>66.75</v>
      </c>
      <c r="BU40" s="522">
        <v>52.64</v>
      </c>
      <c r="BV40" s="522">
        <v>62.21</v>
      </c>
      <c r="BW40" s="522">
        <v>55.12</v>
      </c>
      <c r="BX40" s="522">
        <v>64.98</v>
      </c>
      <c r="BY40" s="522">
        <v>67.290000000000006</v>
      </c>
      <c r="BZ40" s="522">
        <v>68.59</v>
      </c>
      <c r="CA40" s="522">
        <v>61.95</v>
      </c>
      <c r="CB40" s="522">
        <v>64.98</v>
      </c>
      <c r="CC40" s="522">
        <v>55.95</v>
      </c>
      <c r="CD40" s="522">
        <v>58.91</v>
      </c>
      <c r="CE40" s="522" t="s">
        <v>668</v>
      </c>
      <c r="CF40" s="522">
        <v>25.87</v>
      </c>
      <c r="CG40" s="522">
        <v>47.69</v>
      </c>
      <c r="CH40" s="522">
        <v>46.92</v>
      </c>
      <c r="CI40" s="522">
        <v>64.67</v>
      </c>
      <c r="CJ40" s="522">
        <v>70.86</v>
      </c>
      <c r="CK40" s="522" t="s">
        <v>668</v>
      </c>
      <c r="CL40" s="522">
        <v>68.849999999999994</v>
      </c>
      <c r="CM40" s="522" t="s">
        <v>668</v>
      </c>
      <c r="CN40" s="522">
        <v>70.22</v>
      </c>
      <c r="CO40" s="522">
        <v>60.6</v>
      </c>
      <c r="CP40" s="522">
        <v>57.46</v>
      </c>
      <c r="CQ40" s="522">
        <v>59.61</v>
      </c>
      <c r="CR40" s="522">
        <v>48.22</v>
      </c>
      <c r="CS40" s="522">
        <v>65.91</v>
      </c>
      <c r="CT40" s="522">
        <v>48.81</v>
      </c>
      <c r="CU40" s="522">
        <v>48.74</v>
      </c>
      <c r="CV40" s="522" t="s">
        <v>668</v>
      </c>
      <c r="CW40" s="522">
        <v>68.319999999999993</v>
      </c>
      <c r="CX40" s="522">
        <v>53.77</v>
      </c>
      <c r="CY40" s="522">
        <v>54.26</v>
      </c>
      <c r="CZ40" s="522">
        <v>53.87</v>
      </c>
      <c r="DA40" s="522">
        <v>52.33</v>
      </c>
      <c r="DB40" s="522">
        <v>56.67</v>
      </c>
      <c r="DC40" s="522">
        <v>19.82</v>
      </c>
      <c r="DD40" s="522">
        <v>22.61</v>
      </c>
      <c r="DE40" s="522">
        <v>52.75</v>
      </c>
      <c r="DF40" s="522">
        <v>52.75</v>
      </c>
      <c r="DG40" s="522">
        <v>19.72</v>
      </c>
      <c r="DH40" s="522">
        <v>58.21</v>
      </c>
      <c r="DI40" s="522" t="s">
        <v>668</v>
      </c>
      <c r="DJ40" s="522">
        <v>58.21</v>
      </c>
      <c r="DK40" s="522">
        <v>19.43</v>
      </c>
      <c r="DL40" s="522" t="s">
        <v>668</v>
      </c>
      <c r="DM40" s="522" t="s">
        <v>668</v>
      </c>
      <c r="DN40" s="522" t="s">
        <v>668</v>
      </c>
      <c r="DO40" s="522">
        <v>72.819999999999993</v>
      </c>
      <c r="DP40" s="522">
        <v>52.36</v>
      </c>
      <c r="DQ40" s="522">
        <v>67.290000000000006</v>
      </c>
      <c r="DR40" s="522">
        <v>67.290000000000006</v>
      </c>
      <c r="DS40" s="522">
        <v>52.36</v>
      </c>
      <c r="DT40" s="522">
        <v>52.64</v>
      </c>
      <c r="DU40" s="522">
        <v>52.36</v>
      </c>
      <c r="DV40" s="522">
        <v>67.36</v>
      </c>
      <c r="DW40" s="522">
        <v>61.15</v>
      </c>
      <c r="DX40" s="522">
        <v>68.31</v>
      </c>
      <c r="DY40" s="522">
        <v>54.26</v>
      </c>
      <c r="DZ40" s="522">
        <v>54.26</v>
      </c>
      <c r="EA40" s="522">
        <v>52.75</v>
      </c>
      <c r="EB40" s="522">
        <v>52.36</v>
      </c>
      <c r="EC40" s="522">
        <v>64.98</v>
      </c>
      <c r="ED40" s="522">
        <v>33.18</v>
      </c>
      <c r="EE40" s="522" t="s">
        <v>668</v>
      </c>
      <c r="EF40" s="522">
        <v>42.22</v>
      </c>
      <c r="EG40" s="522" t="s">
        <v>668</v>
      </c>
      <c r="EH40" s="522">
        <v>47.19</v>
      </c>
      <c r="EI40" s="522">
        <v>42.3</v>
      </c>
      <c r="EJ40" s="522">
        <v>48.59</v>
      </c>
      <c r="EK40" s="522">
        <v>51.31</v>
      </c>
      <c r="EL40" s="522" t="s">
        <v>668</v>
      </c>
      <c r="EM40" s="522">
        <v>60.16</v>
      </c>
      <c r="EN40" s="522" t="s">
        <v>668</v>
      </c>
      <c r="EO40" s="522">
        <v>58.29</v>
      </c>
      <c r="EP40" s="522">
        <v>64.98</v>
      </c>
      <c r="EQ40" s="522">
        <v>70.22</v>
      </c>
      <c r="ER40" s="522">
        <v>70.22</v>
      </c>
      <c r="ES40" s="522" t="s">
        <v>668</v>
      </c>
      <c r="ET40" s="522">
        <v>60.75</v>
      </c>
      <c r="EU40" s="522">
        <v>69.84</v>
      </c>
      <c r="EV40" s="522" t="s">
        <v>668</v>
      </c>
      <c r="EW40" s="522" t="s">
        <v>668</v>
      </c>
      <c r="EX40" s="522" t="s">
        <v>668</v>
      </c>
      <c r="EY40" s="522" t="s">
        <v>668</v>
      </c>
      <c r="EZ40" s="522" t="s">
        <v>668</v>
      </c>
      <c r="FA40" s="522" t="s">
        <v>668</v>
      </c>
      <c r="FB40" s="522" t="s">
        <v>668</v>
      </c>
      <c r="FC40" s="522" t="s">
        <v>668</v>
      </c>
      <c r="FD40" s="522" t="s">
        <v>668</v>
      </c>
      <c r="FE40" s="522" t="s">
        <v>668</v>
      </c>
      <c r="FF40" s="522" t="s">
        <v>668</v>
      </c>
      <c r="FG40" s="522" t="s">
        <v>668</v>
      </c>
      <c r="FH40" s="522" t="s">
        <v>668</v>
      </c>
      <c r="FI40" s="522" t="s">
        <v>668</v>
      </c>
      <c r="FJ40" s="522">
        <v>70.099999999999994</v>
      </c>
      <c r="FK40" s="522" t="s">
        <v>668</v>
      </c>
      <c r="FL40" s="522" t="s">
        <v>668</v>
      </c>
      <c r="FM40" s="522" t="s">
        <v>668</v>
      </c>
      <c r="FN40" s="522" t="s">
        <v>668</v>
      </c>
      <c r="FO40" s="522" t="s">
        <v>668</v>
      </c>
      <c r="FP40" s="522" t="s">
        <v>668</v>
      </c>
      <c r="FQ40" s="522" t="s">
        <v>668</v>
      </c>
      <c r="FR40" s="522" t="s">
        <v>668</v>
      </c>
      <c r="FS40" s="522" t="s">
        <v>668</v>
      </c>
      <c r="FT40" s="522" t="s">
        <v>668</v>
      </c>
      <c r="FU40" s="522">
        <v>70.8</v>
      </c>
      <c r="FV40" s="522">
        <v>55.9</v>
      </c>
      <c r="FW40" s="522">
        <v>52.07</v>
      </c>
      <c r="FX40" s="522" t="s">
        <v>668</v>
      </c>
      <c r="FY40" s="522" t="s">
        <v>668</v>
      </c>
      <c r="FZ40" s="522">
        <v>70.78</v>
      </c>
      <c r="GA40" s="522">
        <v>41.76</v>
      </c>
      <c r="GB40" s="522" t="s">
        <v>668</v>
      </c>
      <c r="GC40" s="522">
        <v>49.72</v>
      </c>
      <c r="GD40" s="522" t="s">
        <v>668</v>
      </c>
      <c r="GE40" s="522" t="s">
        <v>668</v>
      </c>
      <c r="GF40" s="522">
        <v>57.5</v>
      </c>
      <c r="GG40" s="522" t="s">
        <v>668</v>
      </c>
      <c r="GH40" s="522" t="s">
        <v>668</v>
      </c>
      <c r="GI40" s="522" t="s">
        <v>668</v>
      </c>
      <c r="GJ40" s="522" t="s">
        <v>668</v>
      </c>
      <c r="GK40" s="522" t="s">
        <v>668</v>
      </c>
      <c r="GL40" s="522" t="s">
        <v>668</v>
      </c>
      <c r="GM40" s="522" t="s">
        <v>668</v>
      </c>
      <c r="GN40" s="522" t="s">
        <v>668</v>
      </c>
      <c r="GO40" s="522" t="s">
        <v>668</v>
      </c>
      <c r="GP40" s="522">
        <v>66.28</v>
      </c>
      <c r="GQ40" s="522" t="s">
        <v>668</v>
      </c>
      <c r="GR40" s="522" t="s">
        <v>668</v>
      </c>
      <c r="GS40" s="522">
        <v>52.36</v>
      </c>
      <c r="GT40" s="522">
        <v>52.78</v>
      </c>
      <c r="GU40" s="522" t="s">
        <v>668</v>
      </c>
      <c r="GV40" s="522">
        <v>52.36</v>
      </c>
      <c r="GW40" s="522">
        <v>52.36</v>
      </c>
      <c r="GX40" s="522">
        <v>52.33</v>
      </c>
      <c r="GY40" s="522" t="s">
        <v>668</v>
      </c>
      <c r="GZ40" s="522">
        <v>69.5</v>
      </c>
      <c r="HA40" s="522">
        <v>69.56</v>
      </c>
      <c r="HB40" s="522">
        <v>70.22</v>
      </c>
      <c r="HC40" s="522" t="s">
        <v>668</v>
      </c>
      <c r="HD40" s="522">
        <v>54.26</v>
      </c>
      <c r="HE40" s="522">
        <v>48.81</v>
      </c>
      <c r="HF40" s="522">
        <v>54.26</v>
      </c>
      <c r="HG40" s="522">
        <v>22.29</v>
      </c>
      <c r="HH40" s="522">
        <v>52.36</v>
      </c>
      <c r="HI40" s="522">
        <v>22.29</v>
      </c>
      <c r="HJ40" s="522">
        <v>68.31</v>
      </c>
      <c r="HK40" s="522">
        <v>68.31</v>
      </c>
      <c r="HL40" s="522">
        <v>58.89</v>
      </c>
      <c r="HM40" s="522" t="s">
        <v>668</v>
      </c>
      <c r="HN40" s="522">
        <v>25.71</v>
      </c>
      <c r="HO40" s="522">
        <v>47.19</v>
      </c>
      <c r="HP40" s="522">
        <v>47.19</v>
      </c>
      <c r="HQ40" s="522">
        <v>51.31</v>
      </c>
      <c r="HR40" s="522">
        <v>22.32</v>
      </c>
      <c r="HS40" s="522" t="s">
        <v>668</v>
      </c>
      <c r="HT40" s="522" t="s">
        <v>668</v>
      </c>
      <c r="HU40" s="522">
        <v>52.75</v>
      </c>
      <c r="HV40" s="522">
        <v>52.96</v>
      </c>
      <c r="HW40" s="522">
        <v>68.41</v>
      </c>
      <c r="HX40" s="522">
        <v>64.400000000000006</v>
      </c>
      <c r="HY40" s="522">
        <v>55.06</v>
      </c>
      <c r="HZ40" s="522">
        <v>56.46</v>
      </c>
      <c r="IA40" s="522" t="s">
        <v>668</v>
      </c>
      <c r="IB40" s="522" t="s">
        <v>668</v>
      </c>
      <c r="IC40" s="522" t="s">
        <v>668</v>
      </c>
      <c r="ID40" s="522" t="s">
        <v>668</v>
      </c>
      <c r="IE40" s="522" t="s">
        <v>668</v>
      </c>
      <c r="IF40" s="522" t="s">
        <v>668</v>
      </c>
      <c r="IG40" s="522">
        <v>49.14</v>
      </c>
      <c r="IH40" s="577">
        <v>56.33</v>
      </c>
    </row>
    <row r="41" spans="1:242" ht="15.95" customHeight="1" x14ac:dyDescent="0.2">
      <c r="A41" s="498" t="s">
        <v>514</v>
      </c>
      <c r="B41" s="498"/>
      <c r="C41" s="498"/>
      <c r="D41" s="588" t="s">
        <v>515</v>
      </c>
      <c r="E41" s="499" t="s">
        <v>516</v>
      </c>
      <c r="F41" s="499" t="s">
        <v>517</v>
      </c>
      <c r="G41" s="499" t="s">
        <v>518</v>
      </c>
      <c r="H41" s="497"/>
      <c r="I41" s="497"/>
      <c r="J41" s="497" t="s">
        <v>668</v>
      </c>
      <c r="K41" s="497"/>
      <c r="L41" s="497"/>
      <c r="M41" s="497"/>
      <c r="N41" s="497" t="s">
        <v>668</v>
      </c>
      <c r="O41" s="497" t="s">
        <v>668</v>
      </c>
      <c r="P41" s="497" t="s">
        <v>668</v>
      </c>
      <c r="Q41" s="497" t="s">
        <v>668</v>
      </c>
      <c r="R41" s="497" t="s">
        <v>668</v>
      </c>
      <c r="S41" s="497" t="s">
        <v>668</v>
      </c>
      <c r="T41" s="497" t="s">
        <v>668</v>
      </c>
      <c r="U41" s="497" t="s">
        <v>668</v>
      </c>
      <c r="V41" s="497" t="s">
        <v>668</v>
      </c>
      <c r="W41" s="497" t="s">
        <v>668</v>
      </c>
      <c r="X41" s="497" t="s">
        <v>668</v>
      </c>
      <c r="Y41" s="497" t="s">
        <v>668</v>
      </c>
      <c r="Z41" s="497" t="s">
        <v>668</v>
      </c>
      <c r="AA41" s="497" t="s">
        <v>668</v>
      </c>
      <c r="AB41" s="497" t="s">
        <v>668</v>
      </c>
      <c r="AC41" s="497" t="s">
        <v>668</v>
      </c>
      <c r="AD41" s="497" t="s">
        <v>668</v>
      </c>
      <c r="AE41" s="497" t="s">
        <v>668</v>
      </c>
      <c r="AF41" s="497"/>
      <c r="AG41" s="497"/>
      <c r="AH41" s="497"/>
      <c r="AI41" s="497"/>
      <c r="AJ41" s="497"/>
      <c r="AK41" s="497"/>
      <c r="AL41" s="497"/>
      <c r="AM41" s="497"/>
      <c r="AN41" s="497"/>
      <c r="AO41" s="497"/>
      <c r="AP41" s="497"/>
      <c r="AQ41" s="497"/>
      <c r="AR41" s="497"/>
      <c r="AS41" s="497"/>
      <c r="AT41" s="497"/>
      <c r="AU41" s="497"/>
      <c r="AV41" s="497"/>
      <c r="AW41" s="497"/>
      <c r="AX41" s="497"/>
      <c r="AY41" s="497"/>
      <c r="AZ41" s="497"/>
      <c r="BA41" s="497"/>
      <c r="BB41" s="497"/>
      <c r="BC41" s="497"/>
      <c r="BD41" s="497"/>
      <c r="BE41" s="497"/>
      <c r="BF41" s="497"/>
      <c r="BG41" s="497"/>
      <c r="BH41" s="497"/>
      <c r="BI41" s="497"/>
      <c r="BJ41" s="497"/>
      <c r="BK41" s="497"/>
      <c r="BL41" s="497"/>
      <c r="BM41" s="497"/>
      <c r="BN41" s="497"/>
      <c r="BO41" s="497"/>
      <c r="BP41" s="497"/>
      <c r="BQ41" s="497"/>
      <c r="BR41" s="497"/>
      <c r="BS41" s="497"/>
      <c r="BT41" s="497"/>
      <c r="BU41" s="497"/>
      <c r="BV41" s="497"/>
      <c r="BW41" s="497"/>
      <c r="BX41" s="497"/>
      <c r="BY41" s="497"/>
      <c r="BZ41" s="497"/>
      <c r="CA41" s="497"/>
      <c r="CB41" s="497"/>
      <c r="CC41" s="497"/>
      <c r="CD41" s="497"/>
      <c r="CE41" s="497"/>
      <c r="CF41" s="497"/>
      <c r="CG41" s="497"/>
      <c r="CH41" s="497"/>
      <c r="CI41" s="497"/>
      <c r="CJ41" s="497"/>
      <c r="CK41" s="497"/>
      <c r="CL41" s="497"/>
      <c r="CM41" s="497"/>
      <c r="CN41" s="497"/>
      <c r="CO41" s="497"/>
      <c r="CP41" s="497"/>
      <c r="CQ41" s="497"/>
      <c r="CR41" s="497"/>
      <c r="CS41" s="497"/>
      <c r="CT41" s="497"/>
      <c r="CU41" s="497"/>
      <c r="CV41" s="497"/>
      <c r="CW41" s="497"/>
      <c r="CX41" s="497"/>
      <c r="CY41" s="497"/>
      <c r="CZ41" s="497"/>
      <c r="DA41" s="497"/>
      <c r="DB41" s="497"/>
      <c r="DC41" s="497"/>
      <c r="DD41" s="497"/>
      <c r="DE41" s="497"/>
      <c r="DF41" s="497"/>
      <c r="DG41" s="497"/>
      <c r="DH41" s="497"/>
      <c r="DI41" s="497"/>
      <c r="DJ41" s="497"/>
      <c r="DK41" s="497"/>
      <c r="DL41" s="497"/>
      <c r="DM41" s="497"/>
      <c r="DN41" s="497"/>
      <c r="DO41" s="497"/>
      <c r="DP41" s="497"/>
      <c r="DQ41" s="497"/>
      <c r="DR41" s="497"/>
      <c r="DS41" s="497"/>
      <c r="DT41" s="497"/>
      <c r="DU41" s="497"/>
      <c r="DV41" s="497"/>
      <c r="DW41" s="497"/>
      <c r="DX41" s="497"/>
      <c r="DY41" s="497"/>
      <c r="DZ41" s="497"/>
      <c r="EA41" s="497"/>
      <c r="EB41" s="497"/>
      <c r="EC41" s="497"/>
      <c r="ED41" s="497"/>
      <c r="EE41" s="497"/>
      <c r="EF41" s="497"/>
      <c r="EG41" s="497"/>
      <c r="EH41" s="497"/>
      <c r="EI41" s="497"/>
      <c r="EJ41" s="497"/>
      <c r="EK41" s="497"/>
      <c r="EL41" s="497"/>
      <c r="EM41" s="497"/>
      <c r="EN41" s="497"/>
      <c r="EO41" s="497"/>
      <c r="EP41" s="497"/>
      <c r="EQ41" s="497"/>
      <c r="ER41" s="497"/>
      <c r="ES41" s="497"/>
      <c r="ET41" s="497"/>
      <c r="EU41" s="497"/>
      <c r="EV41" s="497"/>
      <c r="EW41" s="497"/>
      <c r="EX41" s="497"/>
      <c r="EY41" s="497"/>
      <c r="EZ41" s="497"/>
      <c r="FA41" s="497"/>
      <c r="FB41" s="497"/>
      <c r="FC41" s="497"/>
      <c r="FD41" s="497"/>
      <c r="FE41" s="497"/>
      <c r="FF41" s="497"/>
      <c r="FG41" s="497"/>
      <c r="FH41" s="497"/>
      <c r="FI41" s="497"/>
      <c r="FJ41" s="497"/>
      <c r="FK41" s="497"/>
      <c r="FL41" s="497"/>
      <c r="FM41" s="497"/>
      <c r="FN41" s="497"/>
      <c r="FO41" s="497"/>
      <c r="FP41" s="497"/>
      <c r="FQ41" s="497"/>
      <c r="FR41" s="497"/>
      <c r="FS41" s="497"/>
      <c r="FT41" s="497"/>
      <c r="FU41" s="497"/>
      <c r="FV41" s="497"/>
      <c r="FW41" s="497"/>
      <c r="FX41" s="497"/>
      <c r="FY41" s="497"/>
      <c r="FZ41" s="497"/>
      <c r="GA41" s="497"/>
      <c r="GB41" s="497"/>
      <c r="GC41" s="497"/>
      <c r="GD41" s="497"/>
      <c r="GE41" s="497"/>
      <c r="GF41" s="497"/>
      <c r="GG41" s="497"/>
      <c r="GH41" s="497"/>
      <c r="GI41" s="497"/>
      <c r="GJ41" s="497"/>
      <c r="GK41" s="497"/>
      <c r="GL41" s="497"/>
      <c r="GM41" s="497"/>
      <c r="GN41" s="497"/>
      <c r="GO41" s="497"/>
      <c r="GP41" s="497"/>
      <c r="GQ41" s="497"/>
      <c r="GR41" s="497"/>
      <c r="GS41" s="497"/>
      <c r="GT41" s="497"/>
      <c r="GU41" s="497"/>
      <c r="GV41" s="497"/>
      <c r="GW41" s="497"/>
      <c r="GX41" s="497"/>
      <c r="GY41" s="497"/>
      <c r="GZ41" s="497"/>
      <c r="HA41" s="497"/>
      <c r="HB41" s="497"/>
      <c r="HC41" s="497"/>
      <c r="HD41" s="497"/>
      <c r="HE41" s="497"/>
      <c r="HF41" s="497"/>
      <c r="HG41" s="497"/>
      <c r="HH41" s="497"/>
      <c r="HI41" s="497"/>
      <c r="HJ41" s="497"/>
      <c r="HK41" s="497"/>
      <c r="HL41" s="497"/>
      <c r="HM41" s="497"/>
      <c r="HN41" s="497"/>
      <c r="HO41" s="497"/>
      <c r="HP41" s="497"/>
      <c r="HQ41" s="497"/>
      <c r="HR41" s="497"/>
      <c r="HS41" s="497"/>
      <c r="HT41" s="497"/>
      <c r="HU41" s="497"/>
      <c r="HV41" s="497"/>
      <c r="HW41" s="497"/>
      <c r="HX41" s="497"/>
      <c r="HY41" s="497"/>
      <c r="HZ41" s="497"/>
      <c r="IA41" s="497"/>
      <c r="IB41" s="497"/>
      <c r="IC41" s="497"/>
      <c r="ID41" s="497"/>
      <c r="IE41" s="497"/>
      <c r="IF41" s="497"/>
      <c r="IG41" s="497"/>
      <c r="IH41" s="578"/>
    </row>
    <row r="42" spans="1:242" s="500" customFormat="1" ht="15.95" customHeight="1" x14ac:dyDescent="0.2">
      <c r="A42" s="523" t="s">
        <v>519</v>
      </c>
      <c r="B42" s="523">
        <v>19</v>
      </c>
      <c r="D42" s="589" t="s">
        <v>520</v>
      </c>
      <c r="E42" s="524" t="s">
        <v>519</v>
      </c>
      <c r="F42" s="525">
        <v>44.053159999999998</v>
      </c>
      <c r="G42" s="526">
        <v>50.846003600000003</v>
      </c>
      <c r="H42" s="514">
        <v>0</v>
      </c>
      <c r="I42" s="514">
        <v>0</v>
      </c>
      <c r="J42" s="514">
        <v>0</v>
      </c>
      <c r="K42" s="514">
        <v>45.89</v>
      </c>
      <c r="L42" s="514">
        <v>45.89</v>
      </c>
      <c r="M42" s="514">
        <v>54147.9</v>
      </c>
      <c r="N42" s="514">
        <v>98</v>
      </c>
      <c r="O42" s="514">
        <v>0</v>
      </c>
      <c r="P42" s="514">
        <v>0</v>
      </c>
      <c r="Q42" s="514">
        <v>0</v>
      </c>
      <c r="R42" s="514">
        <v>98</v>
      </c>
      <c r="S42" s="514">
        <v>0</v>
      </c>
      <c r="T42" s="514">
        <v>0</v>
      </c>
      <c r="U42" s="514">
        <v>0</v>
      </c>
      <c r="V42" s="514">
        <v>0</v>
      </c>
      <c r="W42" s="514">
        <v>0</v>
      </c>
      <c r="X42" s="514">
        <v>0</v>
      </c>
      <c r="Y42" s="514">
        <v>0</v>
      </c>
      <c r="Z42" s="514">
        <v>0</v>
      </c>
      <c r="AA42" s="514">
        <v>0</v>
      </c>
      <c r="AB42" s="514">
        <v>0</v>
      </c>
      <c r="AC42" s="514">
        <v>0</v>
      </c>
      <c r="AD42" s="514">
        <v>0</v>
      </c>
      <c r="AE42" s="514">
        <v>0</v>
      </c>
      <c r="AF42" s="514">
        <v>0.28999999999999998</v>
      </c>
      <c r="AG42" s="514">
        <v>143.41</v>
      </c>
      <c r="AH42" s="514">
        <v>45.89</v>
      </c>
      <c r="AI42" s="514">
        <v>54159.32</v>
      </c>
      <c r="AJ42" s="514">
        <v>90.1</v>
      </c>
      <c r="AK42" s="514">
        <v>143.69999999999999</v>
      </c>
      <c r="AL42" s="514">
        <v>30567.51</v>
      </c>
      <c r="AM42" s="514">
        <v>53581.95</v>
      </c>
      <c r="AN42" s="514">
        <v>307.32</v>
      </c>
      <c r="AO42" s="514">
        <v>56816.68</v>
      </c>
      <c r="AP42" s="514">
        <v>0</v>
      </c>
      <c r="AQ42" s="514">
        <v>56722.879999999997</v>
      </c>
      <c r="AR42" s="514">
        <v>97.59</v>
      </c>
      <c r="AS42" s="514">
        <v>3.79</v>
      </c>
      <c r="AT42" s="514">
        <v>0</v>
      </c>
      <c r="AU42" s="514">
        <v>4695.28</v>
      </c>
      <c r="AV42" s="514">
        <v>53345.07</v>
      </c>
      <c r="AW42" s="514">
        <v>3.69</v>
      </c>
      <c r="AX42" s="514">
        <v>1317.49</v>
      </c>
      <c r="AY42" s="514">
        <v>57230.46</v>
      </c>
      <c r="AZ42" s="514">
        <v>11.6</v>
      </c>
      <c r="BA42" s="514">
        <v>4703.5200000000004</v>
      </c>
      <c r="BB42" s="514">
        <v>15.23</v>
      </c>
      <c r="BC42" s="514">
        <v>11.42</v>
      </c>
      <c r="BD42" s="514">
        <v>0</v>
      </c>
      <c r="BE42" s="514">
        <v>5202.7700000000004</v>
      </c>
      <c r="BF42" s="514">
        <v>16.03</v>
      </c>
      <c r="BG42" s="514">
        <v>291.27999999999997</v>
      </c>
      <c r="BH42" s="514">
        <v>0</v>
      </c>
      <c r="BI42" s="514">
        <v>0</v>
      </c>
      <c r="BJ42" s="514">
        <v>0</v>
      </c>
      <c r="BK42" s="514">
        <v>0</v>
      </c>
      <c r="BL42" s="514">
        <v>0</v>
      </c>
      <c r="BM42" s="514">
        <v>45.89</v>
      </c>
      <c r="BN42" s="514">
        <v>45.89</v>
      </c>
      <c r="BO42" s="514">
        <v>54147.9</v>
      </c>
      <c r="BP42" s="514">
        <v>54147.9</v>
      </c>
      <c r="BQ42" s="514">
        <v>54147.9</v>
      </c>
      <c r="BR42" s="514">
        <v>58285.47</v>
      </c>
      <c r="BS42" s="514">
        <v>58285.47</v>
      </c>
      <c r="BT42" s="514">
        <v>54159.32</v>
      </c>
      <c r="BU42" s="514">
        <v>93.8</v>
      </c>
      <c r="BV42" s="514">
        <v>93.8</v>
      </c>
      <c r="BW42" s="514">
        <v>58285.47</v>
      </c>
      <c r="BX42" s="514">
        <v>90.1</v>
      </c>
      <c r="BY42" s="514">
        <v>30260.37</v>
      </c>
      <c r="BZ42" s="514">
        <v>30260.37</v>
      </c>
      <c r="CA42" s="514">
        <v>93.8</v>
      </c>
      <c r="CB42" s="514">
        <v>93.79</v>
      </c>
      <c r="CC42" s="514">
        <v>58040.37</v>
      </c>
      <c r="CD42" s="514">
        <v>58040.37</v>
      </c>
      <c r="CE42" s="514">
        <v>28618.26</v>
      </c>
      <c r="CF42" s="514">
        <v>23922.97</v>
      </c>
      <c r="CG42" s="514">
        <v>0.03</v>
      </c>
      <c r="CH42" s="514">
        <v>0.03</v>
      </c>
      <c r="CI42" s="514">
        <v>3.69</v>
      </c>
      <c r="CJ42" s="514">
        <v>3.69</v>
      </c>
      <c r="CK42" s="514">
        <v>3.81</v>
      </c>
      <c r="CL42" s="514">
        <v>3.81</v>
      </c>
      <c r="CM42" s="514">
        <v>15.34</v>
      </c>
      <c r="CN42" s="514">
        <v>15.34</v>
      </c>
      <c r="CO42" s="514">
        <v>307.32</v>
      </c>
      <c r="CP42" s="514">
        <v>0</v>
      </c>
      <c r="CQ42" s="514">
        <v>291.27999999999997</v>
      </c>
      <c r="CR42" s="514">
        <v>291.27999999999997</v>
      </c>
      <c r="CS42" s="514">
        <v>0</v>
      </c>
      <c r="CT42" s="514">
        <v>0</v>
      </c>
      <c r="CU42" s="514">
        <v>0</v>
      </c>
      <c r="CV42" s="514">
        <v>0</v>
      </c>
      <c r="CW42" s="514">
        <v>0</v>
      </c>
      <c r="CX42" s="514">
        <v>0</v>
      </c>
      <c r="CY42" s="514">
        <v>0</v>
      </c>
      <c r="CZ42" s="514">
        <v>0</v>
      </c>
      <c r="DA42" s="514">
        <v>52027.6</v>
      </c>
      <c r="DB42" s="514">
        <v>52027.69</v>
      </c>
      <c r="DC42" s="514">
        <v>15433.66</v>
      </c>
      <c r="DD42" s="514">
        <v>15433.66</v>
      </c>
      <c r="DE42" s="514">
        <v>93.8</v>
      </c>
      <c r="DF42" s="514">
        <v>93.8</v>
      </c>
      <c r="DG42" s="514">
        <v>97.52</v>
      </c>
      <c r="DH42" s="514">
        <v>0</v>
      </c>
      <c r="DI42" s="514" t="s">
        <v>668</v>
      </c>
      <c r="DJ42" s="514">
        <v>0</v>
      </c>
      <c r="DK42" s="514">
        <v>35269.79</v>
      </c>
      <c r="DL42" s="514">
        <v>143.41</v>
      </c>
      <c r="DM42" s="514">
        <v>15.34</v>
      </c>
      <c r="DN42" s="514">
        <v>15.23</v>
      </c>
      <c r="DO42" s="514">
        <v>0</v>
      </c>
      <c r="DP42" s="514">
        <v>0</v>
      </c>
      <c r="DQ42" s="514">
        <v>30260.19</v>
      </c>
      <c r="DR42" s="514">
        <v>30260.19</v>
      </c>
      <c r="DS42" s="514">
        <v>53345.09</v>
      </c>
      <c r="DT42" s="514">
        <v>97.59</v>
      </c>
      <c r="DU42" s="514">
        <v>57230.46</v>
      </c>
      <c r="DV42" s="514">
        <v>4703.5200000000004</v>
      </c>
      <c r="DW42" s="514">
        <v>291.27999999999997</v>
      </c>
      <c r="DX42" s="514">
        <v>0</v>
      </c>
      <c r="DY42" s="514">
        <v>0</v>
      </c>
      <c r="DZ42" s="514">
        <v>0</v>
      </c>
      <c r="EA42" s="514">
        <v>3.79</v>
      </c>
      <c r="EB42" s="514">
        <v>52027.6</v>
      </c>
      <c r="EC42" s="514">
        <v>0</v>
      </c>
      <c r="ED42" s="514">
        <v>7.0000000000000007E-2</v>
      </c>
      <c r="EE42" s="514">
        <v>205.75</v>
      </c>
      <c r="EF42" s="514">
        <v>2.41</v>
      </c>
      <c r="EG42" s="514">
        <v>28602.29</v>
      </c>
      <c r="EH42" s="514">
        <v>0</v>
      </c>
      <c r="EI42" s="514">
        <v>0</v>
      </c>
      <c r="EJ42" s="514">
        <v>1070.77</v>
      </c>
      <c r="EK42" s="514">
        <v>1070.77</v>
      </c>
      <c r="EL42" s="514">
        <v>0</v>
      </c>
      <c r="EM42" s="514">
        <v>0</v>
      </c>
      <c r="EN42" s="514">
        <v>0</v>
      </c>
      <c r="EO42" s="514">
        <v>0</v>
      </c>
      <c r="EP42" s="514">
        <v>0</v>
      </c>
      <c r="EQ42" s="514">
        <v>0</v>
      </c>
      <c r="ER42" s="514">
        <v>0</v>
      </c>
      <c r="ES42" s="514">
        <v>0</v>
      </c>
      <c r="ET42" s="514">
        <v>307.32</v>
      </c>
      <c r="EU42" s="514">
        <v>0</v>
      </c>
      <c r="EV42" s="514">
        <v>0</v>
      </c>
      <c r="EW42" s="514">
        <v>0</v>
      </c>
      <c r="EX42" s="514">
        <v>0</v>
      </c>
      <c r="EY42" s="514">
        <v>0</v>
      </c>
      <c r="EZ42" s="514">
        <v>0</v>
      </c>
      <c r="FA42" s="514">
        <v>0</v>
      </c>
      <c r="FB42" s="514">
        <v>0</v>
      </c>
      <c r="FC42" s="514">
        <v>0</v>
      </c>
      <c r="FD42" s="514">
        <v>0</v>
      </c>
      <c r="FE42" s="514">
        <v>0</v>
      </c>
      <c r="FF42" s="514">
        <v>0</v>
      </c>
      <c r="FG42" s="514">
        <v>45.89</v>
      </c>
      <c r="FH42" s="514">
        <v>45.89</v>
      </c>
      <c r="FI42" s="514">
        <v>45.89</v>
      </c>
      <c r="FJ42" s="514">
        <v>22.95</v>
      </c>
      <c r="FK42" s="514">
        <v>22.95</v>
      </c>
      <c r="FL42" s="514">
        <v>22.95</v>
      </c>
      <c r="FM42" s="514">
        <v>22.95</v>
      </c>
      <c r="FN42" s="514">
        <v>22.95</v>
      </c>
      <c r="FO42" s="514">
        <v>143.41</v>
      </c>
      <c r="FP42" s="514">
        <v>35.85</v>
      </c>
      <c r="FQ42" s="514">
        <v>35.85</v>
      </c>
      <c r="FR42" s="514">
        <v>107.56</v>
      </c>
      <c r="FS42" s="514">
        <v>107.56</v>
      </c>
      <c r="FT42" s="514">
        <v>45.89</v>
      </c>
      <c r="FU42" s="514">
        <v>205.82</v>
      </c>
      <c r="FV42" s="514">
        <v>28604.71</v>
      </c>
      <c r="FW42" s="514">
        <v>53829.73</v>
      </c>
      <c r="FX42" s="514" t="s">
        <v>668</v>
      </c>
      <c r="FY42" s="514">
        <v>53829.73</v>
      </c>
      <c r="FZ42" s="514">
        <v>60.46</v>
      </c>
      <c r="GA42" s="514">
        <v>0.01</v>
      </c>
      <c r="GB42" s="514">
        <v>60.45</v>
      </c>
      <c r="GC42" s="514">
        <v>0</v>
      </c>
      <c r="GD42" s="514" t="s">
        <v>668</v>
      </c>
      <c r="GE42" s="514">
        <v>0</v>
      </c>
      <c r="GF42" s="514">
        <v>0</v>
      </c>
      <c r="GG42" s="514" t="s">
        <v>668</v>
      </c>
      <c r="GH42" s="514">
        <v>0</v>
      </c>
      <c r="GI42" s="514">
        <v>0</v>
      </c>
      <c r="GJ42" s="514">
        <v>45.89</v>
      </c>
      <c r="GK42" s="514">
        <v>39.01</v>
      </c>
      <c r="GL42" s="514">
        <v>54147.9</v>
      </c>
      <c r="GM42" s="514">
        <v>54147.9</v>
      </c>
      <c r="GN42" s="514">
        <v>54159.32</v>
      </c>
      <c r="GO42" s="514">
        <v>45.89</v>
      </c>
      <c r="GP42" s="514">
        <v>53942.68</v>
      </c>
      <c r="GQ42" s="514">
        <v>53635.55</v>
      </c>
      <c r="GR42" s="514">
        <v>143.69999999999999</v>
      </c>
      <c r="GS42" s="514">
        <v>53345.09</v>
      </c>
      <c r="GT42" s="514">
        <v>93.8</v>
      </c>
      <c r="GU42" s="514">
        <v>4719.46</v>
      </c>
      <c r="GV42" s="514">
        <v>52027.6</v>
      </c>
      <c r="GW42" s="514">
        <v>52027.6</v>
      </c>
      <c r="GX42" s="514">
        <v>52027.69</v>
      </c>
      <c r="GY42" s="514">
        <v>11.6</v>
      </c>
      <c r="GZ42" s="514">
        <v>15.41</v>
      </c>
      <c r="HA42" s="514">
        <v>7.0000000000000007E-2</v>
      </c>
      <c r="HB42" s="514">
        <v>0.11</v>
      </c>
      <c r="HC42" s="514">
        <v>3.81</v>
      </c>
      <c r="HD42" s="514">
        <v>0</v>
      </c>
      <c r="HE42" s="514">
        <v>0</v>
      </c>
      <c r="HF42" s="514">
        <v>0</v>
      </c>
      <c r="HG42" s="514">
        <v>15687.14</v>
      </c>
      <c r="HH42" s="514">
        <v>0</v>
      </c>
      <c r="HI42" s="514">
        <v>15687.14</v>
      </c>
      <c r="HJ42" s="514">
        <v>0</v>
      </c>
      <c r="HK42" s="514">
        <v>0</v>
      </c>
      <c r="HL42" s="514">
        <v>58040.37</v>
      </c>
      <c r="HM42" s="514">
        <v>29774.31</v>
      </c>
      <c r="HN42" s="514">
        <v>25056.28</v>
      </c>
      <c r="HO42" s="514">
        <v>0</v>
      </c>
      <c r="HP42" s="514">
        <v>0.03</v>
      </c>
      <c r="HQ42" s="514">
        <v>1070.77</v>
      </c>
      <c r="HR42" s="514">
        <v>253.48</v>
      </c>
      <c r="HS42" s="514">
        <v>0</v>
      </c>
      <c r="HT42" s="514">
        <v>0</v>
      </c>
      <c r="HU42" s="514">
        <v>93.8</v>
      </c>
      <c r="HV42" s="514">
        <v>53322.34</v>
      </c>
      <c r="HW42" s="514">
        <v>58285.47</v>
      </c>
      <c r="HX42" s="514">
        <v>58285.47</v>
      </c>
      <c r="HY42" s="514">
        <v>56816.68</v>
      </c>
      <c r="HZ42" s="514">
        <v>56816.68</v>
      </c>
      <c r="IA42" s="514">
        <v>0</v>
      </c>
      <c r="IB42" s="514">
        <v>0</v>
      </c>
      <c r="IC42" s="514">
        <v>0</v>
      </c>
      <c r="ID42" s="514">
        <v>0</v>
      </c>
      <c r="IE42" s="514">
        <v>0</v>
      </c>
      <c r="IF42" s="514">
        <v>0</v>
      </c>
      <c r="IG42" s="514">
        <v>0</v>
      </c>
      <c r="IH42" s="574">
        <v>0</v>
      </c>
    </row>
    <row r="43" spans="1:242" s="503" customFormat="1" ht="15.95" customHeight="1" x14ac:dyDescent="0.2">
      <c r="A43" s="527" t="s">
        <v>521</v>
      </c>
      <c r="B43" s="527">
        <v>20</v>
      </c>
      <c r="D43" s="590" t="s">
        <v>522</v>
      </c>
      <c r="E43" s="528" t="s">
        <v>521</v>
      </c>
      <c r="F43" s="508">
        <v>44.053159999999998</v>
      </c>
      <c r="G43" s="505">
        <v>67.730003499999995</v>
      </c>
      <c r="H43" s="507">
        <v>0</v>
      </c>
      <c r="I43" s="507">
        <v>0</v>
      </c>
      <c r="J43" s="507">
        <v>0</v>
      </c>
      <c r="K43" s="507">
        <v>0.04</v>
      </c>
      <c r="L43" s="507">
        <v>0.04</v>
      </c>
      <c r="M43" s="507">
        <v>27.09</v>
      </c>
      <c r="N43" s="507">
        <v>0</v>
      </c>
      <c r="O43" s="507">
        <v>0</v>
      </c>
      <c r="P43" s="507">
        <v>0</v>
      </c>
      <c r="Q43" s="507">
        <v>0</v>
      </c>
      <c r="R43" s="507">
        <v>0</v>
      </c>
      <c r="S43" s="507">
        <v>0</v>
      </c>
      <c r="T43" s="507">
        <v>0</v>
      </c>
      <c r="U43" s="507">
        <v>0</v>
      </c>
      <c r="V43" s="507">
        <v>0</v>
      </c>
      <c r="W43" s="507">
        <v>0</v>
      </c>
      <c r="X43" s="507">
        <v>0</v>
      </c>
      <c r="Y43" s="507">
        <v>0</v>
      </c>
      <c r="Z43" s="507">
        <v>0</v>
      </c>
      <c r="AA43" s="507">
        <v>0</v>
      </c>
      <c r="AB43" s="507">
        <v>0</v>
      </c>
      <c r="AC43" s="507">
        <v>0</v>
      </c>
      <c r="AD43" s="507">
        <v>0</v>
      </c>
      <c r="AE43" s="507">
        <v>0</v>
      </c>
      <c r="AF43" s="507">
        <v>0</v>
      </c>
      <c r="AG43" s="507">
        <v>0.04</v>
      </c>
      <c r="AH43" s="507">
        <v>0.04</v>
      </c>
      <c r="AI43" s="507">
        <v>27.09</v>
      </c>
      <c r="AJ43" s="507">
        <v>0.12</v>
      </c>
      <c r="AK43" s="507">
        <v>0.04</v>
      </c>
      <c r="AL43" s="507">
        <v>31.36</v>
      </c>
      <c r="AM43" s="507">
        <v>26.86</v>
      </c>
      <c r="AN43" s="507">
        <v>0.32</v>
      </c>
      <c r="AO43" s="507">
        <v>28.31</v>
      </c>
      <c r="AP43" s="507">
        <v>0</v>
      </c>
      <c r="AQ43" s="507">
        <v>28.18</v>
      </c>
      <c r="AR43" s="507">
        <v>0.13</v>
      </c>
      <c r="AS43" s="507">
        <v>0.01</v>
      </c>
      <c r="AT43" s="507">
        <v>0</v>
      </c>
      <c r="AU43" s="507">
        <v>1.44</v>
      </c>
      <c r="AV43" s="507">
        <v>27.3</v>
      </c>
      <c r="AW43" s="507">
        <v>0</v>
      </c>
      <c r="AX43" s="507">
        <v>0.56000000000000005</v>
      </c>
      <c r="AY43" s="507">
        <v>29.42</v>
      </c>
      <c r="AZ43" s="507">
        <v>0</v>
      </c>
      <c r="BA43" s="507">
        <v>1.45</v>
      </c>
      <c r="BB43" s="507">
        <v>0</v>
      </c>
      <c r="BC43" s="507">
        <v>0</v>
      </c>
      <c r="BD43" s="507">
        <v>0</v>
      </c>
      <c r="BE43" s="507">
        <v>2.67</v>
      </c>
      <c r="BF43" s="507">
        <v>0.01</v>
      </c>
      <c r="BG43" s="507">
        <v>0.3</v>
      </c>
      <c r="BH43" s="507">
        <v>0.3</v>
      </c>
      <c r="BI43" s="507">
        <v>0.3</v>
      </c>
      <c r="BJ43" s="507">
        <v>0</v>
      </c>
      <c r="BK43" s="507">
        <v>0</v>
      </c>
      <c r="BL43" s="507">
        <v>0</v>
      </c>
      <c r="BM43" s="507">
        <v>0.04</v>
      </c>
      <c r="BN43" s="507">
        <v>0.04</v>
      </c>
      <c r="BO43" s="507">
        <v>27.09</v>
      </c>
      <c r="BP43" s="507">
        <v>27.09</v>
      </c>
      <c r="BQ43" s="507">
        <v>27.09</v>
      </c>
      <c r="BR43" s="507">
        <v>28.31</v>
      </c>
      <c r="BS43" s="507">
        <v>28.31</v>
      </c>
      <c r="BT43" s="507">
        <v>27.09</v>
      </c>
      <c r="BU43" s="507">
        <v>0.13</v>
      </c>
      <c r="BV43" s="507">
        <v>0.13</v>
      </c>
      <c r="BW43" s="507">
        <v>28.31</v>
      </c>
      <c r="BX43" s="507">
        <v>0.12</v>
      </c>
      <c r="BY43" s="507">
        <v>31.04</v>
      </c>
      <c r="BZ43" s="507">
        <v>31.04</v>
      </c>
      <c r="CA43" s="507">
        <v>0.13</v>
      </c>
      <c r="CB43" s="507">
        <v>0.13</v>
      </c>
      <c r="CC43" s="507">
        <v>28.74</v>
      </c>
      <c r="CD43" s="507">
        <v>28.74</v>
      </c>
      <c r="CE43" s="507">
        <v>12.06</v>
      </c>
      <c r="CF43" s="507">
        <v>10.63</v>
      </c>
      <c r="CG43" s="507">
        <v>0</v>
      </c>
      <c r="CH43" s="507">
        <v>0</v>
      </c>
      <c r="CI43" s="507">
        <v>0</v>
      </c>
      <c r="CJ43" s="507">
        <v>0</v>
      </c>
      <c r="CK43" s="507">
        <v>0</v>
      </c>
      <c r="CL43" s="507">
        <v>0</v>
      </c>
      <c r="CM43" s="507">
        <v>0</v>
      </c>
      <c r="CN43" s="507">
        <v>0</v>
      </c>
      <c r="CO43" s="507">
        <v>0.32</v>
      </c>
      <c r="CP43" s="507">
        <v>0.3</v>
      </c>
      <c r="CQ43" s="507">
        <v>0.3</v>
      </c>
      <c r="CR43" s="507">
        <v>0.3</v>
      </c>
      <c r="CS43" s="507">
        <v>0.3</v>
      </c>
      <c r="CT43" s="507">
        <v>0</v>
      </c>
      <c r="CU43" s="507">
        <v>0</v>
      </c>
      <c r="CV43" s="507">
        <v>0</v>
      </c>
      <c r="CW43" s="507">
        <v>0</v>
      </c>
      <c r="CX43" s="507">
        <v>0.3</v>
      </c>
      <c r="CY43" s="507">
        <v>0</v>
      </c>
      <c r="CZ43" s="507">
        <v>0</v>
      </c>
      <c r="DA43" s="507">
        <v>26.75</v>
      </c>
      <c r="DB43" s="507">
        <v>26.75</v>
      </c>
      <c r="DC43" s="507">
        <v>23.81</v>
      </c>
      <c r="DD43" s="507">
        <v>23.81</v>
      </c>
      <c r="DE43" s="507">
        <v>0.13</v>
      </c>
      <c r="DF43" s="507">
        <v>0.13</v>
      </c>
      <c r="DG43" s="507">
        <v>0</v>
      </c>
      <c r="DH43" s="507">
        <v>0</v>
      </c>
      <c r="DI43" s="507" t="s">
        <v>668</v>
      </c>
      <c r="DJ43" s="507">
        <v>0</v>
      </c>
      <c r="DK43" s="507">
        <v>0.84</v>
      </c>
      <c r="DL43" s="507">
        <v>0.04</v>
      </c>
      <c r="DM43" s="507">
        <v>0</v>
      </c>
      <c r="DN43" s="507">
        <v>0</v>
      </c>
      <c r="DO43" s="507">
        <v>0</v>
      </c>
      <c r="DP43" s="507">
        <v>0</v>
      </c>
      <c r="DQ43" s="507">
        <v>31.04</v>
      </c>
      <c r="DR43" s="507">
        <v>31.04</v>
      </c>
      <c r="DS43" s="507">
        <v>27.3</v>
      </c>
      <c r="DT43" s="507">
        <v>0.13</v>
      </c>
      <c r="DU43" s="507">
        <v>29.42</v>
      </c>
      <c r="DV43" s="507">
        <v>1.45</v>
      </c>
      <c r="DW43" s="507">
        <v>0.3</v>
      </c>
      <c r="DX43" s="507">
        <v>0</v>
      </c>
      <c r="DY43" s="507">
        <v>0</v>
      </c>
      <c r="DZ43" s="507">
        <v>0</v>
      </c>
      <c r="EA43" s="507">
        <v>0.01</v>
      </c>
      <c r="EB43" s="507">
        <v>26.75</v>
      </c>
      <c r="EC43" s="507">
        <v>0</v>
      </c>
      <c r="ED43" s="507">
        <v>0</v>
      </c>
      <c r="EE43" s="507">
        <v>0.12</v>
      </c>
      <c r="EF43" s="507">
        <v>0</v>
      </c>
      <c r="EG43" s="507">
        <v>18.34</v>
      </c>
      <c r="EH43" s="507">
        <v>0</v>
      </c>
      <c r="EI43" s="507">
        <v>0</v>
      </c>
      <c r="EJ43" s="507">
        <v>2.1</v>
      </c>
      <c r="EK43" s="507">
        <v>2.1</v>
      </c>
      <c r="EL43" s="507">
        <v>0</v>
      </c>
      <c r="EM43" s="507">
        <v>0</v>
      </c>
      <c r="EN43" s="507">
        <v>0</v>
      </c>
      <c r="EO43" s="507">
        <v>0</v>
      </c>
      <c r="EP43" s="507">
        <v>0</v>
      </c>
      <c r="EQ43" s="507">
        <v>0</v>
      </c>
      <c r="ER43" s="507">
        <v>0</v>
      </c>
      <c r="ES43" s="507">
        <v>0</v>
      </c>
      <c r="ET43" s="507">
        <v>0.32</v>
      </c>
      <c r="EU43" s="507">
        <v>0</v>
      </c>
      <c r="EV43" s="507">
        <v>0</v>
      </c>
      <c r="EW43" s="507">
        <v>0</v>
      </c>
      <c r="EX43" s="507">
        <v>0</v>
      </c>
      <c r="EY43" s="507">
        <v>0</v>
      </c>
      <c r="EZ43" s="507">
        <v>0</v>
      </c>
      <c r="FA43" s="507">
        <v>0</v>
      </c>
      <c r="FB43" s="507">
        <v>0</v>
      </c>
      <c r="FC43" s="507">
        <v>0</v>
      </c>
      <c r="FD43" s="507">
        <v>0</v>
      </c>
      <c r="FE43" s="507">
        <v>0</v>
      </c>
      <c r="FF43" s="507">
        <v>0</v>
      </c>
      <c r="FG43" s="507">
        <v>0.04</v>
      </c>
      <c r="FH43" s="507">
        <v>0.04</v>
      </c>
      <c r="FI43" s="507">
        <v>0.04</v>
      </c>
      <c r="FJ43" s="507">
        <v>0.02</v>
      </c>
      <c r="FK43" s="507">
        <v>0.02</v>
      </c>
      <c r="FL43" s="507">
        <v>0.02</v>
      </c>
      <c r="FM43" s="507">
        <v>0.02</v>
      </c>
      <c r="FN43" s="507">
        <v>0.02</v>
      </c>
      <c r="FO43" s="507">
        <v>0.04</v>
      </c>
      <c r="FP43" s="507">
        <v>0.01</v>
      </c>
      <c r="FQ43" s="507">
        <v>0.01</v>
      </c>
      <c r="FR43" s="507">
        <v>0.03</v>
      </c>
      <c r="FS43" s="507">
        <v>0.03</v>
      </c>
      <c r="FT43" s="507">
        <v>0.04</v>
      </c>
      <c r="FU43" s="507">
        <v>0.12</v>
      </c>
      <c r="FV43" s="507">
        <v>18.34</v>
      </c>
      <c r="FW43" s="507">
        <v>27.51</v>
      </c>
      <c r="FX43" s="507" t="s">
        <v>668</v>
      </c>
      <c r="FY43" s="507">
        <v>27.51</v>
      </c>
      <c r="FZ43" s="507">
        <v>0.01</v>
      </c>
      <c r="GA43" s="507">
        <v>0</v>
      </c>
      <c r="GB43" s="507">
        <v>0.01</v>
      </c>
      <c r="GC43" s="507">
        <v>0</v>
      </c>
      <c r="GD43" s="507" t="s">
        <v>668</v>
      </c>
      <c r="GE43" s="507">
        <v>0</v>
      </c>
      <c r="GF43" s="507">
        <v>0</v>
      </c>
      <c r="GG43" s="507" t="s">
        <v>668</v>
      </c>
      <c r="GH43" s="507">
        <v>0</v>
      </c>
      <c r="GI43" s="507">
        <v>0.02</v>
      </c>
      <c r="GJ43" s="507">
        <v>0.04</v>
      </c>
      <c r="GK43" s="507">
        <v>0.04</v>
      </c>
      <c r="GL43" s="507">
        <v>27.09</v>
      </c>
      <c r="GM43" s="507">
        <v>27.09</v>
      </c>
      <c r="GN43" s="507">
        <v>27.09</v>
      </c>
      <c r="GO43" s="507">
        <v>0.01</v>
      </c>
      <c r="GP43" s="507">
        <v>27.09</v>
      </c>
      <c r="GQ43" s="507">
        <v>26.77</v>
      </c>
      <c r="GR43" s="507">
        <v>0.04</v>
      </c>
      <c r="GS43" s="507">
        <v>27.3</v>
      </c>
      <c r="GT43" s="507">
        <v>0.13</v>
      </c>
      <c r="GU43" s="507">
        <v>1.41</v>
      </c>
      <c r="GV43" s="507">
        <v>26.75</v>
      </c>
      <c r="GW43" s="507">
        <v>26.75</v>
      </c>
      <c r="GX43" s="507">
        <v>26.75</v>
      </c>
      <c r="GY43" s="507">
        <v>0</v>
      </c>
      <c r="GZ43" s="507">
        <v>0</v>
      </c>
      <c r="HA43" s="507">
        <v>0</v>
      </c>
      <c r="HB43" s="507">
        <v>0</v>
      </c>
      <c r="HC43" s="507">
        <v>0</v>
      </c>
      <c r="HD43" s="507">
        <v>0</v>
      </c>
      <c r="HE43" s="507">
        <v>0</v>
      </c>
      <c r="HF43" s="507">
        <v>0</v>
      </c>
      <c r="HG43" s="507">
        <v>23.81</v>
      </c>
      <c r="HH43" s="507">
        <v>0</v>
      </c>
      <c r="HI43" s="507">
        <v>23.81</v>
      </c>
      <c r="HJ43" s="507">
        <v>0</v>
      </c>
      <c r="HK43" s="507">
        <v>0</v>
      </c>
      <c r="HL43" s="507">
        <v>28.74</v>
      </c>
      <c r="HM43" s="507">
        <v>12.33</v>
      </c>
      <c r="HN43" s="507">
        <v>10.92</v>
      </c>
      <c r="HO43" s="507">
        <v>0</v>
      </c>
      <c r="HP43" s="507">
        <v>0</v>
      </c>
      <c r="HQ43" s="507">
        <v>2.1</v>
      </c>
      <c r="HR43" s="507">
        <v>0</v>
      </c>
      <c r="HS43" s="507">
        <v>0</v>
      </c>
      <c r="HT43" s="507">
        <v>0</v>
      </c>
      <c r="HU43" s="507">
        <v>0.13</v>
      </c>
      <c r="HV43" s="507">
        <v>27.33</v>
      </c>
      <c r="HW43" s="507">
        <v>28.31</v>
      </c>
      <c r="HX43" s="507">
        <v>28.31</v>
      </c>
      <c r="HY43" s="507">
        <v>28.31</v>
      </c>
      <c r="HZ43" s="507">
        <v>28.31</v>
      </c>
      <c r="IA43" s="507">
        <v>0</v>
      </c>
      <c r="IB43" s="507">
        <v>0</v>
      </c>
      <c r="IC43" s="507">
        <v>0</v>
      </c>
      <c r="ID43" s="507">
        <v>0</v>
      </c>
      <c r="IE43" s="507">
        <v>0</v>
      </c>
      <c r="IF43" s="507">
        <v>0</v>
      </c>
      <c r="IG43" s="507">
        <v>0.3</v>
      </c>
      <c r="IH43" s="571">
        <v>0</v>
      </c>
    </row>
    <row r="44" spans="1:242" s="503" customFormat="1" ht="15.95" customHeight="1" x14ac:dyDescent="0.2">
      <c r="A44" s="527" t="s">
        <v>523</v>
      </c>
      <c r="B44" s="527">
        <v>21</v>
      </c>
      <c r="D44" s="590" t="s">
        <v>524</v>
      </c>
      <c r="E44" s="528" t="s">
        <v>523</v>
      </c>
      <c r="F44" s="508">
        <v>18.015280000000001</v>
      </c>
      <c r="G44" s="505">
        <v>212.00000199999999</v>
      </c>
      <c r="H44" s="507">
        <v>0</v>
      </c>
      <c r="I44" s="507">
        <v>0</v>
      </c>
      <c r="J44" s="507">
        <v>0</v>
      </c>
      <c r="K44" s="507">
        <v>2997.49</v>
      </c>
      <c r="L44" s="507">
        <v>2997.49</v>
      </c>
      <c r="M44" s="507">
        <v>12465.38</v>
      </c>
      <c r="N44" s="507">
        <v>2054</v>
      </c>
      <c r="O44" s="507">
        <v>651376.56333071238</v>
      </c>
      <c r="P44" s="507">
        <v>7388.7186906106463</v>
      </c>
      <c r="Q44" s="507">
        <v>2031.0537706857176</v>
      </c>
      <c r="R44" s="507">
        <v>636559.52233225922</v>
      </c>
      <c r="S44" s="507">
        <v>636519.44628749497</v>
      </c>
      <c r="T44" s="507">
        <v>5357.6649199249287</v>
      </c>
      <c r="U44" s="507">
        <v>641712.4189282686</v>
      </c>
      <c r="V44" s="507">
        <v>16245.122003355651</v>
      </c>
      <c r="W44" s="507">
        <v>676198.41973994544</v>
      </c>
      <c r="X44" s="507">
        <v>24821.856409233045</v>
      </c>
      <c r="Y44" s="507">
        <v>14563.455471533251</v>
      </c>
      <c r="Z44" s="507">
        <v>13027.217917543718</v>
      </c>
      <c r="AA44" s="507">
        <v>15000</v>
      </c>
      <c r="AB44" s="507">
        <v>11534.751144450809</v>
      </c>
      <c r="AC44" s="507">
        <v>26534.751144450809</v>
      </c>
      <c r="AD44" s="507">
        <v>273.98573518390737</v>
      </c>
      <c r="AE44" s="507">
        <v>1681.6665318224007</v>
      </c>
      <c r="AF44" s="507">
        <v>6.14</v>
      </c>
      <c r="AG44" s="507">
        <v>3062.2</v>
      </c>
      <c r="AH44" s="507">
        <v>2997.49</v>
      </c>
      <c r="AI44" s="507">
        <v>12494.66</v>
      </c>
      <c r="AJ44" s="507">
        <v>1377882</v>
      </c>
      <c r="AK44" s="507">
        <v>3068.33</v>
      </c>
      <c r="AL44" s="507">
        <v>726450.2</v>
      </c>
      <c r="AM44" s="507">
        <v>1379966</v>
      </c>
      <c r="AN44" s="507">
        <v>7303.5</v>
      </c>
      <c r="AO44" s="507">
        <v>1435856</v>
      </c>
      <c r="AP44" s="507">
        <v>35540</v>
      </c>
      <c r="AQ44" s="507">
        <v>35888.78</v>
      </c>
      <c r="AR44" s="507">
        <v>1492016</v>
      </c>
      <c r="AS44" s="507">
        <v>57988.46</v>
      </c>
      <c r="AT44" s="507">
        <v>1479.91</v>
      </c>
      <c r="AU44" s="507">
        <v>9.0500000000000007</v>
      </c>
      <c r="AV44" s="507">
        <v>35892.720000000001</v>
      </c>
      <c r="AW44" s="507">
        <v>56381.760000000002</v>
      </c>
      <c r="AX44" s="507">
        <v>13.01</v>
      </c>
      <c r="AY44" s="507">
        <v>40080.639999999999</v>
      </c>
      <c r="AZ44" s="507">
        <v>30.84</v>
      </c>
      <c r="BA44" s="507">
        <v>56455.4</v>
      </c>
      <c r="BB44" s="507">
        <v>39.04</v>
      </c>
      <c r="BC44" s="507">
        <v>29.28</v>
      </c>
      <c r="BD44" s="507">
        <v>557.21</v>
      </c>
      <c r="BE44" s="507">
        <v>3643.7</v>
      </c>
      <c r="BF44" s="507">
        <v>3.14</v>
      </c>
      <c r="BG44" s="507">
        <v>7300.36</v>
      </c>
      <c r="BH44" s="507">
        <v>7187.88</v>
      </c>
      <c r="BI44" s="507">
        <v>3115.93</v>
      </c>
      <c r="BJ44" s="507">
        <v>4341.8</v>
      </c>
      <c r="BK44" s="507">
        <v>2842.61</v>
      </c>
      <c r="BL44" s="507">
        <v>1229.3399999999999</v>
      </c>
      <c r="BM44" s="507">
        <v>2997.49</v>
      </c>
      <c r="BN44" s="507">
        <v>2997.49</v>
      </c>
      <c r="BO44" s="507">
        <v>12465.38</v>
      </c>
      <c r="BP44" s="507">
        <v>12465.38</v>
      </c>
      <c r="BQ44" s="507">
        <v>12465.38</v>
      </c>
      <c r="BR44" s="507">
        <v>1436422</v>
      </c>
      <c r="BS44" s="507">
        <v>1436422</v>
      </c>
      <c r="BT44" s="507">
        <v>12494.66</v>
      </c>
      <c r="BU44" s="507">
        <v>1434027</v>
      </c>
      <c r="BV44" s="507">
        <v>1434027</v>
      </c>
      <c r="BW44" s="507">
        <v>1436422</v>
      </c>
      <c r="BX44" s="507">
        <v>1377978</v>
      </c>
      <c r="BY44" s="507">
        <v>719140</v>
      </c>
      <c r="BZ44" s="507">
        <v>719140</v>
      </c>
      <c r="CA44" s="507">
        <v>1434239</v>
      </c>
      <c r="CB44" s="507">
        <v>1434360</v>
      </c>
      <c r="CC44" s="507">
        <v>35901.79</v>
      </c>
      <c r="CD44" s="507">
        <v>35901.79</v>
      </c>
      <c r="CE44" s="507">
        <v>276.10000000000002</v>
      </c>
      <c r="CF44" s="507">
        <v>267.04000000000002</v>
      </c>
      <c r="CG44" s="507">
        <v>683181.9</v>
      </c>
      <c r="CH44" s="507">
        <v>683181.9</v>
      </c>
      <c r="CI44" s="507">
        <v>56381.760000000002</v>
      </c>
      <c r="CJ44" s="507">
        <v>56377.35</v>
      </c>
      <c r="CK44" s="507">
        <v>282.27999999999997</v>
      </c>
      <c r="CL44" s="507">
        <v>282.27999999999997</v>
      </c>
      <c r="CM44" s="507">
        <v>135.72999999999999</v>
      </c>
      <c r="CN44" s="507">
        <v>135.72999999999999</v>
      </c>
      <c r="CO44" s="507">
        <v>7303.5</v>
      </c>
      <c r="CP44" s="507">
        <v>3115.93</v>
      </c>
      <c r="CQ44" s="507">
        <v>7300.36</v>
      </c>
      <c r="CR44" s="507">
        <v>7300.36</v>
      </c>
      <c r="CS44" s="507">
        <v>3115.93</v>
      </c>
      <c r="CT44" s="507">
        <v>14183.21</v>
      </c>
      <c r="CU44" s="507">
        <v>14183.21</v>
      </c>
      <c r="CV44" s="507">
        <v>3444.18</v>
      </c>
      <c r="CW44" s="507">
        <v>3444.18</v>
      </c>
      <c r="CX44" s="507">
        <v>3115.93</v>
      </c>
      <c r="CY44" s="507">
        <v>523700.5</v>
      </c>
      <c r="CZ44" s="507">
        <v>523700.5</v>
      </c>
      <c r="DA44" s="507">
        <v>36436.92</v>
      </c>
      <c r="DB44" s="507">
        <v>36436.949999999997</v>
      </c>
      <c r="DC44" s="507">
        <v>131.44</v>
      </c>
      <c r="DD44" s="507">
        <v>131.44</v>
      </c>
      <c r="DE44" s="507">
        <v>1434027</v>
      </c>
      <c r="DF44" s="507">
        <v>1434027</v>
      </c>
      <c r="DG44" s="507">
        <v>0</v>
      </c>
      <c r="DH44" s="507">
        <v>2.2000000000000002</v>
      </c>
      <c r="DI44" s="507" t="s">
        <v>668</v>
      </c>
      <c r="DJ44" s="507">
        <v>2.2000000000000002</v>
      </c>
      <c r="DK44" s="507">
        <v>0</v>
      </c>
      <c r="DL44" s="507">
        <v>3062.2</v>
      </c>
      <c r="DM44" s="507">
        <v>135.72999999999999</v>
      </c>
      <c r="DN44" s="507">
        <v>39.04</v>
      </c>
      <c r="DO44" s="507">
        <v>178.49</v>
      </c>
      <c r="DP44" s="507">
        <v>0</v>
      </c>
      <c r="DQ44" s="507">
        <v>719146.7</v>
      </c>
      <c r="DR44" s="507">
        <v>719146.7</v>
      </c>
      <c r="DS44" s="507">
        <v>35892.730000000003</v>
      </c>
      <c r="DT44" s="507">
        <v>1492016</v>
      </c>
      <c r="DU44" s="507">
        <v>40080.639999999999</v>
      </c>
      <c r="DV44" s="507">
        <v>56455.4</v>
      </c>
      <c r="DW44" s="507">
        <v>7300.36</v>
      </c>
      <c r="DX44" s="507">
        <v>3444.18</v>
      </c>
      <c r="DY44" s="507">
        <v>524929.80000000005</v>
      </c>
      <c r="DZ44" s="507">
        <v>524929.80000000005</v>
      </c>
      <c r="EA44" s="507">
        <v>57988.46</v>
      </c>
      <c r="EB44" s="507">
        <v>36436.92</v>
      </c>
      <c r="EC44" s="507">
        <v>0</v>
      </c>
      <c r="ED44" s="507">
        <v>6201.06</v>
      </c>
      <c r="EE44" s="507">
        <v>1371690</v>
      </c>
      <c r="EF44" s="507">
        <v>2311.48</v>
      </c>
      <c r="EG44" s="507">
        <v>1432518</v>
      </c>
      <c r="EH44" s="507">
        <v>1479.91</v>
      </c>
      <c r="EI44" s="507">
        <v>1479.91</v>
      </c>
      <c r="EJ44" s="507">
        <v>43505.5</v>
      </c>
      <c r="EK44" s="507">
        <v>43505.5</v>
      </c>
      <c r="EL44" s="507">
        <v>2.2000000000000002</v>
      </c>
      <c r="EM44" s="507">
        <v>2.2000000000000002</v>
      </c>
      <c r="EN44" s="507">
        <v>2.2000000000000002</v>
      </c>
      <c r="EO44" s="507">
        <v>2.2000000000000002</v>
      </c>
      <c r="EP44" s="507">
        <v>0</v>
      </c>
      <c r="EQ44" s="507">
        <v>56.87</v>
      </c>
      <c r="ER44" s="507">
        <v>33.07</v>
      </c>
      <c r="ES44" s="507">
        <v>7200</v>
      </c>
      <c r="ET44" s="507">
        <v>7303.5</v>
      </c>
      <c r="EU44" s="507">
        <v>207.82</v>
      </c>
      <c r="EV44" s="507">
        <v>0</v>
      </c>
      <c r="EW44" s="507">
        <v>0</v>
      </c>
      <c r="EX44" s="507">
        <v>0</v>
      </c>
      <c r="EY44" s="507">
        <v>0</v>
      </c>
      <c r="EZ44" s="507">
        <v>0</v>
      </c>
      <c r="FA44" s="507">
        <v>0</v>
      </c>
      <c r="FB44" s="507">
        <v>0</v>
      </c>
      <c r="FC44" s="507">
        <v>0</v>
      </c>
      <c r="FD44" s="507">
        <v>0</v>
      </c>
      <c r="FE44" s="507">
        <v>0</v>
      </c>
      <c r="FF44" s="507">
        <v>0</v>
      </c>
      <c r="FG44" s="507">
        <v>2997.49</v>
      </c>
      <c r="FH44" s="507">
        <v>2997.49</v>
      </c>
      <c r="FI44" s="507">
        <v>2997.49</v>
      </c>
      <c r="FJ44" s="507">
        <v>1498.74</v>
      </c>
      <c r="FK44" s="507">
        <v>1498.74</v>
      </c>
      <c r="FL44" s="507">
        <v>1498.74</v>
      </c>
      <c r="FM44" s="507">
        <v>1498.74</v>
      </c>
      <c r="FN44" s="507">
        <v>1498.74</v>
      </c>
      <c r="FO44" s="507">
        <v>3062.2</v>
      </c>
      <c r="FP44" s="507">
        <v>765.55</v>
      </c>
      <c r="FQ44" s="507">
        <v>765.55</v>
      </c>
      <c r="FR44" s="507">
        <v>2296.65</v>
      </c>
      <c r="FS44" s="507">
        <v>2296.65</v>
      </c>
      <c r="FT44" s="507">
        <v>2997.49</v>
      </c>
      <c r="FU44" s="507">
        <v>1377891</v>
      </c>
      <c r="FV44" s="507">
        <v>1434830</v>
      </c>
      <c r="FW44" s="507">
        <v>35897.800000000003</v>
      </c>
      <c r="FX44" s="507" t="s">
        <v>668</v>
      </c>
      <c r="FY44" s="507">
        <v>35897.800000000003</v>
      </c>
      <c r="FZ44" s="507">
        <v>56379.49</v>
      </c>
      <c r="GA44" s="507">
        <v>236.93</v>
      </c>
      <c r="GB44" s="507">
        <v>56142.559999999998</v>
      </c>
      <c r="GC44" s="507">
        <v>321.47000000000003</v>
      </c>
      <c r="GD44" s="507" t="s">
        <v>668</v>
      </c>
      <c r="GE44" s="507">
        <v>321.47000000000003</v>
      </c>
      <c r="GF44" s="507">
        <v>365.7</v>
      </c>
      <c r="GG44" s="507" t="s">
        <v>668</v>
      </c>
      <c r="GH44" s="507">
        <v>365.7</v>
      </c>
      <c r="GI44" s="507">
        <v>2017.59</v>
      </c>
      <c r="GJ44" s="507">
        <v>2997.12</v>
      </c>
      <c r="GK44" s="507">
        <v>3002.75</v>
      </c>
      <c r="GL44" s="507">
        <v>12465.38</v>
      </c>
      <c r="GM44" s="507">
        <v>12465.38</v>
      </c>
      <c r="GN44" s="507">
        <v>12494.66</v>
      </c>
      <c r="GO44" s="507">
        <v>979.9</v>
      </c>
      <c r="GP44" s="507">
        <v>12462.94</v>
      </c>
      <c r="GQ44" s="507">
        <v>5152.74</v>
      </c>
      <c r="GR44" s="507">
        <v>3068.33</v>
      </c>
      <c r="GS44" s="507">
        <v>35892.730000000003</v>
      </c>
      <c r="GT44" s="507">
        <v>1434027</v>
      </c>
      <c r="GU44" s="507">
        <v>7.7</v>
      </c>
      <c r="GV44" s="507">
        <v>36436.92</v>
      </c>
      <c r="GW44" s="507">
        <v>36436.92</v>
      </c>
      <c r="GX44" s="507">
        <v>36436.949999999997</v>
      </c>
      <c r="GY44" s="507">
        <v>30.84</v>
      </c>
      <c r="GZ44" s="507">
        <v>313.12</v>
      </c>
      <c r="HA44" s="507">
        <v>177.39</v>
      </c>
      <c r="HB44" s="507">
        <v>96.69</v>
      </c>
      <c r="HC44" s="507">
        <v>9.76</v>
      </c>
      <c r="HD44" s="507">
        <v>1229.3399999999999</v>
      </c>
      <c r="HE44" s="507">
        <v>4341.8</v>
      </c>
      <c r="HF44" s="507">
        <v>1229.3399999999999</v>
      </c>
      <c r="HG44" s="507">
        <v>131.44</v>
      </c>
      <c r="HH44" s="507">
        <v>0</v>
      </c>
      <c r="HI44" s="507">
        <v>131.44</v>
      </c>
      <c r="HJ44" s="507">
        <v>269.83999999999997</v>
      </c>
      <c r="HK44" s="507">
        <v>331.73</v>
      </c>
      <c r="HL44" s="507">
        <v>35901.79</v>
      </c>
      <c r="HM44" s="507">
        <v>251.16</v>
      </c>
      <c r="HN44" s="507">
        <v>243.44</v>
      </c>
      <c r="HO44" s="507">
        <v>1479.91</v>
      </c>
      <c r="HP44" s="507">
        <v>683181.9</v>
      </c>
      <c r="HQ44" s="507">
        <v>43505.5</v>
      </c>
      <c r="HR44" s="507">
        <v>0</v>
      </c>
      <c r="HS44" s="507">
        <v>0</v>
      </c>
      <c r="HT44" s="507">
        <v>0</v>
      </c>
      <c r="HU44" s="507">
        <v>1434027</v>
      </c>
      <c r="HV44" s="507">
        <v>35894.07</v>
      </c>
      <c r="HW44" s="507">
        <v>1436422</v>
      </c>
      <c r="HX44" s="507">
        <v>1436422</v>
      </c>
      <c r="HY44" s="507">
        <v>1435856</v>
      </c>
      <c r="HZ44" s="507">
        <v>1435856</v>
      </c>
      <c r="IA44" s="507">
        <v>21780</v>
      </c>
      <c r="IB44" s="507">
        <v>13760</v>
      </c>
      <c r="IC44" s="507">
        <v>35540</v>
      </c>
      <c r="ID44" s="507">
        <v>35540</v>
      </c>
      <c r="IE44" s="507">
        <v>557.21</v>
      </c>
      <c r="IF44" s="507">
        <v>557.21</v>
      </c>
      <c r="IG44" s="507">
        <v>7187.88</v>
      </c>
      <c r="IH44" s="571">
        <v>4341.8</v>
      </c>
    </row>
    <row r="45" spans="1:242" s="503" customFormat="1" ht="15.95" customHeight="1" x14ac:dyDescent="0.2">
      <c r="A45" s="527" t="s">
        <v>525</v>
      </c>
      <c r="B45" s="527">
        <v>22</v>
      </c>
      <c r="D45" s="590" t="s">
        <v>526</v>
      </c>
      <c r="E45" s="528" t="s">
        <v>525</v>
      </c>
      <c r="F45" s="508">
        <v>62.068440000000002</v>
      </c>
      <c r="G45" s="505">
        <v>387.21200099999999</v>
      </c>
      <c r="H45" s="507">
        <v>0</v>
      </c>
      <c r="I45" s="507">
        <v>0</v>
      </c>
      <c r="J45" s="507">
        <v>0</v>
      </c>
      <c r="K45" s="507">
        <v>0.56000000000000005</v>
      </c>
      <c r="L45" s="507">
        <v>0.56000000000000005</v>
      </c>
      <c r="M45" s="507">
        <v>0.56000000000000005</v>
      </c>
      <c r="N45" s="507">
        <v>0</v>
      </c>
      <c r="O45" s="507">
        <v>16.261816</v>
      </c>
      <c r="P45" s="507">
        <v>0</v>
      </c>
      <c r="Q45" s="507">
        <v>0</v>
      </c>
      <c r="R45" s="507">
        <v>16.261816</v>
      </c>
      <c r="S45" s="507">
        <v>154.33786076426125</v>
      </c>
      <c r="T45" s="507">
        <v>0</v>
      </c>
      <c r="U45" s="507">
        <v>154.33786076426125</v>
      </c>
      <c r="V45" s="507">
        <v>154.33786076426125</v>
      </c>
      <c r="W45" s="507">
        <v>16.881501270285707</v>
      </c>
      <c r="X45" s="507">
        <v>0.61968527028570863</v>
      </c>
      <c r="Y45" s="507">
        <v>154.33786076426125</v>
      </c>
      <c r="Z45" s="507">
        <v>138.07604476426124</v>
      </c>
      <c r="AA45" s="507">
        <v>0</v>
      </c>
      <c r="AB45" s="507">
        <v>0</v>
      </c>
      <c r="AC45" s="507">
        <v>0</v>
      </c>
      <c r="AD45" s="507">
        <v>0</v>
      </c>
      <c r="AE45" s="507">
        <v>0</v>
      </c>
      <c r="AF45" s="507">
        <v>0</v>
      </c>
      <c r="AG45" s="507">
        <v>0.56000000000000005</v>
      </c>
      <c r="AH45" s="507">
        <v>0.56000000000000005</v>
      </c>
      <c r="AI45" s="507">
        <v>0.56000000000000005</v>
      </c>
      <c r="AJ45" s="507">
        <v>46126.64</v>
      </c>
      <c r="AK45" s="507">
        <v>0.56999999999999995</v>
      </c>
      <c r="AL45" s="507">
        <v>30306.31</v>
      </c>
      <c r="AM45" s="507">
        <v>46127.61</v>
      </c>
      <c r="AN45" s="507">
        <v>304.69</v>
      </c>
      <c r="AO45" s="507">
        <v>49846.22</v>
      </c>
      <c r="AP45" s="507">
        <v>0</v>
      </c>
      <c r="AQ45" s="507">
        <v>31.25</v>
      </c>
      <c r="AR45" s="507">
        <v>49962.2</v>
      </c>
      <c r="AS45" s="507">
        <v>1941.82</v>
      </c>
      <c r="AT45" s="507">
        <v>1794.6</v>
      </c>
      <c r="AU45" s="507">
        <v>0</v>
      </c>
      <c r="AV45" s="507">
        <v>31.25</v>
      </c>
      <c r="AW45" s="507">
        <v>1887.46</v>
      </c>
      <c r="AX45" s="507">
        <v>0</v>
      </c>
      <c r="AY45" s="507">
        <v>34.380000000000003</v>
      </c>
      <c r="AZ45" s="507">
        <v>0.01</v>
      </c>
      <c r="BA45" s="507">
        <v>1887.31</v>
      </c>
      <c r="BB45" s="507">
        <v>0</v>
      </c>
      <c r="BC45" s="507">
        <v>0</v>
      </c>
      <c r="BD45" s="507">
        <v>0</v>
      </c>
      <c r="BE45" s="507">
        <v>3.13</v>
      </c>
      <c r="BF45" s="507">
        <v>0</v>
      </c>
      <c r="BG45" s="507">
        <v>304.69</v>
      </c>
      <c r="BH45" s="507">
        <v>669.85</v>
      </c>
      <c r="BI45" s="507">
        <v>0.21</v>
      </c>
      <c r="BJ45" s="507">
        <v>669.65</v>
      </c>
      <c r="BK45" s="507">
        <v>0.02</v>
      </c>
      <c r="BL45" s="507">
        <v>669.63</v>
      </c>
      <c r="BM45" s="507">
        <v>0.56000000000000005</v>
      </c>
      <c r="BN45" s="507">
        <v>0.56000000000000005</v>
      </c>
      <c r="BO45" s="507">
        <v>0.56000000000000005</v>
      </c>
      <c r="BP45" s="507">
        <v>0.56000000000000005</v>
      </c>
      <c r="BQ45" s="507">
        <v>0.56000000000000005</v>
      </c>
      <c r="BR45" s="507">
        <v>48014.93</v>
      </c>
      <c r="BS45" s="507">
        <v>48014.93</v>
      </c>
      <c r="BT45" s="507">
        <v>0.56000000000000005</v>
      </c>
      <c r="BU45" s="507">
        <v>48020.42</v>
      </c>
      <c r="BV45" s="507">
        <v>48020.42</v>
      </c>
      <c r="BW45" s="507">
        <v>48014.93</v>
      </c>
      <c r="BX45" s="507">
        <v>46129.87</v>
      </c>
      <c r="BY45" s="507">
        <v>30002.04</v>
      </c>
      <c r="BZ45" s="507">
        <v>30002.04</v>
      </c>
      <c r="CA45" s="507">
        <v>48020.42</v>
      </c>
      <c r="CB45" s="507">
        <v>48017.35</v>
      </c>
      <c r="CC45" s="507">
        <v>31.25</v>
      </c>
      <c r="CD45" s="507">
        <v>31.25</v>
      </c>
      <c r="CE45" s="507">
        <v>0</v>
      </c>
      <c r="CF45" s="507">
        <v>0</v>
      </c>
      <c r="CG45" s="507">
        <v>828452.9</v>
      </c>
      <c r="CH45" s="507">
        <v>828452.9</v>
      </c>
      <c r="CI45" s="507">
        <v>1887.46</v>
      </c>
      <c r="CJ45" s="507">
        <v>1887.32</v>
      </c>
      <c r="CK45" s="507">
        <v>0</v>
      </c>
      <c r="CL45" s="507">
        <v>0</v>
      </c>
      <c r="CM45" s="507">
        <v>0</v>
      </c>
      <c r="CN45" s="507">
        <v>0</v>
      </c>
      <c r="CO45" s="507">
        <v>304.69</v>
      </c>
      <c r="CP45" s="507">
        <v>0.21</v>
      </c>
      <c r="CQ45" s="507">
        <v>304.69</v>
      </c>
      <c r="CR45" s="507">
        <v>304.69</v>
      </c>
      <c r="CS45" s="507">
        <v>0.21</v>
      </c>
      <c r="CT45" s="507">
        <v>2187.52</v>
      </c>
      <c r="CU45" s="507">
        <v>2187.52</v>
      </c>
      <c r="CV45" s="507">
        <v>0.03</v>
      </c>
      <c r="CW45" s="507">
        <v>0.03</v>
      </c>
      <c r="CX45" s="507">
        <v>0.21</v>
      </c>
      <c r="CY45" s="507">
        <v>285260.79999999999</v>
      </c>
      <c r="CZ45" s="507">
        <v>285260.79999999999</v>
      </c>
      <c r="DA45" s="507">
        <v>31.25</v>
      </c>
      <c r="DB45" s="507">
        <v>31.25</v>
      </c>
      <c r="DC45" s="507">
        <v>0</v>
      </c>
      <c r="DD45" s="507">
        <v>0</v>
      </c>
      <c r="DE45" s="507">
        <v>48020.38</v>
      </c>
      <c r="DF45" s="507">
        <v>48020.42</v>
      </c>
      <c r="DG45" s="507">
        <v>0</v>
      </c>
      <c r="DH45" s="507">
        <v>0</v>
      </c>
      <c r="DI45" s="507" t="s">
        <v>668</v>
      </c>
      <c r="DJ45" s="507">
        <v>0</v>
      </c>
      <c r="DK45" s="507">
        <v>0</v>
      </c>
      <c r="DL45" s="507">
        <v>0.56000000000000005</v>
      </c>
      <c r="DM45" s="507">
        <v>0</v>
      </c>
      <c r="DN45" s="507">
        <v>0</v>
      </c>
      <c r="DO45" s="507">
        <v>0</v>
      </c>
      <c r="DP45" s="507">
        <v>0</v>
      </c>
      <c r="DQ45" s="507">
        <v>30001.62</v>
      </c>
      <c r="DR45" s="507">
        <v>30001.62</v>
      </c>
      <c r="DS45" s="507">
        <v>31.25</v>
      </c>
      <c r="DT45" s="507">
        <v>49962.2</v>
      </c>
      <c r="DU45" s="507">
        <v>34.380000000000003</v>
      </c>
      <c r="DV45" s="507">
        <v>1887.31</v>
      </c>
      <c r="DW45" s="507">
        <v>304.69</v>
      </c>
      <c r="DX45" s="507">
        <v>0.03</v>
      </c>
      <c r="DY45" s="507">
        <v>285930.40000000002</v>
      </c>
      <c r="DZ45" s="507">
        <v>285930.40000000002</v>
      </c>
      <c r="EA45" s="507">
        <v>1941.82</v>
      </c>
      <c r="EB45" s="507">
        <v>31.25</v>
      </c>
      <c r="EC45" s="507">
        <v>0</v>
      </c>
      <c r="ED45" s="507">
        <v>1865.63</v>
      </c>
      <c r="EE45" s="507">
        <v>44261.02</v>
      </c>
      <c r="EF45" s="507">
        <v>1332.6</v>
      </c>
      <c r="EG45" s="507">
        <v>48516.07</v>
      </c>
      <c r="EH45" s="507">
        <v>1794.6</v>
      </c>
      <c r="EI45" s="507">
        <v>1794.6</v>
      </c>
      <c r="EJ45" s="507">
        <v>31.25</v>
      </c>
      <c r="EK45" s="507">
        <v>31.25</v>
      </c>
      <c r="EL45" s="507">
        <v>0</v>
      </c>
      <c r="EM45" s="507">
        <v>0</v>
      </c>
      <c r="EN45" s="507">
        <v>0</v>
      </c>
      <c r="EO45" s="507">
        <v>0</v>
      </c>
      <c r="EP45" s="507">
        <v>0</v>
      </c>
      <c r="EQ45" s="507">
        <v>0</v>
      </c>
      <c r="ER45" s="507">
        <v>0</v>
      </c>
      <c r="ES45" s="507">
        <v>0</v>
      </c>
      <c r="ET45" s="507">
        <v>304.69</v>
      </c>
      <c r="EU45" s="507">
        <v>0</v>
      </c>
      <c r="EV45" s="507">
        <v>0</v>
      </c>
      <c r="EW45" s="507">
        <v>0</v>
      </c>
      <c r="EX45" s="507">
        <v>0</v>
      </c>
      <c r="EY45" s="507">
        <v>0</v>
      </c>
      <c r="EZ45" s="507">
        <v>0</v>
      </c>
      <c r="FA45" s="507">
        <v>0</v>
      </c>
      <c r="FB45" s="507">
        <v>0</v>
      </c>
      <c r="FC45" s="507">
        <v>0</v>
      </c>
      <c r="FD45" s="507">
        <v>0</v>
      </c>
      <c r="FE45" s="507">
        <v>0</v>
      </c>
      <c r="FF45" s="507">
        <v>0</v>
      </c>
      <c r="FG45" s="507">
        <v>0.56000000000000005</v>
      </c>
      <c r="FH45" s="507">
        <v>0.56000000000000005</v>
      </c>
      <c r="FI45" s="507">
        <v>0.56000000000000005</v>
      </c>
      <c r="FJ45" s="507">
        <v>0.28000000000000003</v>
      </c>
      <c r="FK45" s="507">
        <v>0.28000000000000003</v>
      </c>
      <c r="FL45" s="507">
        <v>0.28000000000000003</v>
      </c>
      <c r="FM45" s="507">
        <v>0.28000000000000003</v>
      </c>
      <c r="FN45" s="507">
        <v>0.28000000000000003</v>
      </c>
      <c r="FO45" s="507">
        <v>0.56000000000000005</v>
      </c>
      <c r="FP45" s="507">
        <v>0.14000000000000001</v>
      </c>
      <c r="FQ45" s="507">
        <v>0.14000000000000001</v>
      </c>
      <c r="FR45" s="507">
        <v>0.42</v>
      </c>
      <c r="FS45" s="507">
        <v>0.42</v>
      </c>
      <c r="FT45" s="507">
        <v>0.56000000000000005</v>
      </c>
      <c r="FU45" s="507">
        <v>46126.65</v>
      </c>
      <c r="FV45" s="507">
        <v>49848.67</v>
      </c>
      <c r="FW45" s="507">
        <v>31.25</v>
      </c>
      <c r="FX45" s="507" t="s">
        <v>668</v>
      </c>
      <c r="FY45" s="507">
        <v>31.25</v>
      </c>
      <c r="FZ45" s="507">
        <v>1887.32</v>
      </c>
      <c r="GA45" s="507">
        <v>121.59</v>
      </c>
      <c r="GB45" s="507">
        <v>1765.72</v>
      </c>
      <c r="GC45" s="507">
        <v>0.52</v>
      </c>
      <c r="GD45" s="507" t="s">
        <v>668</v>
      </c>
      <c r="GE45" s="507">
        <v>0.52</v>
      </c>
      <c r="GF45" s="507">
        <v>0.12</v>
      </c>
      <c r="GG45" s="507" t="s">
        <v>668</v>
      </c>
      <c r="GH45" s="507">
        <v>0.12</v>
      </c>
      <c r="GI45" s="507">
        <v>0.38</v>
      </c>
      <c r="GJ45" s="507">
        <v>0.56000000000000005</v>
      </c>
      <c r="GK45" s="507">
        <v>0.56000000000000005</v>
      </c>
      <c r="GL45" s="507">
        <v>0.56000000000000005</v>
      </c>
      <c r="GM45" s="507">
        <v>0.56000000000000005</v>
      </c>
      <c r="GN45" s="507">
        <v>0.56000000000000005</v>
      </c>
      <c r="GO45" s="507">
        <v>0.18</v>
      </c>
      <c r="GP45" s="507">
        <v>305.79000000000002</v>
      </c>
      <c r="GQ45" s="507">
        <v>1.53</v>
      </c>
      <c r="GR45" s="507">
        <v>0.56999999999999995</v>
      </c>
      <c r="GS45" s="507">
        <v>31.25</v>
      </c>
      <c r="GT45" s="507">
        <v>48020.38</v>
      </c>
      <c r="GU45" s="507">
        <v>0</v>
      </c>
      <c r="GV45" s="507">
        <v>31.25</v>
      </c>
      <c r="GW45" s="507">
        <v>31.25</v>
      </c>
      <c r="GX45" s="507">
        <v>31.25</v>
      </c>
      <c r="GY45" s="507">
        <v>0.01</v>
      </c>
      <c r="GZ45" s="507">
        <v>0.01</v>
      </c>
      <c r="HA45" s="507">
        <v>0.01</v>
      </c>
      <c r="HB45" s="507">
        <v>0</v>
      </c>
      <c r="HC45" s="507">
        <v>0</v>
      </c>
      <c r="HD45" s="507">
        <v>669.63</v>
      </c>
      <c r="HE45" s="507">
        <v>669.65</v>
      </c>
      <c r="HF45" s="507">
        <v>669.63</v>
      </c>
      <c r="HG45" s="507">
        <v>0</v>
      </c>
      <c r="HH45" s="507">
        <v>0</v>
      </c>
      <c r="HI45" s="507">
        <v>0</v>
      </c>
      <c r="HJ45" s="507">
        <v>0</v>
      </c>
      <c r="HK45" s="507">
        <v>0</v>
      </c>
      <c r="HL45" s="507">
        <v>31.25</v>
      </c>
      <c r="HM45" s="507">
        <v>0</v>
      </c>
      <c r="HN45" s="507">
        <v>0</v>
      </c>
      <c r="HO45" s="507">
        <v>1794.6</v>
      </c>
      <c r="HP45" s="507">
        <v>828452.9</v>
      </c>
      <c r="HQ45" s="507">
        <v>31.25</v>
      </c>
      <c r="HR45" s="507">
        <v>0</v>
      </c>
      <c r="HS45" s="507">
        <v>0</v>
      </c>
      <c r="HT45" s="507">
        <v>0</v>
      </c>
      <c r="HU45" s="507">
        <v>48020.38</v>
      </c>
      <c r="HV45" s="507">
        <v>31.25</v>
      </c>
      <c r="HW45" s="507">
        <v>48014.93</v>
      </c>
      <c r="HX45" s="507">
        <v>48014.93</v>
      </c>
      <c r="HY45" s="507">
        <v>49846.22</v>
      </c>
      <c r="HZ45" s="507">
        <v>49846.22</v>
      </c>
      <c r="IA45" s="507">
        <v>0</v>
      </c>
      <c r="IB45" s="507">
        <v>0</v>
      </c>
      <c r="IC45" s="507">
        <v>0</v>
      </c>
      <c r="ID45" s="507">
        <v>0</v>
      </c>
      <c r="IE45" s="507">
        <v>0</v>
      </c>
      <c r="IF45" s="507">
        <v>0</v>
      </c>
      <c r="IG45" s="507">
        <v>669.85</v>
      </c>
      <c r="IH45" s="571">
        <v>669.65</v>
      </c>
    </row>
    <row r="46" spans="1:242" s="503" customFormat="1" ht="15.95" customHeight="1" x14ac:dyDescent="0.2">
      <c r="A46" s="527" t="s">
        <v>527</v>
      </c>
      <c r="B46" s="527">
        <v>23</v>
      </c>
      <c r="D46" s="590" t="s">
        <v>528</v>
      </c>
      <c r="E46" s="528" t="s">
        <v>527</v>
      </c>
      <c r="F46" s="508">
        <v>106.1216</v>
      </c>
      <c r="G46" s="505">
        <v>469.38200000000001</v>
      </c>
      <c r="H46" s="507">
        <v>0</v>
      </c>
      <c r="I46" s="507">
        <v>0</v>
      </c>
      <c r="J46" s="507" t="s">
        <v>668</v>
      </c>
      <c r="K46" s="507">
        <v>0.01</v>
      </c>
      <c r="L46" s="507">
        <v>0.01</v>
      </c>
      <c r="M46" s="507">
        <v>0.01</v>
      </c>
      <c r="N46" s="507" t="s">
        <v>668</v>
      </c>
      <c r="O46" s="507" t="s">
        <v>668</v>
      </c>
      <c r="P46" s="507" t="s">
        <v>668</v>
      </c>
      <c r="Q46" s="507" t="s">
        <v>668</v>
      </c>
      <c r="R46" s="507" t="s">
        <v>668</v>
      </c>
      <c r="S46" s="507" t="s">
        <v>668</v>
      </c>
      <c r="T46" s="507" t="s">
        <v>668</v>
      </c>
      <c r="U46" s="507" t="s">
        <v>668</v>
      </c>
      <c r="V46" s="507" t="s">
        <v>668</v>
      </c>
      <c r="W46" s="507" t="s">
        <v>668</v>
      </c>
      <c r="X46" s="507" t="s">
        <v>668</v>
      </c>
      <c r="Y46" s="507" t="s">
        <v>668</v>
      </c>
      <c r="Z46" s="507" t="s">
        <v>668</v>
      </c>
      <c r="AA46" s="507" t="s">
        <v>668</v>
      </c>
      <c r="AB46" s="507" t="s">
        <v>668</v>
      </c>
      <c r="AC46" s="507" t="s">
        <v>668</v>
      </c>
      <c r="AD46" s="507" t="s">
        <v>668</v>
      </c>
      <c r="AE46" s="507" t="s">
        <v>668</v>
      </c>
      <c r="AF46" s="507">
        <v>0</v>
      </c>
      <c r="AG46" s="507">
        <v>0.01</v>
      </c>
      <c r="AH46" s="507">
        <v>0.01</v>
      </c>
      <c r="AI46" s="507">
        <v>0.01</v>
      </c>
      <c r="AJ46" s="507">
        <v>4844.1099999999997</v>
      </c>
      <c r="AK46" s="507">
        <v>0.01</v>
      </c>
      <c r="AL46" s="507">
        <v>0.67</v>
      </c>
      <c r="AM46" s="507">
        <v>4844.1000000000004</v>
      </c>
      <c r="AN46" s="507">
        <v>0.01</v>
      </c>
      <c r="AO46" s="507">
        <v>5245.89</v>
      </c>
      <c r="AP46" s="507">
        <v>0</v>
      </c>
      <c r="AQ46" s="507">
        <v>0.51</v>
      </c>
      <c r="AR46" s="507">
        <v>5246.88</v>
      </c>
      <c r="AS46" s="507">
        <v>203.92</v>
      </c>
      <c r="AT46" s="507">
        <v>202.43</v>
      </c>
      <c r="AU46" s="507">
        <v>0</v>
      </c>
      <c r="AV46" s="507">
        <v>0.51</v>
      </c>
      <c r="AW46" s="507">
        <v>198.22</v>
      </c>
      <c r="AX46" s="507">
        <v>0</v>
      </c>
      <c r="AY46" s="507">
        <v>0.56000000000000005</v>
      </c>
      <c r="AZ46" s="507">
        <v>0</v>
      </c>
      <c r="BA46" s="507">
        <v>198.2</v>
      </c>
      <c r="BB46" s="507">
        <v>0</v>
      </c>
      <c r="BC46" s="507">
        <v>0</v>
      </c>
      <c r="BD46" s="507">
        <v>0</v>
      </c>
      <c r="BE46" s="507">
        <v>0.05</v>
      </c>
      <c r="BF46" s="507">
        <v>0</v>
      </c>
      <c r="BG46" s="507">
        <v>0.01</v>
      </c>
      <c r="BH46" s="507">
        <v>37.29</v>
      </c>
      <c r="BI46" s="507">
        <v>0</v>
      </c>
      <c r="BJ46" s="507">
        <v>37.29</v>
      </c>
      <c r="BK46" s="507">
        <v>0</v>
      </c>
      <c r="BL46" s="507">
        <v>37.29</v>
      </c>
      <c r="BM46" s="507">
        <v>0.01</v>
      </c>
      <c r="BN46" s="507">
        <v>0.01</v>
      </c>
      <c r="BO46" s="507">
        <v>0.01</v>
      </c>
      <c r="BP46" s="507">
        <v>0.01</v>
      </c>
      <c r="BQ46" s="507">
        <v>0.01</v>
      </c>
      <c r="BR46" s="507">
        <v>5042.3</v>
      </c>
      <c r="BS46" s="507">
        <v>5042.3</v>
      </c>
      <c r="BT46" s="507">
        <v>0.01</v>
      </c>
      <c r="BU46" s="507">
        <v>5042.96</v>
      </c>
      <c r="BV46" s="507">
        <v>5042.96</v>
      </c>
      <c r="BW46" s="507">
        <v>5042.3</v>
      </c>
      <c r="BX46" s="507">
        <v>4844.45</v>
      </c>
      <c r="BY46" s="507">
        <v>0.66</v>
      </c>
      <c r="BZ46" s="507">
        <v>0.66</v>
      </c>
      <c r="CA46" s="507">
        <v>5042.96</v>
      </c>
      <c r="CB46" s="507">
        <v>5042.67</v>
      </c>
      <c r="CC46" s="507">
        <v>0.51</v>
      </c>
      <c r="CD46" s="507">
        <v>0.51</v>
      </c>
      <c r="CE46" s="507">
        <v>0</v>
      </c>
      <c r="CF46" s="507">
        <v>0</v>
      </c>
      <c r="CG46" s="507">
        <v>93448.38</v>
      </c>
      <c r="CH46" s="507">
        <v>93448.38</v>
      </c>
      <c r="CI46" s="507">
        <v>198.22</v>
      </c>
      <c r="CJ46" s="507">
        <v>198.2</v>
      </c>
      <c r="CK46" s="507">
        <v>0</v>
      </c>
      <c r="CL46" s="507">
        <v>0</v>
      </c>
      <c r="CM46" s="507">
        <v>0</v>
      </c>
      <c r="CN46" s="507">
        <v>0</v>
      </c>
      <c r="CO46" s="507">
        <v>0.01</v>
      </c>
      <c r="CP46" s="507">
        <v>0</v>
      </c>
      <c r="CQ46" s="507">
        <v>0.01</v>
      </c>
      <c r="CR46" s="507">
        <v>0.01</v>
      </c>
      <c r="CS46" s="507">
        <v>0</v>
      </c>
      <c r="CT46" s="507">
        <v>121.81</v>
      </c>
      <c r="CU46" s="507">
        <v>121.81</v>
      </c>
      <c r="CV46" s="507">
        <v>0</v>
      </c>
      <c r="CW46" s="507">
        <v>0</v>
      </c>
      <c r="CX46" s="507">
        <v>0</v>
      </c>
      <c r="CY46" s="507">
        <v>15884.88</v>
      </c>
      <c r="CZ46" s="507">
        <v>15884.88</v>
      </c>
      <c r="DA46" s="507">
        <v>0.51</v>
      </c>
      <c r="DB46" s="507">
        <v>0.51</v>
      </c>
      <c r="DC46" s="507">
        <v>0</v>
      </c>
      <c r="DD46" s="507">
        <v>0</v>
      </c>
      <c r="DE46" s="507">
        <v>5042.96</v>
      </c>
      <c r="DF46" s="507">
        <v>5042.96</v>
      </c>
      <c r="DG46" s="507">
        <v>0</v>
      </c>
      <c r="DH46" s="507">
        <v>0</v>
      </c>
      <c r="DI46" s="507" t="s">
        <v>668</v>
      </c>
      <c r="DJ46" s="507">
        <v>0</v>
      </c>
      <c r="DK46" s="507">
        <v>0</v>
      </c>
      <c r="DL46" s="507">
        <v>0.01</v>
      </c>
      <c r="DM46" s="507">
        <v>0</v>
      </c>
      <c r="DN46" s="507">
        <v>0</v>
      </c>
      <c r="DO46" s="507">
        <v>0</v>
      </c>
      <c r="DP46" s="507">
        <v>0</v>
      </c>
      <c r="DQ46" s="507">
        <v>0.66</v>
      </c>
      <c r="DR46" s="507">
        <v>0.66</v>
      </c>
      <c r="DS46" s="507">
        <v>0.51</v>
      </c>
      <c r="DT46" s="507">
        <v>5246.88</v>
      </c>
      <c r="DU46" s="507">
        <v>0.56000000000000005</v>
      </c>
      <c r="DV46" s="507">
        <v>198.2</v>
      </c>
      <c r="DW46" s="507">
        <v>0.01</v>
      </c>
      <c r="DX46" s="507">
        <v>0</v>
      </c>
      <c r="DY46" s="507">
        <v>15922.16</v>
      </c>
      <c r="DZ46" s="507">
        <v>15922.16</v>
      </c>
      <c r="EA46" s="507">
        <v>203.92</v>
      </c>
      <c r="EB46" s="507">
        <v>0.51</v>
      </c>
      <c r="EC46" s="507">
        <v>0</v>
      </c>
      <c r="ED46" s="507">
        <v>603.14</v>
      </c>
      <c r="EE46" s="507">
        <v>4240.97</v>
      </c>
      <c r="EF46" s="507">
        <v>574.91</v>
      </c>
      <c r="EG46" s="507">
        <v>4671.05</v>
      </c>
      <c r="EH46" s="507">
        <v>202.43</v>
      </c>
      <c r="EI46" s="507">
        <v>202.43</v>
      </c>
      <c r="EJ46" s="507">
        <v>0.51</v>
      </c>
      <c r="EK46" s="507">
        <v>0.51</v>
      </c>
      <c r="EL46" s="507">
        <v>0</v>
      </c>
      <c r="EM46" s="507">
        <v>0</v>
      </c>
      <c r="EN46" s="507">
        <v>0</v>
      </c>
      <c r="EO46" s="507">
        <v>0</v>
      </c>
      <c r="EP46" s="507">
        <v>0</v>
      </c>
      <c r="EQ46" s="507">
        <v>0</v>
      </c>
      <c r="ER46" s="507">
        <v>0</v>
      </c>
      <c r="ES46" s="507">
        <v>0</v>
      </c>
      <c r="ET46" s="507">
        <v>0.01</v>
      </c>
      <c r="EU46" s="507">
        <v>0</v>
      </c>
      <c r="EV46" s="507">
        <v>0</v>
      </c>
      <c r="EW46" s="507">
        <v>0</v>
      </c>
      <c r="EX46" s="507">
        <v>0</v>
      </c>
      <c r="EY46" s="507">
        <v>0</v>
      </c>
      <c r="EZ46" s="507">
        <v>0</v>
      </c>
      <c r="FA46" s="507">
        <v>0</v>
      </c>
      <c r="FB46" s="507">
        <v>0</v>
      </c>
      <c r="FC46" s="507">
        <v>0</v>
      </c>
      <c r="FD46" s="507">
        <v>0</v>
      </c>
      <c r="FE46" s="507">
        <v>0</v>
      </c>
      <c r="FF46" s="507">
        <v>0</v>
      </c>
      <c r="FG46" s="507">
        <v>0.01</v>
      </c>
      <c r="FH46" s="507">
        <v>0.01</v>
      </c>
      <c r="FI46" s="507">
        <v>0.01</v>
      </c>
      <c r="FJ46" s="507">
        <v>0</v>
      </c>
      <c r="FK46" s="507">
        <v>0</v>
      </c>
      <c r="FL46" s="507">
        <v>0</v>
      </c>
      <c r="FM46" s="507">
        <v>0</v>
      </c>
      <c r="FN46" s="507">
        <v>0</v>
      </c>
      <c r="FO46" s="507">
        <v>0.01</v>
      </c>
      <c r="FP46" s="507">
        <v>0</v>
      </c>
      <c r="FQ46" s="507">
        <v>0</v>
      </c>
      <c r="FR46" s="507">
        <v>0</v>
      </c>
      <c r="FS46" s="507">
        <v>0</v>
      </c>
      <c r="FT46" s="507">
        <v>0.01</v>
      </c>
      <c r="FU46" s="507">
        <v>4844.1099999999997</v>
      </c>
      <c r="FV46" s="507">
        <v>5245.96</v>
      </c>
      <c r="FW46" s="507">
        <v>0.51</v>
      </c>
      <c r="FX46" s="507" t="s">
        <v>668</v>
      </c>
      <c r="FY46" s="507">
        <v>0.51</v>
      </c>
      <c r="FZ46" s="507">
        <v>198.2</v>
      </c>
      <c r="GA46" s="507">
        <v>46.03</v>
      </c>
      <c r="GB46" s="507">
        <v>152.16999999999999</v>
      </c>
      <c r="GC46" s="507">
        <v>0</v>
      </c>
      <c r="GD46" s="507" t="s">
        <v>668</v>
      </c>
      <c r="GE46" s="507">
        <v>0</v>
      </c>
      <c r="GF46" s="507">
        <v>0</v>
      </c>
      <c r="GG46" s="507" t="s">
        <v>668</v>
      </c>
      <c r="GH46" s="507">
        <v>0</v>
      </c>
      <c r="GI46" s="507">
        <v>0</v>
      </c>
      <c r="GJ46" s="507">
        <v>0.01</v>
      </c>
      <c r="GK46" s="507">
        <v>0.01</v>
      </c>
      <c r="GL46" s="507">
        <v>0.01</v>
      </c>
      <c r="GM46" s="507">
        <v>0.01</v>
      </c>
      <c r="GN46" s="507">
        <v>0.01</v>
      </c>
      <c r="GO46" s="507">
        <v>0</v>
      </c>
      <c r="GP46" s="507">
        <v>0.01</v>
      </c>
      <c r="GQ46" s="507">
        <v>0</v>
      </c>
      <c r="GR46" s="507">
        <v>0.01</v>
      </c>
      <c r="GS46" s="507">
        <v>0.51</v>
      </c>
      <c r="GT46" s="507">
        <v>5042.96</v>
      </c>
      <c r="GU46" s="507">
        <v>0</v>
      </c>
      <c r="GV46" s="507">
        <v>0.51</v>
      </c>
      <c r="GW46" s="507">
        <v>0.51</v>
      </c>
      <c r="GX46" s="507">
        <v>0.51</v>
      </c>
      <c r="GY46" s="507">
        <v>0</v>
      </c>
      <c r="GZ46" s="507">
        <v>0</v>
      </c>
      <c r="HA46" s="507">
        <v>0</v>
      </c>
      <c r="HB46" s="507">
        <v>0</v>
      </c>
      <c r="HC46" s="507">
        <v>0</v>
      </c>
      <c r="HD46" s="507">
        <v>37.29</v>
      </c>
      <c r="HE46" s="507">
        <v>37.29</v>
      </c>
      <c r="HF46" s="507">
        <v>37.29</v>
      </c>
      <c r="HG46" s="507">
        <v>0</v>
      </c>
      <c r="HH46" s="507">
        <v>0</v>
      </c>
      <c r="HI46" s="507">
        <v>0</v>
      </c>
      <c r="HJ46" s="507">
        <v>0</v>
      </c>
      <c r="HK46" s="507">
        <v>0</v>
      </c>
      <c r="HL46" s="507">
        <v>0.51</v>
      </c>
      <c r="HM46" s="507">
        <v>0</v>
      </c>
      <c r="HN46" s="507">
        <v>0</v>
      </c>
      <c r="HO46" s="507">
        <v>202.43</v>
      </c>
      <c r="HP46" s="507">
        <v>93448.38</v>
      </c>
      <c r="HQ46" s="507">
        <v>0.51</v>
      </c>
      <c r="HR46" s="507">
        <v>0</v>
      </c>
      <c r="HS46" s="507">
        <v>0</v>
      </c>
      <c r="HT46" s="507">
        <v>0</v>
      </c>
      <c r="HU46" s="507">
        <v>5042.96</v>
      </c>
      <c r="HV46" s="507">
        <v>0.51</v>
      </c>
      <c r="HW46" s="507">
        <v>5042.3</v>
      </c>
      <c r="HX46" s="507">
        <v>5042.3</v>
      </c>
      <c r="HY46" s="507">
        <v>5245.89</v>
      </c>
      <c r="HZ46" s="507">
        <v>5245.89</v>
      </c>
      <c r="IA46" s="507">
        <v>0</v>
      </c>
      <c r="IB46" s="507">
        <v>0</v>
      </c>
      <c r="IC46" s="507">
        <v>0</v>
      </c>
      <c r="ID46" s="507">
        <v>0</v>
      </c>
      <c r="IE46" s="507">
        <v>0</v>
      </c>
      <c r="IF46" s="507">
        <v>0</v>
      </c>
      <c r="IG46" s="507">
        <v>37.29</v>
      </c>
      <c r="IH46" s="571">
        <v>37.29</v>
      </c>
    </row>
    <row r="47" spans="1:242" s="503" customFormat="1" ht="15.95" customHeight="1" x14ac:dyDescent="0.2">
      <c r="A47" s="527" t="s">
        <v>529</v>
      </c>
      <c r="B47" s="527">
        <v>24</v>
      </c>
      <c r="D47" s="590" t="s">
        <v>530</v>
      </c>
      <c r="E47" s="528" t="s">
        <v>529</v>
      </c>
      <c r="F47" s="508">
        <v>150.17475999999999</v>
      </c>
      <c r="G47" s="505">
        <v>533.822</v>
      </c>
      <c r="H47" s="507">
        <v>0</v>
      </c>
      <c r="I47" s="507">
        <v>0</v>
      </c>
      <c r="J47" s="507" t="s">
        <v>668</v>
      </c>
      <c r="K47" s="507">
        <v>0</v>
      </c>
      <c r="L47" s="507">
        <v>0</v>
      </c>
      <c r="M47" s="507">
        <v>0</v>
      </c>
      <c r="N47" s="507" t="s">
        <v>668</v>
      </c>
      <c r="O47" s="507" t="s">
        <v>668</v>
      </c>
      <c r="P47" s="507" t="s">
        <v>668</v>
      </c>
      <c r="Q47" s="507" t="s">
        <v>668</v>
      </c>
      <c r="R47" s="507" t="s">
        <v>668</v>
      </c>
      <c r="S47" s="507" t="s">
        <v>668</v>
      </c>
      <c r="T47" s="507" t="s">
        <v>668</v>
      </c>
      <c r="U47" s="507" t="s">
        <v>668</v>
      </c>
      <c r="V47" s="507" t="s">
        <v>668</v>
      </c>
      <c r="W47" s="507" t="s">
        <v>668</v>
      </c>
      <c r="X47" s="507" t="s">
        <v>668</v>
      </c>
      <c r="Y47" s="507" t="s">
        <v>668</v>
      </c>
      <c r="Z47" s="507" t="s">
        <v>668</v>
      </c>
      <c r="AA47" s="507" t="s">
        <v>668</v>
      </c>
      <c r="AB47" s="507" t="s">
        <v>668</v>
      </c>
      <c r="AC47" s="507" t="s">
        <v>668</v>
      </c>
      <c r="AD47" s="507" t="s">
        <v>668</v>
      </c>
      <c r="AE47" s="507" t="s">
        <v>668</v>
      </c>
      <c r="AF47" s="507">
        <v>0</v>
      </c>
      <c r="AG47" s="507">
        <v>0</v>
      </c>
      <c r="AH47" s="507">
        <v>0</v>
      </c>
      <c r="AI47" s="507">
        <v>0</v>
      </c>
      <c r="AJ47" s="507">
        <v>0</v>
      </c>
      <c r="AK47" s="507">
        <v>0</v>
      </c>
      <c r="AL47" s="507">
        <v>0</v>
      </c>
      <c r="AM47" s="507">
        <v>0</v>
      </c>
      <c r="AN47" s="507">
        <v>0</v>
      </c>
      <c r="AO47" s="507">
        <v>0</v>
      </c>
      <c r="AP47" s="507">
        <v>0</v>
      </c>
      <c r="AQ47" s="507">
        <v>0</v>
      </c>
      <c r="AR47" s="507">
        <v>0</v>
      </c>
      <c r="AS47" s="507">
        <v>0</v>
      </c>
      <c r="AT47" s="507">
        <v>0</v>
      </c>
      <c r="AU47" s="507">
        <v>0</v>
      </c>
      <c r="AV47" s="507">
        <v>0</v>
      </c>
      <c r="AW47" s="507">
        <v>0</v>
      </c>
      <c r="AX47" s="507">
        <v>0</v>
      </c>
      <c r="AY47" s="507">
        <v>0</v>
      </c>
      <c r="AZ47" s="507">
        <v>0</v>
      </c>
      <c r="BA47" s="507">
        <v>0</v>
      </c>
      <c r="BB47" s="507">
        <v>0</v>
      </c>
      <c r="BC47" s="507">
        <v>0</v>
      </c>
      <c r="BD47" s="507">
        <v>0</v>
      </c>
      <c r="BE47" s="507">
        <v>0</v>
      </c>
      <c r="BF47" s="507">
        <v>0</v>
      </c>
      <c r="BG47" s="507">
        <v>0</v>
      </c>
      <c r="BH47" s="507">
        <v>1.3</v>
      </c>
      <c r="BI47" s="507">
        <v>0</v>
      </c>
      <c r="BJ47" s="507">
        <v>1.3</v>
      </c>
      <c r="BK47" s="507">
        <v>0</v>
      </c>
      <c r="BL47" s="507">
        <v>1.3</v>
      </c>
      <c r="BM47" s="507">
        <v>0</v>
      </c>
      <c r="BN47" s="507">
        <v>0</v>
      </c>
      <c r="BO47" s="507">
        <v>0</v>
      </c>
      <c r="BP47" s="507">
        <v>0</v>
      </c>
      <c r="BQ47" s="507">
        <v>0</v>
      </c>
      <c r="BR47" s="507">
        <v>0</v>
      </c>
      <c r="BS47" s="507">
        <v>0</v>
      </c>
      <c r="BT47" s="507">
        <v>0</v>
      </c>
      <c r="BU47" s="507">
        <v>0</v>
      </c>
      <c r="BV47" s="507">
        <v>0</v>
      </c>
      <c r="BW47" s="507">
        <v>0</v>
      </c>
      <c r="BX47" s="507">
        <v>0</v>
      </c>
      <c r="BY47" s="507">
        <v>0</v>
      </c>
      <c r="BZ47" s="507">
        <v>0</v>
      </c>
      <c r="CA47" s="507">
        <v>0</v>
      </c>
      <c r="CB47" s="507">
        <v>0</v>
      </c>
      <c r="CC47" s="507">
        <v>0</v>
      </c>
      <c r="CD47" s="507">
        <v>0</v>
      </c>
      <c r="CE47" s="507">
        <v>0</v>
      </c>
      <c r="CF47" s="507">
        <v>0</v>
      </c>
      <c r="CG47" s="507">
        <v>0</v>
      </c>
      <c r="CH47" s="507">
        <v>0</v>
      </c>
      <c r="CI47" s="507">
        <v>0</v>
      </c>
      <c r="CJ47" s="507">
        <v>0</v>
      </c>
      <c r="CK47" s="507">
        <v>0</v>
      </c>
      <c r="CL47" s="507">
        <v>0</v>
      </c>
      <c r="CM47" s="507">
        <v>0</v>
      </c>
      <c r="CN47" s="507">
        <v>0</v>
      </c>
      <c r="CO47" s="507">
        <v>0</v>
      </c>
      <c r="CP47" s="507">
        <v>0</v>
      </c>
      <c r="CQ47" s="507">
        <v>0</v>
      </c>
      <c r="CR47" s="507">
        <v>0</v>
      </c>
      <c r="CS47" s="507">
        <v>0</v>
      </c>
      <c r="CT47" s="507">
        <v>4.2300000000000004</v>
      </c>
      <c r="CU47" s="507">
        <v>4.2300000000000004</v>
      </c>
      <c r="CV47" s="507">
        <v>0</v>
      </c>
      <c r="CW47" s="507">
        <v>0</v>
      </c>
      <c r="CX47" s="507">
        <v>0</v>
      </c>
      <c r="CY47" s="507">
        <v>551.79</v>
      </c>
      <c r="CZ47" s="507">
        <v>551.79</v>
      </c>
      <c r="DA47" s="507">
        <v>0</v>
      </c>
      <c r="DB47" s="507">
        <v>0</v>
      </c>
      <c r="DC47" s="507">
        <v>0</v>
      </c>
      <c r="DD47" s="507">
        <v>0</v>
      </c>
      <c r="DE47" s="507">
        <v>0</v>
      </c>
      <c r="DF47" s="507">
        <v>0</v>
      </c>
      <c r="DG47" s="507">
        <v>0</v>
      </c>
      <c r="DH47" s="507">
        <v>0</v>
      </c>
      <c r="DI47" s="507" t="s">
        <v>668</v>
      </c>
      <c r="DJ47" s="507">
        <v>0</v>
      </c>
      <c r="DK47" s="507">
        <v>0</v>
      </c>
      <c r="DL47" s="507">
        <v>0</v>
      </c>
      <c r="DM47" s="507">
        <v>0</v>
      </c>
      <c r="DN47" s="507">
        <v>0</v>
      </c>
      <c r="DO47" s="507">
        <v>0</v>
      </c>
      <c r="DP47" s="507">
        <v>0</v>
      </c>
      <c r="DQ47" s="507">
        <v>0</v>
      </c>
      <c r="DR47" s="507">
        <v>0</v>
      </c>
      <c r="DS47" s="507">
        <v>0</v>
      </c>
      <c r="DT47" s="507">
        <v>0</v>
      </c>
      <c r="DU47" s="507">
        <v>0</v>
      </c>
      <c r="DV47" s="507">
        <v>0</v>
      </c>
      <c r="DW47" s="507">
        <v>0</v>
      </c>
      <c r="DX47" s="507">
        <v>0</v>
      </c>
      <c r="DY47" s="507">
        <v>553.09</v>
      </c>
      <c r="DZ47" s="507">
        <v>553.09</v>
      </c>
      <c r="EA47" s="507">
        <v>0</v>
      </c>
      <c r="EB47" s="507">
        <v>0</v>
      </c>
      <c r="EC47" s="507">
        <v>0</v>
      </c>
      <c r="ED47" s="507">
        <v>0</v>
      </c>
      <c r="EE47" s="507">
        <v>0</v>
      </c>
      <c r="EF47" s="507">
        <v>0</v>
      </c>
      <c r="EG47" s="507">
        <v>0</v>
      </c>
      <c r="EH47" s="507">
        <v>0</v>
      </c>
      <c r="EI47" s="507">
        <v>0</v>
      </c>
      <c r="EJ47" s="507">
        <v>0</v>
      </c>
      <c r="EK47" s="507">
        <v>0</v>
      </c>
      <c r="EL47" s="507">
        <v>0</v>
      </c>
      <c r="EM47" s="507">
        <v>0</v>
      </c>
      <c r="EN47" s="507">
        <v>0</v>
      </c>
      <c r="EO47" s="507">
        <v>0</v>
      </c>
      <c r="EP47" s="507">
        <v>0</v>
      </c>
      <c r="EQ47" s="507">
        <v>0</v>
      </c>
      <c r="ER47" s="507">
        <v>0</v>
      </c>
      <c r="ES47" s="507">
        <v>0</v>
      </c>
      <c r="ET47" s="507">
        <v>0</v>
      </c>
      <c r="EU47" s="507">
        <v>0</v>
      </c>
      <c r="EV47" s="507">
        <v>0</v>
      </c>
      <c r="EW47" s="507">
        <v>0</v>
      </c>
      <c r="EX47" s="507">
        <v>0</v>
      </c>
      <c r="EY47" s="507">
        <v>0</v>
      </c>
      <c r="EZ47" s="507">
        <v>0</v>
      </c>
      <c r="FA47" s="507">
        <v>0</v>
      </c>
      <c r="FB47" s="507">
        <v>0</v>
      </c>
      <c r="FC47" s="507">
        <v>0</v>
      </c>
      <c r="FD47" s="507">
        <v>0</v>
      </c>
      <c r="FE47" s="507">
        <v>0</v>
      </c>
      <c r="FF47" s="507">
        <v>0</v>
      </c>
      <c r="FG47" s="507">
        <v>0</v>
      </c>
      <c r="FH47" s="507">
        <v>0</v>
      </c>
      <c r="FI47" s="507">
        <v>0</v>
      </c>
      <c r="FJ47" s="507">
        <v>0</v>
      </c>
      <c r="FK47" s="507">
        <v>0</v>
      </c>
      <c r="FL47" s="507">
        <v>0</v>
      </c>
      <c r="FM47" s="507">
        <v>0</v>
      </c>
      <c r="FN47" s="507">
        <v>0</v>
      </c>
      <c r="FO47" s="507">
        <v>0</v>
      </c>
      <c r="FP47" s="507">
        <v>0</v>
      </c>
      <c r="FQ47" s="507">
        <v>0</v>
      </c>
      <c r="FR47" s="507">
        <v>0</v>
      </c>
      <c r="FS47" s="507">
        <v>0</v>
      </c>
      <c r="FT47" s="507">
        <v>0</v>
      </c>
      <c r="FU47" s="507">
        <v>0</v>
      </c>
      <c r="FV47" s="507">
        <v>0</v>
      </c>
      <c r="FW47" s="507">
        <v>0</v>
      </c>
      <c r="FX47" s="507" t="s">
        <v>668</v>
      </c>
      <c r="FY47" s="507">
        <v>0</v>
      </c>
      <c r="FZ47" s="507">
        <v>0</v>
      </c>
      <c r="GA47" s="507">
        <v>0</v>
      </c>
      <c r="GB47" s="507">
        <v>0</v>
      </c>
      <c r="GC47" s="507">
        <v>0</v>
      </c>
      <c r="GD47" s="507" t="s">
        <v>668</v>
      </c>
      <c r="GE47" s="507">
        <v>0</v>
      </c>
      <c r="GF47" s="507">
        <v>0</v>
      </c>
      <c r="GG47" s="507" t="s">
        <v>668</v>
      </c>
      <c r="GH47" s="507">
        <v>0</v>
      </c>
      <c r="GI47" s="507">
        <v>0</v>
      </c>
      <c r="GJ47" s="507">
        <v>0</v>
      </c>
      <c r="GK47" s="507">
        <v>0</v>
      </c>
      <c r="GL47" s="507">
        <v>0</v>
      </c>
      <c r="GM47" s="507">
        <v>0</v>
      </c>
      <c r="GN47" s="507">
        <v>0</v>
      </c>
      <c r="GO47" s="507">
        <v>0</v>
      </c>
      <c r="GP47" s="507">
        <v>0</v>
      </c>
      <c r="GQ47" s="507">
        <v>0</v>
      </c>
      <c r="GR47" s="507">
        <v>0</v>
      </c>
      <c r="GS47" s="507">
        <v>0</v>
      </c>
      <c r="GT47" s="507">
        <v>0</v>
      </c>
      <c r="GU47" s="507">
        <v>0</v>
      </c>
      <c r="GV47" s="507">
        <v>0</v>
      </c>
      <c r="GW47" s="507">
        <v>0</v>
      </c>
      <c r="GX47" s="507">
        <v>0</v>
      </c>
      <c r="GY47" s="507">
        <v>0</v>
      </c>
      <c r="GZ47" s="507">
        <v>0</v>
      </c>
      <c r="HA47" s="507">
        <v>0</v>
      </c>
      <c r="HB47" s="507">
        <v>0</v>
      </c>
      <c r="HC47" s="507">
        <v>0</v>
      </c>
      <c r="HD47" s="507">
        <v>1.3</v>
      </c>
      <c r="HE47" s="507">
        <v>1.3</v>
      </c>
      <c r="HF47" s="507">
        <v>1.3</v>
      </c>
      <c r="HG47" s="507">
        <v>0</v>
      </c>
      <c r="HH47" s="507">
        <v>0</v>
      </c>
      <c r="HI47" s="507">
        <v>0</v>
      </c>
      <c r="HJ47" s="507">
        <v>0</v>
      </c>
      <c r="HK47" s="507">
        <v>0</v>
      </c>
      <c r="HL47" s="507">
        <v>0</v>
      </c>
      <c r="HM47" s="507">
        <v>0</v>
      </c>
      <c r="HN47" s="507">
        <v>0</v>
      </c>
      <c r="HO47" s="507">
        <v>0</v>
      </c>
      <c r="HP47" s="507">
        <v>0</v>
      </c>
      <c r="HQ47" s="507">
        <v>0</v>
      </c>
      <c r="HR47" s="507">
        <v>0</v>
      </c>
      <c r="HS47" s="507">
        <v>0</v>
      </c>
      <c r="HT47" s="507">
        <v>0</v>
      </c>
      <c r="HU47" s="507">
        <v>0</v>
      </c>
      <c r="HV47" s="507">
        <v>0</v>
      </c>
      <c r="HW47" s="507">
        <v>0</v>
      </c>
      <c r="HX47" s="507">
        <v>0</v>
      </c>
      <c r="HY47" s="507">
        <v>0</v>
      </c>
      <c r="HZ47" s="507">
        <v>0</v>
      </c>
      <c r="IA47" s="507">
        <v>0</v>
      </c>
      <c r="IB47" s="507">
        <v>0</v>
      </c>
      <c r="IC47" s="507">
        <v>0</v>
      </c>
      <c r="ID47" s="507">
        <v>0</v>
      </c>
      <c r="IE47" s="507">
        <v>0</v>
      </c>
      <c r="IF47" s="507">
        <v>0</v>
      </c>
      <c r="IG47" s="507">
        <v>1.3</v>
      </c>
      <c r="IH47" s="571">
        <v>1.3</v>
      </c>
    </row>
    <row r="48" spans="1:242" s="503" customFormat="1" ht="15.95" customHeight="1" x14ac:dyDescent="0.2">
      <c r="A48" s="527" t="s">
        <v>531</v>
      </c>
      <c r="B48" s="527">
        <v>25</v>
      </c>
      <c r="D48" s="590" t="s">
        <v>532</v>
      </c>
      <c r="E48" s="528" t="s">
        <v>531</v>
      </c>
      <c r="F48" s="508">
        <v>194.22792000000001</v>
      </c>
      <c r="G48" s="505">
        <v>625.04599900000005</v>
      </c>
      <c r="H48" s="507">
        <v>0</v>
      </c>
      <c r="I48" s="507">
        <v>0</v>
      </c>
      <c r="J48" s="507" t="s">
        <v>668</v>
      </c>
      <c r="K48" s="507">
        <v>0</v>
      </c>
      <c r="L48" s="507">
        <v>0</v>
      </c>
      <c r="M48" s="507">
        <v>0</v>
      </c>
      <c r="N48" s="507" t="s">
        <v>668</v>
      </c>
      <c r="O48" s="507" t="s">
        <v>668</v>
      </c>
      <c r="P48" s="507" t="s">
        <v>668</v>
      </c>
      <c r="Q48" s="507" t="s">
        <v>668</v>
      </c>
      <c r="R48" s="507" t="s">
        <v>668</v>
      </c>
      <c r="S48" s="507" t="s">
        <v>668</v>
      </c>
      <c r="T48" s="507" t="s">
        <v>668</v>
      </c>
      <c r="U48" s="507" t="s">
        <v>668</v>
      </c>
      <c r="V48" s="507" t="s">
        <v>668</v>
      </c>
      <c r="W48" s="507" t="s">
        <v>668</v>
      </c>
      <c r="X48" s="507" t="s">
        <v>668</v>
      </c>
      <c r="Y48" s="507" t="s">
        <v>668</v>
      </c>
      <c r="Z48" s="507" t="s">
        <v>668</v>
      </c>
      <c r="AA48" s="507" t="s">
        <v>668</v>
      </c>
      <c r="AB48" s="507" t="s">
        <v>668</v>
      </c>
      <c r="AC48" s="507" t="s">
        <v>668</v>
      </c>
      <c r="AD48" s="507" t="s">
        <v>668</v>
      </c>
      <c r="AE48" s="507" t="s">
        <v>668</v>
      </c>
      <c r="AF48" s="507">
        <v>0</v>
      </c>
      <c r="AG48" s="507">
        <v>0</v>
      </c>
      <c r="AH48" s="507">
        <v>0</v>
      </c>
      <c r="AI48" s="507">
        <v>0</v>
      </c>
      <c r="AJ48" s="507">
        <v>0</v>
      </c>
      <c r="AK48" s="507">
        <v>0</v>
      </c>
      <c r="AL48" s="507">
        <v>0</v>
      </c>
      <c r="AM48" s="507">
        <v>0</v>
      </c>
      <c r="AN48" s="507">
        <v>0</v>
      </c>
      <c r="AO48" s="507">
        <v>0</v>
      </c>
      <c r="AP48" s="507">
        <v>0</v>
      </c>
      <c r="AQ48" s="507">
        <v>0</v>
      </c>
      <c r="AR48" s="507">
        <v>0</v>
      </c>
      <c r="AS48" s="507">
        <v>0</v>
      </c>
      <c r="AT48" s="507">
        <v>0</v>
      </c>
      <c r="AU48" s="507">
        <v>0</v>
      </c>
      <c r="AV48" s="507">
        <v>0</v>
      </c>
      <c r="AW48" s="507">
        <v>0</v>
      </c>
      <c r="AX48" s="507">
        <v>0</v>
      </c>
      <c r="AY48" s="507">
        <v>0</v>
      </c>
      <c r="AZ48" s="507">
        <v>0</v>
      </c>
      <c r="BA48" s="507">
        <v>0</v>
      </c>
      <c r="BB48" s="507">
        <v>0</v>
      </c>
      <c r="BC48" s="507">
        <v>0</v>
      </c>
      <c r="BD48" s="507">
        <v>0</v>
      </c>
      <c r="BE48" s="507">
        <v>0</v>
      </c>
      <c r="BF48" s="507">
        <v>0</v>
      </c>
      <c r="BG48" s="507">
        <v>0</v>
      </c>
      <c r="BH48" s="507">
        <v>0.02</v>
      </c>
      <c r="BI48" s="507">
        <v>0</v>
      </c>
      <c r="BJ48" s="507">
        <v>0.02</v>
      </c>
      <c r="BK48" s="507">
        <v>0</v>
      </c>
      <c r="BL48" s="507">
        <v>0.02</v>
      </c>
      <c r="BM48" s="507">
        <v>0</v>
      </c>
      <c r="BN48" s="507">
        <v>0</v>
      </c>
      <c r="BO48" s="507">
        <v>0</v>
      </c>
      <c r="BP48" s="507">
        <v>0</v>
      </c>
      <c r="BQ48" s="507">
        <v>0</v>
      </c>
      <c r="BR48" s="507">
        <v>0</v>
      </c>
      <c r="BS48" s="507">
        <v>0</v>
      </c>
      <c r="BT48" s="507">
        <v>0</v>
      </c>
      <c r="BU48" s="507">
        <v>0</v>
      </c>
      <c r="BV48" s="507">
        <v>0</v>
      </c>
      <c r="BW48" s="507">
        <v>0</v>
      </c>
      <c r="BX48" s="507">
        <v>0</v>
      </c>
      <c r="BY48" s="507">
        <v>0</v>
      </c>
      <c r="BZ48" s="507">
        <v>0</v>
      </c>
      <c r="CA48" s="507">
        <v>0</v>
      </c>
      <c r="CB48" s="507">
        <v>0</v>
      </c>
      <c r="CC48" s="507">
        <v>0</v>
      </c>
      <c r="CD48" s="507">
        <v>0</v>
      </c>
      <c r="CE48" s="507">
        <v>0</v>
      </c>
      <c r="CF48" s="507">
        <v>0</v>
      </c>
      <c r="CG48" s="507">
        <v>0</v>
      </c>
      <c r="CH48" s="507">
        <v>0</v>
      </c>
      <c r="CI48" s="507">
        <v>0</v>
      </c>
      <c r="CJ48" s="507">
        <v>0</v>
      </c>
      <c r="CK48" s="507">
        <v>0</v>
      </c>
      <c r="CL48" s="507">
        <v>0</v>
      </c>
      <c r="CM48" s="507">
        <v>0</v>
      </c>
      <c r="CN48" s="507">
        <v>0</v>
      </c>
      <c r="CO48" s="507">
        <v>0</v>
      </c>
      <c r="CP48" s="507">
        <v>0</v>
      </c>
      <c r="CQ48" s="507">
        <v>0</v>
      </c>
      <c r="CR48" s="507">
        <v>0</v>
      </c>
      <c r="CS48" s="507">
        <v>0</v>
      </c>
      <c r="CT48" s="507">
        <v>0.08</v>
      </c>
      <c r="CU48" s="507">
        <v>0.08</v>
      </c>
      <c r="CV48" s="507">
        <v>0</v>
      </c>
      <c r="CW48" s="507">
        <v>0</v>
      </c>
      <c r="CX48" s="507">
        <v>0</v>
      </c>
      <c r="CY48" s="507">
        <v>10.19</v>
      </c>
      <c r="CZ48" s="507">
        <v>10.19</v>
      </c>
      <c r="DA48" s="507">
        <v>0</v>
      </c>
      <c r="DB48" s="507">
        <v>0</v>
      </c>
      <c r="DC48" s="507">
        <v>0</v>
      </c>
      <c r="DD48" s="507">
        <v>0</v>
      </c>
      <c r="DE48" s="507">
        <v>0</v>
      </c>
      <c r="DF48" s="507">
        <v>0</v>
      </c>
      <c r="DG48" s="507">
        <v>0</v>
      </c>
      <c r="DH48" s="507">
        <v>0</v>
      </c>
      <c r="DI48" s="507" t="s">
        <v>668</v>
      </c>
      <c r="DJ48" s="507">
        <v>0</v>
      </c>
      <c r="DK48" s="507">
        <v>0</v>
      </c>
      <c r="DL48" s="507">
        <v>0</v>
      </c>
      <c r="DM48" s="507">
        <v>0</v>
      </c>
      <c r="DN48" s="507">
        <v>0</v>
      </c>
      <c r="DO48" s="507">
        <v>0</v>
      </c>
      <c r="DP48" s="507">
        <v>0</v>
      </c>
      <c r="DQ48" s="507">
        <v>0</v>
      </c>
      <c r="DR48" s="507">
        <v>0</v>
      </c>
      <c r="DS48" s="507">
        <v>0</v>
      </c>
      <c r="DT48" s="507">
        <v>0</v>
      </c>
      <c r="DU48" s="507">
        <v>0</v>
      </c>
      <c r="DV48" s="507">
        <v>0</v>
      </c>
      <c r="DW48" s="507">
        <v>0</v>
      </c>
      <c r="DX48" s="507">
        <v>0</v>
      </c>
      <c r="DY48" s="507">
        <v>10.210000000000001</v>
      </c>
      <c r="DZ48" s="507">
        <v>10.210000000000001</v>
      </c>
      <c r="EA48" s="507">
        <v>0</v>
      </c>
      <c r="EB48" s="507">
        <v>0</v>
      </c>
      <c r="EC48" s="507">
        <v>0</v>
      </c>
      <c r="ED48" s="507">
        <v>0</v>
      </c>
      <c r="EE48" s="507">
        <v>0</v>
      </c>
      <c r="EF48" s="507">
        <v>0</v>
      </c>
      <c r="EG48" s="507">
        <v>0</v>
      </c>
      <c r="EH48" s="507">
        <v>0</v>
      </c>
      <c r="EI48" s="507">
        <v>0</v>
      </c>
      <c r="EJ48" s="507">
        <v>0</v>
      </c>
      <c r="EK48" s="507">
        <v>0</v>
      </c>
      <c r="EL48" s="507">
        <v>0</v>
      </c>
      <c r="EM48" s="507">
        <v>0</v>
      </c>
      <c r="EN48" s="507">
        <v>0</v>
      </c>
      <c r="EO48" s="507">
        <v>0</v>
      </c>
      <c r="EP48" s="507">
        <v>0</v>
      </c>
      <c r="EQ48" s="507">
        <v>0</v>
      </c>
      <c r="ER48" s="507">
        <v>0</v>
      </c>
      <c r="ES48" s="507">
        <v>0</v>
      </c>
      <c r="ET48" s="507">
        <v>0</v>
      </c>
      <c r="EU48" s="507">
        <v>0</v>
      </c>
      <c r="EV48" s="507">
        <v>0</v>
      </c>
      <c r="EW48" s="507">
        <v>0</v>
      </c>
      <c r="EX48" s="507">
        <v>0</v>
      </c>
      <c r="EY48" s="507">
        <v>0</v>
      </c>
      <c r="EZ48" s="507">
        <v>0</v>
      </c>
      <c r="FA48" s="507">
        <v>0</v>
      </c>
      <c r="FB48" s="507">
        <v>0</v>
      </c>
      <c r="FC48" s="507">
        <v>0</v>
      </c>
      <c r="FD48" s="507">
        <v>0</v>
      </c>
      <c r="FE48" s="507">
        <v>0</v>
      </c>
      <c r="FF48" s="507">
        <v>0</v>
      </c>
      <c r="FG48" s="507">
        <v>0</v>
      </c>
      <c r="FH48" s="507">
        <v>0</v>
      </c>
      <c r="FI48" s="507">
        <v>0</v>
      </c>
      <c r="FJ48" s="507">
        <v>0</v>
      </c>
      <c r="FK48" s="507">
        <v>0</v>
      </c>
      <c r="FL48" s="507">
        <v>0</v>
      </c>
      <c r="FM48" s="507">
        <v>0</v>
      </c>
      <c r="FN48" s="507">
        <v>0</v>
      </c>
      <c r="FO48" s="507">
        <v>0</v>
      </c>
      <c r="FP48" s="507">
        <v>0</v>
      </c>
      <c r="FQ48" s="507">
        <v>0</v>
      </c>
      <c r="FR48" s="507">
        <v>0</v>
      </c>
      <c r="FS48" s="507">
        <v>0</v>
      </c>
      <c r="FT48" s="507">
        <v>0</v>
      </c>
      <c r="FU48" s="507">
        <v>0</v>
      </c>
      <c r="FV48" s="507">
        <v>0</v>
      </c>
      <c r="FW48" s="507">
        <v>0</v>
      </c>
      <c r="FX48" s="507" t="s">
        <v>668</v>
      </c>
      <c r="FY48" s="507">
        <v>0</v>
      </c>
      <c r="FZ48" s="507">
        <v>0</v>
      </c>
      <c r="GA48" s="507">
        <v>0</v>
      </c>
      <c r="GB48" s="507">
        <v>0</v>
      </c>
      <c r="GC48" s="507">
        <v>0</v>
      </c>
      <c r="GD48" s="507" t="s">
        <v>668</v>
      </c>
      <c r="GE48" s="507">
        <v>0</v>
      </c>
      <c r="GF48" s="507">
        <v>0</v>
      </c>
      <c r="GG48" s="507" t="s">
        <v>668</v>
      </c>
      <c r="GH48" s="507">
        <v>0</v>
      </c>
      <c r="GI48" s="507">
        <v>0</v>
      </c>
      <c r="GJ48" s="507">
        <v>0</v>
      </c>
      <c r="GK48" s="507">
        <v>0</v>
      </c>
      <c r="GL48" s="507">
        <v>0</v>
      </c>
      <c r="GM48" s="507">
        <v>0</v>
      </c>
      <c r="GN48" s="507">
        <v>0</v>
      </c>
      <c r="GO48" s="507">
        <v>0</v>
      </c>
      <c r="GP48" s="507">
        <v>0</v>
      </c>
      <c r="GQ48" s="507">
        <v>0</v>
      </c>
      <c r="GR48" s="507">
        <v>0</v>
      </c>
      <c r="GS48" s="507">
        <v>0</v>
      </c>
      <c r="GT48" s="507">
        <v>0</v>
      </c>
      <c r="GU48" s="507">
        <v>0</v>
      </c>
      <c r="GV48" s="507">
        <v>0</v>
      </c>
      <c r="GW48" s="507">
        <v>0</v>
      </c>
      <c r="GX48" s="507">
        <v>0</v>
      </c>
      <c r="GY48" s="507">
        <v>0</v>
      </c>
      <c r="GZ48" s="507">
        <v>0</v>
      </c>
      <c r="HA48" s="507">
        <v>0</v>
      </c>
      <c r="HB48" s="507">
        <v>0</v>
      </c>
      <c r="HC48" s="507">
        <v>0</v>
      </c>
      <c r="HD48" s="507">
        <v>0.02</v>
      </c>
      <c r="HE48" s="507">
        <v>0.02</v>
      </c>
      <c r="HF48" s="507">
        <v>0.02</v>
      </c>
      <c r="HG48" s="507">
        <v>0</v>
      </c>
      <c r="HH48" s="507">
        <v>0</v>
      </c>
      <c r="HI48" s="507">
        <v>0</v>
      </c>
      <c r="HJ48" s="507">
        <v>0</v>
      </c>
      <c r="HK48" s="507">
        <v>0</v>
      </c>
      <c r="HL48" s="507">
        <v>0</v>
      </c>
      <c r="HM48" s="507">
        <v>0</v>
      </c>
      <c r="HN48" s="507">
        <v>0</v>
      </c>
      <c r="HO48" s="507">
        <v>0</v>
      </c>
      <c r="HP48" s="507">
        <v>0</v>
      </c>
      <c r="HQ48" s="507">
        <v>0</v>
      </c>
      <c r="HR48" s="507">
        <v>0</v>
      </c>
      <c r="HS48" s="507">
        <v>0</v>
      </c>
      <c r="HT48" s="507">
        <v>0</v>
      </c>
      <c r="HU48" s="507">
        <v>0</v>
      </c>
      <c r="HV48" s="507">
        <v>0</v>
      </c>
      <c r="HW48" s="507">
        <v>0</v>
      </c>
      <c r="HX48" s="507">
        <v>0</v>
      </c>
      <c r="HY48" s="507">
        <v>0</v>
      </c>
      <c r="HZ48" s="507">
        <v>0</v>
      </c>
      <c r="IA48" s="507">
        <v>0</v>
      </c>
      <c r="IB48" s="507">
        <v>0</v>
      </c>
      <c r="IC48" s="507">
        <v>0</v>
      </c>
      <c r="ID48" s="507">
        <v>0</v>
      </c>
      <c r="IE48" s="507">
        <v>0</v>
      </c>
      <c r="IF48" s="507">
        <v>0</v>
      </c>
      <c r="IG48" s="507">
        <v>0.02</v>
      </c>
      <c r="IH48" s="571">
        <v>0.02</v>
      </c>
    </row>
    <row r="49" spans="1:242" s="503" customFormat="1" ht="15.95" customHeight="1" x14ac:dyDescent="0.2">
      <c r="A49" s="527" t="s">
        <v>533</v>
      </c>
      <c r="B49" s="527">
        <v>26</v>
      </c>
      <c r="D49" s="590" t="s">
        <v>534</v>
      </c>
      <c r="E49" s="528" t="s">
        <v>533</v>
      </c>
      <c r="F49" s="508">
        <v>30.02628</v>
      </c>
      <c r="G49" s="505">
        <v>-2.3799959799999999</v>
      </c>
      <c r="H49" s="507">
        <v>0</v>
      </c>
      <c r="I49" s="507">
        <v>0</v>
      </c>
      <c r="J49" s="507">
        <v>0</v>
      </c>
      <c r="K49" s="507">
        <v>0.31</v>
      </c>
      <c r="L49" s="507">
        <v>0.31</v>
      </c>
      <c r="M49" s="507">
        <v>9.16</v>
      </c>
      <c r="N49" s="507">
        <v>0</v>
      </c>
      <c r="O49" s="507">
        <v>0</v>
      </c>
      <c r="P49" s="507">
        <v>0</v>
      </c>
      <c r="Q49" s="507">
        <v>0</v>
      </c>
      <c r="R49" s="507">
        <v>0</v>
      </c>
      <c r="S49" s="507">
        <v>0</v>
      </c>
      <c r="T49" s="507">
        <v>0</v>
      </c>
      <c r="U49" s="507">
        <v>0</v>
      </c>
      <c r="V49" s="507">
        <v>0</v>
      </c>
      <c r="W49" s="507">
        <v>0</v>
      </c>
      <c r="X49" s="507">
        <v>0</v>
      </c>
      <c r="Y49" s="507">
        <v>0</v>
      </c>
      <c r="Z49" s="507">
        <v>0</v>
      </c>
      <c r="AA49" s="507">
        <v>0</v>
      </c>
      <c r="AB49" s="507">
        <v>0</v>
      </c>
      <c r="AC49" s="507">
        <v>0</v>
      </c>
      <c r="AD49" s="507">
        <v>0</v>
      </c>
      <c r="AE49" s="507">
        <v>0</v>
      </c>
      <c r="AF49" s="507">
        <v>0</v>
      </c>
      <c r="AG49" s="507">
        <v>0.31</v>
      </c>
      <c r="AH49" s="507">
        <v>0.31</v>
      </c>
      <c r="AI49" s="507">
        <v>9.16</v>
      </c>
      <c r="AJ49" s="507">
        <v>57.06</v>
      </c>
      <c r="AK49" s="507">
        <v>0.31</v>
      </c>
      <c r="AL49" s="507">
        <v>316.05</v>
      </c>
      <c r="AM49" s="507">
        <v>62.73</v>
      </c>
      <c r="AN49" s="507">
        <v>3.18</v>
      </c>
      <c r="AO49" s="507">
        <v>65.09</v>
      </c>
      <c r="AP49" s="507">
        <v>0</v>
      </c>
      <c r="AQ49" s="507">
        <v>5.69</v>
      </c>
      <c r="AR49" s="507">
        <v>61.79</v>
      </c>
      <c r="AS49" s="507">
        <v>2.4</v>
      </c>
      <c r="AT49" s="507">
        <v>0</v>
      </c>
      <c r="AU49" s="507">
        <v>0.02</v>
      </c>
      <c r="AV49" s="507">
        <v>5.67</v>
      </c>
      <c r="AW49" s="507">
        <v>2.33</v>
      </c>
      <c r="AX49" s="507">
        <v>0</v>
      </c>
      <c r="AY49" s="507">
        <v>6.23</v>
      </c>
      <c r="AZ49" s="507">
        <v>0</v>
      </c>
      <c r="BA49" s="507">
        <v>2.36</v>
      </c>
      <c r="BB49" s="507">
        <v>0</v>
      </c>
      <c r="BC49" s="507">
        <v>0</v>
      </c>
      <c r="BD49" s="507">
        <v>0</v>
      </c>
      <c r="BE49" s="507">
        <v>0.56999999999999995</v>
      </c>
      <c r="BF49" s="507">
        <v>0</v>
      </c>
      <c r="BG49" s="507">
        <v>3.17</v>
      </c>
      <c r="BH49" s="507">
        <v>3.17</v>
      </c>
      <c r="BI49" s="507">
        <v>2.59</v>
      </c>
      <c r="BJ49" s="507">
        <v>0.64</v>
      </c>
      <c r="BK49" s="507">
        <v>0.56999999999999995</v>
      </c>
      <c r="BL49" s="507">
        <v>0.01</v>
      </c>
      <c r="BM49" s="507">
        <v>0.31</v>
      </c>
      <c r="BN49" s="507">
        <v>0.31</v>
      </c>
      <c r="BO49" s="507">
        <v>9.16</v>
      </c>
      <c r="BP49" s="507">
        <v>9.16</v>
      </c>
      <c r="BQ49" s="507">
        <v>9.16</v>
      </c>
      <c r="BR49" s="507">
        <v>65.09</v>
      </c>
      <c r="BS49" s="507">
        <v>65.09</v>
      </c>
      <c r="BT49" s="507">
        <v>9.16</v>
      </c>
      <c r="BU49" s="507">
        <v>59.39</v>
      </c>
      <c r="BV49" s="507">
        <v>59.39</v>
      </c>
      <c r="BW49" s="507">
        <v>65.09</v>
      </c>
      <c r="BX49" s="507">
        <v>57.06</v>
      </c>
      <c r="BY49" s="507">
        <v>312.87</v>
      </c>
      <c r="BZ49" s="507">
        <v>312.87</v>
      </c>
      <c r="CA49" s="507">
        <v>59.39</v>
      </c>
      <c r="CB49" s="507">
        <v>59.39</v>
      </c>
      <c r="CC49" s="507">
        <v>5.7</v>
      </c>
      <c r="CD49" s="507">
        <v>5.7</v>
      </c>
      <c r="CE49" s="507">
        <v>0.09</v>
      </c>
      <c r="CF49" s="507">
        <v>0.06</v>
      </c>
      <c r="CG49" s="507">
        <v>2.04</v>
      </c>
      <c r="CH49" s="507">
        <v>2.04</v>
      </c>
      <c r="CI49" s="507">
        <v>2.33</v>
      </c>
      <c r="CJ49" s="507">
        <v>2.33</v>
      </c>
      <c r="CK49" s="507">
        <v>0</v>
      </c>
      <c r="CL49" s="507">
        <v>0</v>
      </c>
      <c r="CM49" s="507">
        <v>0</v>
      </c>
      <c r="CN49" s="507">
        <v>0</v>
      </c>
      <c r="CO49" s="507">
        <v>3.18</v>
      </c>
      <c r="CP49" s="507">
        <v>2.59</v>
      </c>
      <c r="CQ49" s="507">
        <v>3.17</v>
      </c>
      <c r="CR49" s="507">
        <v>3.17</v>
      </c>
      <c r="CS49" s="507">
        <v>2.59</v>
      </c>
      <c r="CT49" s="507">
        <v>2.08</v>
      </c>
      <c r="CU49" s="507">
        <v>2.08</v>
      </c>
      <c r="CV49" s="507">
        <v>0.69</v>
      </c>
      <c r="CW49" s="507">
        <v>0.69</v>
      </c>
      <c r="CX49" s="507">
        <v>2.59</v>
      </c>
      <c r="CY49" s="507">
        <v>5.89</v>
      </c>
      <c r="CZ49" s="507">
        <v>5.89</v>
      </c>
      <c r="DA49" s="507">
        <v>5.67</v>
      </c>
      <c r="DB49" s="507">
        <v>5.67</v>
      </c>
      <c r="DC49" s="507">
        <v>0.04</v>
      </c>
      <c r="DD49" s="507">
        <v>0.04</v>
      </c>
      <c r="DE49" s="507">
        <v>59.39</v>
      </c>
      <c r="DF49" s="507">
        <v>59.39</v>
      </c>
      <c r="DG49" s="507">
        <v>0</v>
      </c>
      <c r="DH49" s="507">
        <v>0</v>
      </c>
      <c r="DI49" s="507" t="s">
        <v>668</v>
      </c>
      <c r="DJ49" s="507">
        <v>0</v>
      </c>
      <c r="DK49" s="507">
        <v>0.28999999999999998</v>
      </c>
      <c r="DL49" s="507">
        <v>0.31</v>
      </c>
      <c r="DM49" s="507">
        <v>0</v>
      </c>
      <c r="DN49" s="507">
        <v>0</v>
      </c>
      <c r="DO49" s="507">
        <v>0</v>
      </c>
      <c r="DP49" s="507">
        <v>0</v>
      </c>
      <c r="DQ49" s="507">
        <v>312.87</v>
      </c>
      <c r="DR49" s="507">
        <v>312.87</v>
      </c>
      <c r="DS49" s="507">
        <v>5.67</v>
      </c>
      <c r="DT49" s="507">
        <v>61.79</v>
      </c>
      <c r="DU49" s="507">
        <v>6.23</v>
      </c>
      <c r="DV49" s="507">
        <v>2.36</v>
      </c>
      <c r="DW49" s="507">
        <v>3.17</v>
      </c>
      <c r="DX49" s="507">
        <v>0.69</v>
      </c>
      <c r="DY49" s="507">
        <v>5.91</v>
      </c>
      <c r="DZ49" s="507">
        <v>5.91</v>
      </c>
      <c r="EA49" s="507">
        <v>2.4</v>
      </c>
      <c r="EB49" s="507">
        <v>5.67</v>
      </c>
      <c r="EC49" s="507">
        <v>0</v>
      </c>
      <c r="ED49" s="507">
        <v>0.11</v>
      </c>
      <c r="EE49" s="507">
        <v>56.95</v>
      </c>
      <c r="EF49" s="507">
        <v>0.04</v>
      </c>
      <c r="EG49" s="507">
        <v>65.099999999999994</v>
      </c>
      <c r="EH49" s="507">
        <v>0</v>
      </c>
      <c r="EI49" s="507">
        <v>0</v>
      </c>
      <c r="EJ49" s="507">
        <v>5.16</v>
      </c>
      <c r="EK49" s="507">
        <v>5.16</v>
      </c>
      <c r="EL49" s="507">
        <v>0</v>
      </c>
      <c r="EM49" s="507">
        <v>0</v>
      </c>
      <c r="EN49" s="507">
        <v>0</v>
      </c>
      <c r="EO49" s="507">
        <v>0</v>
      </c>
      <c r="EP49" s="507">
        <v>0</v>
      </c>
      <c r="EQ49" s="507">
        <v>0</v>
      </c>
      <c r="ER49" s="507">
        <v>0</v>
      </c>
      <c r="ES49" s="507">
        <v>0</v>
      </c>
      <c r="ET49" s="507">
        <v>3.18</v>
      </c>
      <c r="EU49" s="507">
        <v>0</v>
      </c>
      <c r="EV49" s="507">
        <v>0</v>
      </c>
      <c r="EW49" s="507">
        <v>0</v>
      </c>
      <c r="EX49" s="507">
        <v>0</v>
      </c>
      <c r="EY49" s="507">
        <v>0</v>
      </c>
      <c r="EZ49" s="507">
        <v>0</v>
      </c>
      <c r="FA49" s="507">
        <v>0</v>
      </c>
      <c r="FB49" s="507">
        <v>0</v>
      </c>
      <c r="FC49" s="507">
        <v>0</v>
      </c>
      <c r="FD49" s="507">
        <v>0</v>
      </c>
      <c r="FE49" s="507">
        <v>0</v>
      </c>
      <c r="FF49" s="507">
        <v>0</v>
      </c>
      <c r="FG49" s="507">
        <v>0.31</v>
      </c>
      <c r="FH49" s="507">
        <v>0.31</v>
      </c>
      <c r="FI49" s="507">
        <v>0.31</v>
      </c>
      <c r="FJ49" s="507">
        <v>0.16</v>
      </c>
      <c r="FK49" s="507">
        <v>0.16</v>
      </c>
      <c r="FL49" s="507">
        <v>0.16</v>
      </c>
      <c r="FM49" s="507">
        <v>0.16</v>
      </c>
      <c r="FN49" s="507">
        <v>0.16</v>
      </c>
      <c r="FO49" s="507">
        <v>0.31</v>
      </c>
      <c r="FP49" s="507">
        <v>0.08</v>
      </c>
      <c r="FQ49" s="507">
        <v>0.08</v>
      </c>
      <c r="FR49" s="507">
        <v>0.23</v>
      </c>
      <c r="FS49" s="507">
        <v>0.23</v>
      </c>
      <c r="FT49" s="507">
        <v>0.31</v>
      </c>
      <c r="FU49" s="507">
        <v>57.06</v>
      </c>
      <c r="FV49" s="507">
        <v>65.13</v>
      </c>
      <c r="FW49" s="507">
        <v>5.67</v>
      </c>
      <c r="FX49" s="507" t="s">
        <v>668</v>
      </c>
      <c r="FY49" s="507">
        <v>5.67</v>
      </c>
      <c r="FZ49" s="507">
        <v>2.33</v>
      </c>
      <c r="GA49" s="507">
        <v>0</v>
      </c>
      <c r="GB49" s="507">
        <v>2.33</v>
      </c>
      <c r="GC49" s="507">
        <v>0.09</v>
      </c>
      <c r="GD49" s="507" t="s">
        <v>668</v>
      </c>
      <c r="GE49" s="507">
        <v>0.09</v>
      </c>
      <c r="GF49" s="507">
        <v>0.02</v>
      </c>
      <c r="GG49" s="507" t="s">
        <v>668</v>
      </c>
      <c r="GH49" s="507">
        <v>0.02</v>
      </c>
      <c r="GI49" s="507">
        <v>0.21</v>
      </c>
      <c r="GJ49" s="507">
        <v>0.31</v>
      </c>
      <c r="GK49" s="507">
        <v>0.31</v>
      </c>
      <c r="GL49" s="507">
        <v>9.16</v>
      </c>
      <c r="GM49" s="507">
        <v>9.16</v>
      </c>
      <c r="GN49" s="507">
        <v>9.16</v>
      </c>
      <c r="GO49" s="507">
        <v>0.1</v>
      </c>
      <c r="GP49" s="507">
        <v>9.16</v>
      </c>
      <c r="GQ49" s="507">
        <v>5.98</v>
      </c>
      <c r="GR49" s="507">
        <v>0.31</v>
      </c>
      <c r="GS49" s="507">
        <v>5.67</v>
      </c>
      <c r="GT49" s="507">
        <v>59.39</v>
      </c>
      <c r="GU49" s="507">
        <v>0.02</v>
      </c>
      <c r="GV49" s="507">
        <v>5.67</v>
      </c>
      <c r="GW49" s="507">
        <v>5.67</v>
      </c>
      <c r="GX49" s="507">
        <v>5.67</v>
      </c>
      <c r="GY49" s="507">
        <v>0</v>
      </c>
      <c r="GZ49" s="507">
        <v>0</v>
      </c>
      <c r="HA49" s="507">
        <v>0</v>
      </c>
      <c r="HB49" s="507">
        <v>0</v>
      </c>
      <c r="HC49" s="507">
        <v>0</v>
      </c>
      <c r="HD49" s="507">
        <v>0.01</v>
      </c>
      <c r="HE49" s="507">
        <v>0.64</v>
      </c>
      <c r="HF49" s="507">
        <v>0.01</v>
      </c>
      <c r="HG49" s="507">
        <v>0.21</v>
      </c>
      <c r="HH49" s="507">
        <v>0</v>
      </c>
      <c r="HI49" s="507">
        <v>0.21</v>
      </c>
      <c r="HJ49" s="507">
        <v>0.05</v>
      </c>
      <c r="HK49" s="507">
        <v>7.0000000000000007E-2</v>
      </c>
      <c r="HL49" s="507">
        <v>5.7</v>
      </c>
      <c r="HM49" s="507">
        <v>0.08</v>
      </c>
      <c r="HN49" s="507">
        <v>0.06</v>
      </c>
      <c r="HO49" s="507">
        <v>0</v>
      </c>
      <c r="HP49" s="507">
        <v>2.04</v>
      </c>
      <c r="HQ49" s="507">
        <v>5.16</v>
      </c>
      <c r="HR49" s="507">
        <v>0.17</v>
      </c>
      <c r="HS49" s="507">
        <v>0</v>
      </c>
      <c r="HT49" s="507">
        <v>0</v>
      </c>
      <c r="HU49" s="507">
        <v>59.39</v>
      </c>
      <c r="HV49" s="507">
        <v>5.67</v>
      </c>
      <c r="HW49" s="507">
        <v>65.09</v>
      </c>
      <c r="HX49" s="507">
        <v>65.09</v>
      </c>
      <c r="HY49" s="507">
        <v>65.09</v>
      </c>
      <c r="HZ49" s="507">
        <v>65.09</v>
      </c>
      <c r="IA49" s="507">
        <v>0</v>
      </c>
      <c r="IB49" s="507">
        <v>0</v>
      </c>
      <c r="IC49" s="507">
        <v>0</v>
      </c>
      <c r="ID49" s="507">
        <v>0</v>
      </c>
      <c r="IE49" s="507">
        <v>0</v>
      </c>
      <c r="IF49" s="507">
        <v>0</v>
      </c>
      <c r="IG49" s="507">
        <v>3.17</v>
      </c>
      <c r="IH49" s="571">
        <v>0.64</v>
      </c>
    </row>
    <row r="50" spans="1:242" s="503" customFormat="1" ht="15.95" customHeight="1" x14ac:dyDescent="0.2">
      <c r="A50" s="527" t="s">
        <v>535</v>
      </c>
      <c r="B50" s="527">
        <v>27</v>
      </c>
      <c r="D50" s="590" t="s">
        <v>536</v>
      </c>
      <c r="E50" s="528" t="s">
        <v>535</v>
      </c>
      <c r="F50" s="508">
        <v>2.0158800000000001</v>
      </c>
      <c r="G50" s="505">
        <v>-422.96799299999998</v>
      </c>
      <c r="H50" s="507">
        <v>0</v>
      </c>
      <c r="I50" s="507">
        <v>0</v>
      </c>
      <c r="J50" s="507">
        <v>5</v>
      </c>
      <c r="K50" s="507">
        <v>4.93</v>
      </c>
      <c r="L50" s="507">
        <v>4.93</v>
      </c>
      <c r="M50" s="507">
        <v>0</v>
      </c>
      <c r="N50" s="507">
        <v>4</v>
      </c>
      <c r="O50" s="507">
        <v>0</v>
      </c>
      <c r="P50" s="507">
        <v>3</v>
      </c>
      <c r="Q50" s="507">
        <v>3</v>
      </c>
      <c r="R50" s="507">
        <v>1</v>
      </c>
      <c r="S50" s="507">
        <v>1</v>
      </c>
      <c r="T50" s="507">
        <v>0</v>
      </c>
      <c r="U50" s="507">
        <v>0</v>
      </c>
      <c r="V50" s="507">
        <v>0</v>
      </c>
      <c r="W50" s="507">
        <v>0</v>
      </c>
      <c r="X50" s="507">
        <v>0</v>
      </c>
      <c r="Y50" s="507">
        <v>0</v>
      </c>
      <c r="Z50" s="507">
        <v>0</v>
      </c>
      <c r="AA50" s="507">
        <v>0</v>
      </c>
      <c r="AB50" s="507">
        <v>0</v>
      </c>
      <c r="AC50" s="507">
        <v>0</v>
      </c>
      <c r="AD50" s="507">
        <v>6</v>
      </c>
      <c r="AE50" s="507">
        <v>0</v>
      </c>
      <c r="AF50" s="507">
        <v>0.01</v>
      </c>
      <c r="AG50" s="507">
        <v>6.06</v>
      </c>
      <c r="AH50" s="507">
        <v>4.93</v>
      </c>
      <c r="AI50" s="507">
        <v>6.08</v>
      </c>
      <c r="AJ50" s="507">
        <v>0</v>
      </c>
      <c r="AK50" s="507">
        <v>6.07</v>
      </c>
      <c r="AL50" s="507">
        <v>0</v>
      </c>
      <c r="AM50" s="507">
        <v>0</v>
      </c>
      <c r="AN50" s="507">
        <v>0</v>
      </c>
      <c r="AO50" s="507">
        <v>0</v>
      </c>
      <c r="AP50" s="507">
        <v>0</v>
      </c>
      <c r="AQ50" s="507">
        <v>0</v>
      </c>
      <c r="AR50" s="507">
        <v>0</v>
      </c>
      <c r="AS50" s="507">
        <v>0</v>
      </c>
      <c r="AT50" s="507">
        <v>0</v>
      </c>
      <c r="AU50" s="507">
        <v>0</v>
      </c>
      <c r="AV50" s="507">
        <v>0</v>
      </c>
      <c r="AW50" s="507">
        <v>0</v>
      </c>
      <c r="AX50" s="507">
        <v>0</v>
      </c>
      <c r="AY50" s="507">
        <v>0</v>
      </c>
      <c r="AZ50" s="507">
        <v>0</v>
      </c>
      <c r="BA50" s="507">
        <v>0</v>
      </c>
      <c r="BB50" s="507">
        <v>8.1</v>
      </c>
      <c r="BC50" s="507">
        <v>6.08</v>
      </c>
      <c r="BD50" s="507">
        <v>0</v>
      </c>
      <c r="BE50" s="507">
        <v>0</v>
      </c>
      <c r="BF50" s="507">
        <v>0</v>
      </c>
      <c r="BG50" s="507">
        <v>0</v>
      </c>
      <c r="BH50" s="507">
        <v>0</v>
      </c>
      <c r="BI50" s="507">
        <v>0</v>
      </c>
      <c r="BJ50" s="507">
        <v>0</v>
      </c>
      <c r="BK50" s="507">
        <v>0</v>
      </c>
      <c r="BL50" s="507">
        <v>0</v>
      </c>
      <c r="BM50" s="507">
        <v>4.93</v>
      </c>
      <c r="BN50" s="507">
        <v>4.93</v>
      </c>
      <c r="BO50" s="507">
        <v>0</v>
      </c>
      <c r="BP50" s="507">
        <v>0</v>
      </c>
      <c r="BQ50" s="507">
        <v>0</v>
      </c>
      <c r="BR50" s="507">
        <v>0</v>
      </c>
      <c r="BS50" s="507">
        <v>0</v>
      </c>
      <c r="BT50" s="507">
        <v>6.08</v>
      </c>
      <c r="BU50" s="507">
        <v>0</v>
      </c>
      <c r="BV50" s="507">
        <v>0</v>
      </c>
      <c r="BW50" s="507">
        <v>0</v>
      </c>
      <c r="BX50" s="507">
        <v>0</v>
      </c>
      <c r="BY50" s="507">
        <v>0</v>
      </c>
      <c r="BZ50" s="507">
        <v>0</v>
      </c>
      <c r="CA50" s="507">
        <v>0</v>
      </c>
      <c r="CB50" s="507">
        <v>0</v>
      </c>
      <c r="CC50" s="507">
        <v>0</v>
      </c>
      <c r="CD50" s="507">
        <v>0</v>
      </c>
      <c r="CE50" s="507">
        <v>0</v>
      </c>
      <c r="CF50" s="507">
        <v>0</v>
      </c>
      <c r="CG50" s="507">
        <v>0</v>
      </c>
      <c r="CH50" s="507">
        <v>0</v>
      </c>
      <c r="CI50" s="507">
        <v>0</v>
      </c>
      <c r="CJ50" s="507">
        <v>0</v>
      </c>
      <c r="CK50" s="507">
        <v>8.1</v>
      </c>
      <c r="CL50" s="507">
        <v>8.1</v>
      </c>
      <c r="CM50" s="507">
        <v>8.1</v>
      </c>
      <c r="CN50" s="507">
        <v>8.1</v>
      </c>
      <c r="CO50" s="507">
        <v>0</v>
      </c>
      <c r="CP50" s="507">
        <v>0</v>
      </c>
      <c r="CQ50" s="507">
        <v>0</v>
      </c>
      <c r="CR50" s="507">
        <v>0</v>
      </c>
      <c r="CS50" s="507">
        <v>0</v>
      </c>
      <c r="CT50" s="507">
        <v>0</v>
      </c>
      <c r="CU50" s="507">
        <v>0</v>
      </c>
      <c r="CV50" s="507">
        <v>0</v>
      </c>
      <c r="CW50" s="507">
        <v>0</v>
      </c>
      <c r="CX50" s="507">
        <v>0</v>
      </c>
      <c r="CY50" s="507">
        <v>0</v>
      </c>
      <c r="CZ50" s="507">
        <v>0</v>
      </c>
      <c r="DA50" s="507">
        <v>0</v>
      </c>
      <c r="DB50" s="507">
        <v>0</v>
      </c>
      <c r="DC50" s="507">
        <v>0</v>
      </c>
      <c r="DD50" s="507">
        <v>0</v>
      </c>
      <c r="DE50" s="507">
        <v>0</v>
      </c>
      <c r="DF50" s="507">
        <v>0</v>
      </c>
      <c r="DG50" s="507">
        <v>0</v>
      </c>
      <c r="DH50" s="507">
        <v>0</v>
      </c>
      <c r="DI50" s="507" t="s">
        <v>668</v>
      </c>
      <c r="DJ50" s="507">
        <v>0</v>
      </c>
      <c r="DK50" s="507">
        <v>0</v>
      </c>
      <c r="DL50" s="507">
        <v>6.06</v>
      </c>
      <c r="DM50" s="507">
        <v>8.1</v>
      </c>
      <c r="DN50" s="507">
        <v>8.1</v>
      </c>
      <c r="DO50" s="507">
        <v>0</v>
      </c>
      <c r="DP50" s="507">
        <v>0</v>
      </c>
      <c r="DQ50" s="507">
        <v>0</v>
      </c>
      <c r="DR50" s="507">
        <v>0</v>
      </c>
      <c r="DS50" s="507">
        <v>0</v>
      </c>
      <c r="DT50" s="507">
        <v>0</v>
      </c>
      <c r="DU50" s="507">
        <v>0</v>
      </c>
      <c r="DV50" s="507">
        <v>0</v>
      </c>
      <c r="DW50" s="507">
        <v>0</v>
      </c>
      <c r="DX50" s="507">
        <v>0</v>
      </c>
      <c r="DY50" s="507">
        <v>0</v>
      </c>
      <c r="DZ50" s="507">
        <v>0</v>
      </c>
      <c r="EA50" s="507">
        <v>0</v>
      </c>
      <c r="EB50" s="507">
        <v>0</v>
      </c>
      <c r="EC50" s="507">
        <v>0</v>
      </c>
      <c r="ED50" s="507">
        <v>0</v>
      </c>
      <c r="EE50" s="507">
        <v>0</v>
      </c>
      <c r="EF50" s="507">
        <v>0</v>
      </c>
      <c r="EG50" s="507">
        <v>0</v>
      </c>
      <c r="EH50" s="507">
        <v>0</v>
      </c>
      <c r="EI50" s="507">
        <v>0</v>
      </c>
      <c r="EJ50" s="507">
        <v>0</v>
      </c>
      <c r="EK50" s="507">
        <v>0</v>
      </c>
      <c r="EL50" s="507">
        <v>0</v>
      </c>
      <c r="EM50" s="507">
        <v>0</v>
      </c>
      <c r="EN50" s="507">
        <v>0</v>
      </c>
      <c r="EO50" s="507">
        <v>0</v>
      </c>
      <c r="EP50" s="507">
        <v>0</v>
      </c>
      <c r="EQ50" s="507">
        <v>0</v>
      </c>
      <c r="ER50" s="507">
        <v>0</v>
      </c>
      <c r="ES50" s="507">
        <v>0</v>
      </c>
      <c r="ET50" s="507">
        <v>0</v>
      </c>
      <c r="EU50" s="507">
        <v>0</v>
      </c>
      <c r="EV50" s="507">
        <v>0</v>
      </c>
      <c r="EW50" s="507">
        <v>0</v>
      </c>
      <c r="EX50" s="507">
        <v>0</v>
      </c>
      <c r="EY50" s="507">
        <v>0</v>
      </c>
      <c r="EZ50" s="507">
        <v>0</v>
      </c>
      <c r="FA50" s="507">
        <v>0</v>
      </c>
      <c r="FB50" s="507">
        <v>0</v>
      </c>
      <c r="FC50" s="507">
        <v>0</v>
      </c>
      <c r="FD50" s="507">
        <v>0</v>
      </c>
      <c r="FE50" s="507">
        <v>4.9400000000000004</v>
      </c>
      <c r="FF50" s="507">
        <v>4.9400000000000004</v>
      </c>
      <c r="FG50" s="507">
        <v>4.93</v>
      </c>
      <c r="FH50" s="507">
        <v>4.93</v>
      </c>
      <c r="FI50" s="507">
        <v>4.93</v>
      </c>
      <c r="FJ50" s="507">
        <v>2.46</v>
      </c>
      <c r="FK50" s="507">
        <v>2.46</v>
      </c>
      <c r="FL50" s="507">
        <v>2.46</v>
      </c>
      <c r="FM50" s="507">
        <v>2.46</v>
      </c>
      <c r="FN50" s="507">
        <v>2.46</v>
      </c>
      <c r="FO50" s="507">
        <v>6.06</v>
      </c>
      <c r="FP50" s="507">
        <v>1.51</v>
      </c>
      <c r="FQ50" s="507">
        <v>1.51</v>
      </c>
      <c r="FR50" s="507">
        <v>4.54</v>
      </c>
      <c r="FS50" s="507">
        <v>4.54</v>
      </c>
      <c r="FT50" s="507">
        <v>4.93</v>
      </c>
      <c r="FU50" s="507">
        <v>0</v>
      </c>
      <c r="FV50" s="507">
        <v>0</v>
      </c>
      <c r="FW50" s="507">
        <v>0</v>
      </c>
      <c r="FX50" s="507" t="s">
        <v>668</v>
      </c>
      <c r="FY50" s="507">
        <v>0</v>
      </c>
      <c r="FZ50" s="507">
        <v>0</v>
      </c>
      <c r="GA50" s="507">
        <v>0</v>
      </c>
      <c r="GB50" s="507">
        <v>0</v>
      </c>
      <c r="GC50" s="507">
        <v>0</v>
      </c>
      <c r="GD50" s="507" t="s">
        <v>668</v>
      </c>
      <c r="GE50" s="507">
        <v>0</v>
      </c>
      <c r="GF50" s="507">
        <v>0</v>
      </c>
      <c r="GG50" s="507" t="s">
        <v>668</v>
      </c>
      <c r="GH50" s="507">
        <v>0</v>
      </c>
      <c r="GI50" s="507">
        <v>2.99</v>
      </c>
      <c r="GJ50" s="507">
        <v>4.93</v>
      </c>
      <c r="GK50" s="507">
        <v>4.93</v>
      </c>
      <c r="GL50" s="507">
        <v>0</v>
      </c>
      <c r="GM50" s="507">
        <v>0</v>
      </c>
      <c r="GN50" s="507">
        <v>6.08</v>
      </c>
      <c r="GO50" s="507">
        <v>1.94</v>
      </c>
      <c r="GP50" s="507">
        <v>6.08</v>
      </c>
      <c r="GQ50" s="507">
        <v>6.08</v>
      </c>
      <c r="GR50" s="507">
        <v>6.07</v>
      </c>
      <c r="GS50" s="507">
        <v>0</v>
      </c>
      <c r="GT50" s="507">
        <v>0</v>
      </c>
      <c r="GU50" s="507">
        <v>0</v>
      </c>
      <c r="GV50" s="507">
        <v>0</v>
      </c>
      <c r="GW50" s="507">
        <v>0</v>
      </c>
      <c r="GX50" s="507">
        <v>0</v>
      </c>
      <c r="GY50" s="507">
        <v>0</v>
      </c>
      <c r="GZ50" s="507">
        <v>8.1</v>
      </c>
      <c r="HA50" s="507">
        <v>0</v>
      </c>
      <c r="HB50" s="507">
        <v>0</v>
      </c>
      <c r="HC50" s="507">
        <v>2.0299999999999998</v>
      </c>
      <c r="HD50" s="507">
        <v>0</v>
      </c>
      <c r="HE50" s="507">
        <v>0</v>
      </c>
      <c r="HF50" s="507">
        <v>0</v>
      </c>
      <c r="HG50" s="507">
        <v>0</v>
      </c>
      <c r="HH50" s="507">
        <v>0</v>
      </c>
      <c r="HI50" s="507">
        <v>0</v>
      </c>
      <c r="HJ50" s="507">
        <v>0</v>
      </c>
      <c r="HK50" s="507">
        <v>0</v>
      </c>
      <c r="HL50" s="507">
        <v>0</v>
      </c>
      <c r="HM50" s="507">
        <v>0</v>
      </c>
      <c r="HN50" s="507">
        <v>0</v>
      </c>
      <c r="HO50" s="507">
        <v>0</v>
      </c>
      <c r="HP50" s="507">
        <v>0</v>
      </c>
      <c r="HQ50" s="507">
        <v>0</v>
      </c>
      <c r="HR50" s="507">
        <v>0</v>
      </c>
      <c r="HS50" s="507">
        <v>0</v>
      </c>
      <c r="HT50" s="507">
        <v>0</v>
      </c>
      <c r="HU50" s="507">
        <v>0</v>
      </c>
      <c r="HV50" s="507">
        <v>0</v>
      </c>
      <c r="HW50" s="507">
        <v>0</v>
      </c>
      <c r="HX50" s="507">
        <v>0</v>
      </c>
      <c r="HY50" s="507">
        <v>0</v>
      </c>
      <c r="HZ50" s="507">
        <v>0</v>
      </c>
      <c r="IA50" s="507">
        <v>0</v>
      </c>
      <c r="IB50" s="507">
        <v>0</v>
      </c>
      <c r="IC50" s="507">
        <v>0</v>
      </c>
      <c r="ID50" s="507">
        <v>0</v>
      </c>
      <c r="IE50" s="507">
        <v>0</v>
      </c>
      <c r="IF50" s="507">
        <v>0</v>
      </c>
      <c r="IG50" s="507">
        <v>0</v>
      </c>
      <c r="IH50" s="571">
        <v>0</v>
      </c>
    </row>
    <row r="51" spans="1:242" s="503" customFormat="1" ht="15.95" customHeight="1" x14ac:dyDescent="0.2">
      <c r="A51" s="527" t="s">
        <v>537</v>
      </c>
      <c r="B51" s="527">
        <v>28</v>
      </c>
      <c r="D51" s="590" t="s">
        <v>538</v>
      </c>
      <c r="E51" s="528" t="s">
        <v>537</v>
      </c>
      <c r="F51" s="508">
        <v>28.013480000000001</v>
      </c>
      <c r="G51" s="505">
        <v>-320.45079299999998</v>
      </c>
      <c r="H51" s="507">
        <v>3.94</v>
      </c>
      <c r="I51" s="507">
        <v>0</v>
      </c>
      <c r="J51" s="507">
        <v>0</v>
      </c>
      <c r="K51" s="507">
        <v>1966.72</v>
      </c>
      <c r="L51" s="507">
        <v>1970.66</v>
      </c>
      <c r="M51" s="507">
        <v>1970.67</v>
      </c>
      <c r="N51" s="507">
        <v>1342</v>
      </c>
      <c r="O51" s="507">
        <v>0</v>
      </c>
      <c r="P51" s="507">
        <v>1335</v>
      </c>
      <c r="Q51" s="507">
        <v>1335</v>
      </c>
      <c r="R51" s="507">
        <v>7.0000000000000631</v>
      </c>
      <c r="S51" s="507">
        <v>7.0000000000000631</v>
      </c>
      <c r="T51" s="507">
        <v>0</v>
      </c>
      <c r="U51" s="507">
        <v>6.2978872117369642E-14</v>
      </c>
      <c r="V51" s="507">
        <v>6.2978872117369642E-14</v>
      </c>
      <c r="W51" s="507">
        <v>0</v>
      </c>
      <c r="X51" s="507">
        <v>0</v>
      </c>
      <c r="Y51" s="507">
        <v>0</v>
      </c>
      <c r="Z51" s="507">
        <v>0</v>
      </c>
      <c r="AA51" s="507">
        <v>0</v>
      </c>
      <c r="AB51" s="507">
        <v>0</v>
      </c>
      <c r="AC51" s="507">
        <v>0</v>
      </c>
      <c r="AD51" s="507">
        <v>7</v>
      </c>
      <c r="AE51" s="507">
        <v>6.2978872117369642E-14</v>
      </c>
      <c r="AF51" s="507">
        <v>3.96</v>
      </c>
      <c r="AG51" s="507">
        <v>1973.62</v>
      </c>
      <c r="AH51" s="507">
        <v>1966.72</v>
      </c>
      <c r="AI51" s="507">
        <v>1978.34</v>
      </c>
      <c r="AJ51" s="507">
        <v>0</v>
      </c>
      <c r="AK51" s="507">
        <v>1977.58</v>
      </c>
      <c r="AL51" s="507">
        <v>0.39</v>
      </c>
      <c r="AM51" s="507">
        <v>0.76</v>
      </c>
      <c r="AN51" s="507">
        <v>0</v>
      </c>
      <c r="AO51" s="507">
        <v>0.76</v>
      </c>
      <c r="AP51" s="507">
        <v>0</v>
      </c>
      <c r="AQ51" s="507">
        <v>0.76</v>
      </c>
      <c r="AR51" s="507">
        <v>0</v>
      </c>
      <c r="AS51" s="507">
        <v>0</v>
      </c>
      <c r="AT51" s="507">
        <v>0</v>
      </c>
      <c r="AU51" s="507">
        <v>0.76</v>
      </c>
      <c r="AV51" s="507">
        <v>0</v>
      </c>
      <c r="AW51" s="507">
        <v>0</v>
      </c>
      <c r="AX51" s="507">
        <v>0</v>
      </c>
      <c r="AY51" s="507">
        <v>0</v>
      </c>
      <c r="AZ51" s="507">
        <v>0.76</v>
      </c>
      <c r="BA51" s="507">
        <v>0</v>
      </c>
      <c r="BB51" s="507">
        <v>10.23</v>
      </c>
      <c r="BC51" s="507">
        <v>7.67</v>
      </c>
      <c r="BD51" s="507">
        <v>0</v>
      </c>
      <c r="BE51" s="507">
        <v>0</v>
      </c>
      <c r="BF51" s="507">
        <v>0</v>
      </c>
      <c r="BG51" s="507">
        <v>0</v>
      </c>
      <c r="BH51" s="507">
        <v>0</v>
      </c>
      <c r="BI51" s="507">
        <v>0</v>
      </c>
      <c r="BJ51" s="507">
        <v>0</v>
      </c>
      <c r="BK51" s="507">
        <v>0</v>
      </c>
      <c r="BL51" s="507">
        <v>0</v>
      </c>
      <c r="BM51" s="507">
        <v>1970.66</v>
      </c>
      <c r="BN51" s="507">
        <v>1970.66</v>
      </c>
      <c r="BO51" s="507">
        <v>1970.67</v>
      </c>
      <c r="BP51" s="507">
        <v>1970.67</v>
      </c>
      <c r="BQ51" s="507">
        <v>1970.67</v>
      </c>
      <c r="BR51" s="507">
        <v>0.76</v>
      </c>
      <c r="BS51" s="507">
        <v>0.76</v>
      </c>
      <c r="BT51" s="507">
        <v>1978.34</v>
      </c>
      <c r="BU51" s="507">
        <v>0</v>
      </c>
      <c r="BV51" s="507">
        <v>0</v>
      </c>
      <c r="BW51" s="507">
        <v>0.76</v>
      </c>
      <c r="BX51" s="507">
        <v>0</v>
      </c>
      <c r="BY51" s="507">
        <v>0.39</v>
      </c>
      <c r="BZ51" s="507">
        <v>0.39</v>
      </c>
      <c r="CA51" s="507">
        <v>0</v>
      </c>
      <c r="CB51" s="507">
        <v>0</v>
      </c>
      <c r="CC51" s="507">
        <v>0.76</v>
      </c>
      <c r="CD51" s="507">
        <v>0.76</v>
      </c>
      <c r="CE51" s="507">
        <v>0.76</v>
      </c>
      <c r="CF51" s="507">
        <v>0</v>
      </c>
      <c r="CG51" s="507">
        <v>0</v>
      </c>
      <c r="CH51" s="507">
        <v>0</v>
      </c>
      <c r="CI51" s="507">
        <v>0</v>
      </c>
      <c r="CJ51" s="507">
        <v>0</v>
      </c>
      <c r="CK51" s="507">
        <v>9.4700000000000006</v>
      </c>
      <c r="CL51" s="507">
        <v>9.4700000000000006</v>
      </c>
      <c r="CM51" s="507">
        <v>10.23</v>
      </c>
      <c r="CN51" s="507">
        <v>10.23</v>
      </c>
      <c r="CO51" s="507">
        <v>0</v>
      </c>
      <c r="CP51" s="507">
        <v>0</v>
      </c>
      <c r="CQ51" s="507">
        <v>0</v>
      </c>
      <c r="CR51" s="507">
        <v>0</v>
      </c>
      <c r="CS51" s="507">
        <v>0</v>
      </c>
      <c r="CT51" s="507">
        <v>0</v>
      </c>
      <c r="CU51" s="507">
        <v>0</v>
      </c>
      <c r="CV51" s="507">
        <v>0</v>
      </c>
      <c r="CW51" s="507">
        <v>0</v>
      </c>
      <c r="CX51" s="507">
        <v>0</v>
      </c>
      <c r="CY51" s="507">
        <v>0</v>
      </c>
      <c r="CZ51" s="507">
        <v>0</v>
      </c>
      <c r="DA51" s="507">
        <v>0</v>
      </c>
      <c r="DB51" s="507">
        <v>0</v>
      </c>
      <c r="DC51" s="507">
        <v>0</v>
      </c>
      <c r="DD51" s="507">
        <v>0</v>
      </c>
      <c r="DE51" s="507">
        <v>0</v>
      </c>
      <c r="DF51" s="507">
        <v>0</v>
      </c>
      <c r="DG51" s="507">
        <v>0</v>
      </c>
      <c r="DH51" s="507">
        <v>0</v>
      </c>
      <c r="DI51" s="507" t="s">
        <v>668</v>
      </c>
      <c r="DJ51" s="507">
        <v>0</v>
      </c>
      <c r="DK51" s="507">
        <v>0</v>
      </c>
      <c r="DL51" s="507">
        <v>1973.62</v>
      </c>
      <c r="DM51" s="507">
        <v>10.23</v>
      </c>
      <c r="DN51" s="507">
        <v>10.23</v>
      </c>
      <c r="DO51" s="507">
        <v>0</v>
      </c>
      <c r="DP51" s="507">
        <v>0</v>
      </c>
      <c r="DQ51" s="507">
        <v>0.39</v>
      </c>
      <c r="DR51" s="507">
        <v>0.39</v>
      </c>
      <c r="DS51" s="507">
        <v>0</v>
      </c>
      <c r="DT51" s="507">
        <v>0</v>
      </c>
      <c r="DU51" s="507">
        <v>0</v>
      </c>
      <c r="DV51" s="507">
        <v>0</v>
      </c>
      <c r="DW51" s="507">
        <v>0</v>
      </c>
      <c r="DX51" s="507">
        <v>0</v>
      </c>
      <c r="DY51" s="507">
        <v>0</v>
      </c>
      <c r="DZ51" s="507">
        <v>0</v>
      </c>
      <c r="EA51" s="507">
        <v>0</v>
      </c>
      <c r="EB51" s="507">
        <v>0</v>
      </c>
      <c r="EC51" s="507">
        <v>0</v>
      </c>
      <c r="ED51" s="507">
        <v>0</v>
      </c>
      <c r="EE51" s="507">
        <v>0.71</v>
      </c>
      <c r="EF51" s="507">
        <v>0</v>
      </c>
      <c r="EG51" s="507">
        <v>0</v>
      </c>
      <c r="EH51" s="507">
        <v>0</v>
      </c>
      <c r="EI51" s="507">
        <v>0</v>
      </c>
      <c r="EJ51" s="507">
        <v>0</v>
      </c>
      <c r="EK51" s="507">
        <v>0</v>
      </c>
      <c r="EL51" s="507">
        <v>0</v>
      </c>
      <c r="EM51" s="507">
        <v>0</v>
      </c>
      <c r="EN51" s="507">
        <v>0</v>
      </c>
      <c r="EO51" s="507">
        <v>0</v>
      </c>
      <c r="EP51" s="507">
        <v>0</v>
      </c>
      <c r="EQ51" s="507">
        <v>0</v>
      </c>
      <c r="ER51" s="507">
        <v>0</v>
      </c>
      <c r="ES51" s="507">
        <v>0</v>
      </c>
      <c r="ET51" s="507">
        <v>0</v>
      </c>
      <c r="EU51" s="507">
        <v>0</v>
      </c>
      <c r="EV51" s="507">
        <v>0</v>
      </c>
      <c r="EW51" s="507">
        <v>0</v>
      </c>
      <c r="EX51" s="507">
        <v>0</v>
      </c>
      <c r="EY51" s="507">
        <v>0</v>
      </c>
      <c r="EZ51" s="507">
        <v>0</v>
      </c>
      <c r="FA51" s="507">
        <v>0</v>
      </c>
      <c r="FB51" s="507">
        <v>0</v>
      </c>
      <c r="FC51" s="507">
        <v>0</v>
      </c>
      <c r="FD51" s="507">
        <v>0</v>
      </c>
      <c r="FE51" s="507">
        <v>0</v>
      </c>
      <c r="FF51" s="507">
        <v>0</v>
      </c>
      <c r="FG51" s="507">
        <v>1966.72</v>
      </c>
      <c r="FH51" s="507">
        <v>1966.72</v>
      </c>
      <c r="FI51" s="507">
        <v>1970.66</v>
      </c>
      <c r="FJ51" s="507">
        <v>985.33</v>
      </c>
      <c r="FK51" s="507">
        <v>985.33</v>
      </c>
      <c r="FL51" s="507">
        <v>985.33</v>
      </c>
      <c r="FM51" s="507">
        <v>985.33</v>
      </c>
      <c r="FN51" s="507">
        <v>985.33</v>
      </c>
      <c r="FO51" s="507">
        <v>1973.62</v>
      </c>
      <c r="FP51" s="507">
        <v>493.41</v>
      </c>
      <c r="FQ51" s="507">
        <v>493.41</v>
      </c>
      <c r="FR51" s="507">
        <v>1480.22</v>
      </c>
      <c r="FS51" s="507">
        <v>1480.22</v>
      </c>
      <c r="FT51" s="507">
        <v>1966.72</v>
      </c>
      <c r="FU51" s="507">
        <v>0.71</v>
      </c>
      <c r="FV51" s="507">
        <v>0</v>
      </c>
      <c r="FW51" s="507">
        <v>0</v>
      </c>
      <c r="FX51" s="507" t="s">
        <v>668</v>
      </c>
      <c r="FY51" s="507">
        <v>0</v>
      </c>
      <c r="FZ51" s="507">
        <v>0</v>
      </c>
      <c r="GA51" s="507">
        <v>0</v>
      </c>
      <c r="GB51" s="507">
        <v>0</v>
      </c>
      <c r="GC51" s="507">
        <v>0</v>
      </c>
      <c r="GD51" s="507" t="s">
        <v>668</v>
      </c>
      <c r="GE51" s="507">
        <v>0</v>
      </c>
      <c r="GF51" s="507">
        <v>0</v>
      </c>
      <c r="GG51" s="507" t="s">
        <v>668</v>
      </c>
      <c r="GH51" s="507">
        <v>0</v>
      </c>
      <c r="GI51" s="507">
        <v>1335.16</v>
      </c>
      <c r="GJ51" s="507">
        <v>1970.67</v>
      </c>
      <c r="GK51" s="507">
        <v>1970.67</v>
      </c>
      <c r="GL51" s="507">
        <v>1970.67</v>
      </c>
      <c r="GM51" s="507">
        <v>1970.67</v>
      </c>
      <c r="GN51" s="507">
        <v>1978.34</v>
      </c>
      <c r="GO51" s="507">
        <v>631.55999999999995</v>
      </c>
      <c r="GP51" s="507">
        <v>1978.34</v>
      </c>
      <c r="GQ51" s="507">
        <v>1978.34</v>
      </c>
      <c r="GR51" s="507">
        <v>1977.58</v>
      </c>
      <c r="GS51" s="507">
        <v>0</v>
      </c>
      <c r="GT51" s="507">
        <v>0</v>
      </c>
      <c r="GU51" s="507">
        <v>0.76</v>
      </c>
      <c r="GV51" s="507">
        <v>0</v>
      </c>
      <c r="GW51" s="507">
        <v>0</v>
      </c>
      <c r="GX51" s="507">
        <v>0</v>
      </c>
      <c r="GY51" s="507">
        <v>0.76</v>
      </c>
      <c r="GZ51" s="507">
        <v>10.23</v>
      </c>
      <c r="HA51" s="507">
        <v>0</v>
      </c>
      <c r="HB51" s="507">
        <v>0</v>
      </c>
      <c r="HC51" s="507">
        <v>2.56</v>
      </c>
      <c r="HD51" s="507">
        <v>0</v>
      </c>
      <c r="HE51" s="507">
        <v>0</v>
      </c>
      <c r="HF51" s="507">
        <v>0</v>
      </c>
      <c r="HG51" s="507">
        <v>0</v>
      </c>
      <c r="HH51" s="507">
        <v>0</v>
      </c>
      <c r="HI51" s="507">
        <v>0</v>
      </c>
      <c r="HJ51" s="507">
        <v>0</v>
      </c>
      <c r="HK51" s="507">
        <v>0</v>
      </c>
      <c r="HL51" s="507">
        <v>0.76</v>
      </c>
      <c r="HM51" s="507">
        <v>0.76</v>
      </c>
      <c r="HN51" s="507">
        <v>0</v>
      </c>
      <c r="HO51" s="507">
        <v>0</v>
      </c>
      <c r="HP51" s="507">
        <v>0</v>
      </c>
      <c r="HQ51" s="507">
        <v>0</v>
      </c>
      <c r="HR51" s="507">
        <v>0</v>
      </c>
      <c r="HS51" s="507">
        <v>0</v>
      </c>
      <c r="HT51" s="507">
        <v>0</v>
      </c>
      <c r="HU51" s="507">
        <v>0</v>
      </c>
      <c r="HV51" s="507">
        <v>0</v>
      </c>
      <c r="HW51" s="507">
        <v>0.76</v>
      </c>
      <c r="HX51" s="507">
        <v>0.76</v>
      </c>
      <c r="HY51" s="507">
        <v>0.76</v>
      </c>
      <c r="HZ51" s="507">
        <v>0.76</v>
      </c>
      <c r="IA51" s="507">
        <v>0</v>
      </c>
      <c r="IB51" s="507">
        <v>0</v>
      </c>
      <c r="IC51" s="507">
        <v>0</v>
      </c>
      <c r="ID51" s="507">
        <v>0</v>
      </c>
      <c r="IE51" s="507">
        <v>0</v>
      </c>
      <c r="IF51" s="507">
        <v>0</v>
      </c>
      <c r="IG51" s="507">
        <v>0</v>
      </c>
      <c r="IH51" s="571">
        <v>0</v>
      </c>
    </row>
    <row r="52" spans="1:242" s="503" customFormat="1" ht="15.95" customHeight="1" x14ac:dyDescent="0.2">
      <c r="A52" s="527" t="s">
        <v>539</v>
      </c>
      <c r="B52" s="527">
        <v>29</v>
      </c>
      <c r="D52" s="590" t="s">
        <v>540</v>
      </c>
      <c r="E52" s="528" t="s">
        <v>539</v>
      </c>
      <c r="F52" s="508">
        <v>39.948</v>
      </c>
      <c r="G52" s="505">
        <v>-302.56599399999999</v>
      </c>
      <c r="H52" s="507">
        <v>106.79</v>
      </c>
      <c r="I52" s="507">
        <v>0</v>
      </c>
      <c r="J52" s="507">
        <v>0</v>
      </c>
      <c r="K52" s="507">
        <v>53287.58</v>
      </c>
      <c r="L52" s="507">
        <v>53394.37</v>
      </c>
      <c r="M52" s="507">
        <v>53394.400000000001</v>
      </c>
      <c r="N52" s="507">
        <v>36244</v>
      </c>
      <c r="O52" s="507">
        <v>0</v>
      </c>
      <c r="P52" s="507">
        <v>36231</v>
      </c>
      <c r="Q52" s="507">
        <v>36231</v>
      </c>
      <c r="R52" s="507">
        <v>12.99999999999827</v>
      </c>
      <c r="S52" s="507">
        <v>12.99999999999827</v>
      </c>
      <c r="T52" s="507">
        <v>0</v>
      </c>
      <c r="U52" s="507">
        <v>3.9947999827030366E-4</v>
      </c>
      <c r="V52" s="507">
        <v>3.9947999827030366E-4</v>
      </c>
      <c r="W52" s="507">
        <v>0</v>
      </c>
      <c r="X52" s="507">
        <v>0</v>
      </c>
      <c r="Y52" s="507">
        <v>0</v>
      </c>
      <c r="Z52" s="507">
        <v>0</v>
      </c>
      <c r="AA52" s="507">
        <v>0</v>
      </c>
      <c r="AB52" s="507">
        <v>0</v>
      </c>
      <c r="AC52" s="507">
        <v>0</v>
      </c>
      <c r="AD52" s="507">
        <v>13</v>
      </c>
      <c r="AE52" s="507">
        <v>3.9947999827030366E-4</v>
      </c>
      <c r="AF52" s="507">
        <v>106.81</v>
      </c>
      <c r="AG52" s="507">
        <v>53300.41</v>
      </c>
      <c r="AH52" s="507">
        <v>53287.58</v>
      </c>
      <c r="AI52" s="507">
        <v>53448.69</v>
      </c>
      <c r="AJ52" s="507">
        <v>0</v>
      </c>
      <c r="AK52" s="507">
        <v>53407.23</v>
      </c>
      <c r="AL52" s="507">
        <v>20.93</v>
      </c>
      <c r="AM52" s="507">
        <v>41.25</v>
      </c>
      <c r="AN52" s="507">
        <v>0.21</v>
      </c>
      <c r="AO52" s="507">
        <v>41.33</v>
      </c>
      <c r="AP52" s="507">
        <v>0</v>
      </c>
      <c r="AQ52" s="507">
        <v>41.33</v>
      </c>
      <c r="AR52" s="507">
        <v>0</v>
      </c>
      <c r="AS52" s="507">
        <v>0</v>
      </c>
      <c r="AT52" s="507">
        <v>0</v>
      </c>
      <c r="AU52" s="507">
        <v>41.33</v>
      </c>
      <c r="AV52" s="507">
        <v>0.12</v>
      </c>
      <c r="AW52" s="507">
        <v>0</v>
      </c>
      <c r="AX52" s="507">
        <v>0.12</v>
      </c>
      <c r="AY52" s="507">
        <v>0</v>
      </c>
      <c r="AZ52" s="507">
        <v>41.46</v>
      </c>
      <c r="BA52" s="507">
        <v>0.08</v>
      </c>
      <c r="BB52" s="507">
        <v>72.38</v>
      </c>
      <c r="BC52" s="507">
        <v>54.29</v>
      </c>
      <c r="BD52" s="507">
        <v>0</v>
      </c>
      <c r="BE52" s="507">
        <v>0</v>
      </c>
      <c r="BF52" s="507">
        <v>0.21</v>
      </c>
      <c r="BG52" s="507">
        <v>0</v>
      </c>
      <c r="BH52" s="507">
        <v>0</v>
      </c>
      <c r="BI52" s="507">
        <v>0</v>
      </c>
      <c r="BJ52" s="507">
        <v>0</v>
      </c>
      <c r="BK52" s="507">
        <v>0</v>
      </c>
      <c r="BL52" s="507">
        <v>0</v>
      </c>
      <c r="BM52" s="507">
        <v>53394.37</v>
      </c>
      <c r="BN52" s="507">
        <v>53394.37</v>
      </c>
      <c r="BO52" s="507">
        <v>53394.400000000001</v>
      </c>
      <c r="BP52" s="507">
        <v>53394.400000000001</v>
      </c>
      <c r="BQ52" s="507">
        <v>53394.400000000001</v>
      </c>
      <c r="BR52" s="507">
        <v>41.33</v>
      </c>
      <c r="BS52" s="507">
        <v>41.33</v>
      </c>
      <c r="BT52" s="507">
        <v>53448.69</v>
      </c>
      <c r="BU52" s="507">
        <v>0</v>
      </c>
      <c r="BV52" s="507">
        <v>0</v>
      </c>
      <c r="BW52" s="507">
        <v>41.33</v>
      </c>
      <c r="BX52" s="507">
        <v>0</v>
      </c>
      <c r="BY52" s="507">
        <v>20.72</v>
      </c>
      <c r="BZ52" s="507">
        <v>20.72</v>
      </c>
      <c r="CA52" s="507">
        <v>0</v>
      </c>
      <c r="CB52" s="507">
        <v>0</v>
      </c>
      <c r="CC52" s="507">
        <v>41.44</v>
      </c>
      <c r="CD52" s="507">
        <v>41.44</v>
      </c>
      <c r="CE52" s="507">
        <v>41.54</v>
      </c>
      <c r="CF52" s="507">
        <v>0.21</v>
      </c>
      <c r="CG52" s="507">
        <v>0</v>
      </c>
      <c r="CH52" s="507">
        <v>0</v>
      </c>
      <c r="CI52" s="507">
        <v>0</v>
      </c>
      <c r="CJ52" s="507">
        <v>0</v>
      </c>
      <c r="CK52" s="507">
        <v>30.93</v>
      </c>
      <c r="CL52" s="507">
        <v>30.93</v>
      </c>
      <c r="CM52" s="507">
        <v>72.38</v>
      </c>
      <c r="CN52" s="507">
        <v>72.38</v>
      </c>
      <c r="CO52" s="507">
        <v>0.21</v>
      </c>
      <c r="CP52" s="507">
        <v>0</v>
      </c>
      <c r="CQ52" s="507">
        <v>0</v>
      </c>
      <c r="CR52" s="507">
        <v>0</v>
      </c>
      <c r="CS52" s="507">
        <v>0</v>
      </c>
      <c r="CT52" s="507">
        <v>0</v>
      </c>
      <c r="CU52" s="507">
        <v>0</v>
      </c>
      <c r="CV52" s="507">
        <v>0</v>
      </c>
      <c r="CW52" s="507">
        <v>0</v>
      </c>
      <c r="CX52" s="507">
        <v>0</v>
      </c>
      <c r="CY52" s="507">
        <v>0</v>
      </c>
      <c r="CZ52" s="507">
        <v>0</v>
      </c>
      <c r="DA52" s="507">
        <v>0</v>
      </c>
      <c r="DB52" s="507">
        <v>0</v>
      </c>
      <c r="DC52" s="507">
        <v>0</v>
      </c>
      <c r="DD52" s="507">
        <v>0</v>
      </c>
      <c r="DE52" s="507">
        <v>0</v>
      </c>
      <c r="DF52" s="507">
        <v>0</v>
      </c>
      <c r="DG52" s="507">
        <v>0</v>
      </c>
      <c r="DH52" s="507">
        <v>0</v>
      </c>
      <c r="DI52" s="507" t="s">
        <v>668</v>
      </c>
      <c r="DJ52" s="507">
        <v>0</v>
      </c>
      <c r="DK52" s="507">
        <v>0</v>
      </c>
      <c r="DL52" s="507">
        <v>53300.41</v>
      </c>
      <c r="DM52" s="507">
        <v>72.38</v>
      </c>
      <c r="DN52" s="507">
        <v>72.38</v>
      </c>
      <c r="DO52" s="507">
        <v>0</v>
      </c>
      <c r="DP52" s="507">
        <v>0</v>
      </c>
      <c r="DQ52" s="507">
        <v>20.72</v>
      </c>
      <c r="DR52" s="507">
        <v>20.72</v>
      </c>
      <c r="DS52" s="507">
        <v>0.12</v>
      </c>
      <c r="DT52" s="507">
        <v>0</v>
      </c>
      <c r="DU52" s="507">
        <v>0</v>
      </c>
      <c r="DV52" s="507">
        <v>0.08</v>
      </c>
      <c r="DW52" s="507">
        <v>0</v>
      </c>
      <c r="DX52" s="507">
        <v>0</v>
      </c>
      <c r="DY52" s="507">
        <v>0</v>
      </c>
      <c r="DZ52" s="507">
        <v>0</v>
      </c>
      <c r="EA52" s="507">
        <v>0</v>
      </c>
      <c r="EB52" s="507">
        <v>0</v>
      </c>
      <c r="EC52" s="507">
        <v>0</v>
      </c>
      <c r="ED52" s="507">
        <v>0</v>
      </c>
      <c r="EE52" s="507">
        <v>39.74</v>
      </c>
      <c r="EF52" s="507">
        <v>0</v>
      </c>
      <c r="EG52" s="507">
        <v>0.04</v>
      </c>
      <c r="EH52" s="507">
        <v>0</v>
      </c>
      <c r="EI52" s="507">
        <v>0</v>
      </c>
      <c r="EJ52" s="507">
        <v>0</v>
      </c>
      <c r="EK52" s="507">
        <v>0</v>
      </c>
      <c r="EL52" s="507">
        <v>0</v>
      </c>
      <c r="EM52" s="507">
        <v>0</v>
      </c>
      <c r="EN52" s="507">
        <v>0</v>
      </c>
      <c r="EO52" s="507">
        <v>0</v>
      </c>
      <c r="EP52" s="507">
        <v>0</v>
      </c>
      <c r="EQ52" s="507">
        <v>0</v>
      </c>
      <c r="ER52" s="507">
        <v>0</v>
      </c>
      <c r="ES52" s="507">
        <v>0</v>
      </c>
      <c r="ET52" s="507">
        <v>0.21</v>
      </c>
      <c r="EU52" s="507">
        <v>0</v>
      </c>
      <c r="EV52" s="507">
        <v>0</v>
      </c>
      <c r="EW52" s="507">
        <v>0</v>
      </c>
      <c r="EX52" s="507">
        <v>0</v>
      </c>
      <c r="EY52" s="507">
        <v>0</v>
      </c>
      <c r="EZ52" s="507">
        <v>0</v>
      </c>
      <c r="FA52" s="507">
        <v>0</v>
      </c>
      <c r="FB52" s="507">
        <v>0</v>
      </c>
      <c r="FC52" s="507">
        <v>0</v>
      </c>
      <c r="FD52" s="507">
        <v>0</v>
      </c>
      <c r="FE52" s="507">
        <v>0</v>
      </c>
      <c r="FF52" s="507">
        <v>0</v>
      </c>
      <c r="FG52" s="507">
        <v>53287.58</v>
      </c>
      <c r="FH52" s="507">
        <v>53287.58</v>
      </c>
      <c r="FI52" s="507">
        <v>53394.37</v>
      </c>
      <c r="FJ52" s="507">
        <v>26697.19</v>
      </c>
      <c r="FK52" s="507">
        <v>26697.19</v>
      </c>
      <c r="FL52" s="507">
        <v>26697.19</v>
      </c>
      <c r="FM52" s="507">
        <v>26697.19</v>
      </c>
      <c r="FN52" s="507">
        <v>26697.19</v>
      </c>
      <c r="FO52" s="507">
        <v>53300.41</v>
      </c>
      <c r="FP52" s="507">
        <v>13325.1</v>
      </c>
      <c r="FQ52" s="507">
        <v>13325.1</v>
      </c>
      <c r="FR52" s="507">
        <v>39975.31</v>
      </c>
      <c r="FS52" s="507">
        <v>39975.31</v>
      </c>
      <c r="FT52" s="507">
        <v>53287.58</v>
      </c>
      <c r="FU52" s="507">
        <v>39.74</v>
      </c>
      <c r="FV52" s="507">
        <v>0.04</v>
      </c>
      <c r="FW52" s="507">
        <v>0.01</v>
      </c>
      <c r="FX52" s="507" t="s">
        <v>668</v>
      </c>
      <c r="FY52" s="507">
        <v>0.01</v>
      </c>
      <c r="FZ52" s="507">
        <v>0.09</v>
      </c>
      <c r="GA52" s="507">
        <v>0</v>
      </c>
      <c r="GB52" s="507">
        <v>0.09</v>
      </c>
      <c r="GC52" s="507">
        <v>0</v>
      </c>
      <c r="GD52" s="507" t="s">
        <v>668</v>
      </c>
      <c r="GE52" s="507">
        <v>0</v>
      </c>
      <c r="GF52" s="507">
        <v>0</v>
      </c>
      <c r="GG52" s="507" t="s">
        <v>668</v>
      </c>
      <c r="GH52" s="507">
        <v>0</v>
      </c>
      <c r="GI52" s="507">
        <v>36231.449999999997</v>
      </c>
      <c r="GJ52" s="507">
        <v>53394.400000000001</v>
      </c>
      <c r="GK52" s="507">
        <v>53394.400000000001</v>
      </c>
      <c r="GL52" s="507">
        <v>53394.400000000001</v>
      </c>
      <c r="GM52" s="507">
        <v>53394.400000000001</v>
      </c>
      <c r="GN52" s="507">
        <v>53448.69</v>
      </c>
      <c r="GO52" s="507">
        <v>17056.13</v>
      </c>
      <c r="GP52" s="507">
        <v>53448.69</v>
      </c>
      <c r="GQ52" s="507">
        <v>53448.480000000003</v>
      </c>
      <c r="GR52" s="507">
        <v>53407.23</v>
      </c>
      <c r="GS52" s="507">
        <v>0.12</v>
      </c>
      <c r="GT52" s="507">
        <v>0</v>
      </c>
      <c r="GU52" s="507">
        <v>41.34</v>
      </c>
      <c r="GV52" s="507">
        <v>0</v>
      </c>
      <c r="GW52" s="507">
        <v>0</v>
      </c>
      <c r="GX52" s="507">
        <v>0</v>
      </c>
      <c r="GY52" s="507">
        <v>41.46</v>
      </c>
      <c r="GZ52" s="507">
        <v>72.38</v>
      </c>
      <c r="HA52" s="507">
        <v>0</v>
      </c>
      <c r="HB52" s="507">
        <v>0</v>
      </c>
      <c r="HC52" s="507">
        <v>18.100000000000001</v>
      </c>
      <c r="HD52" s="507">
        <v>0</v>
      </c>
      <c r="HE52" s="507">
        <v>0</v>
      </c>
      <c r="HF52" s="507">
        <v>0</v>
      </c>
      <c r="HG52" s="507">
        <v>0</v>
      </c>
      <c r="HH52" s="507">
        <v>0</v>
      </c>
      <c r="HI52" s="507">
        <v>0</v>
      </c>
      <c r="HJ52" s="507">
        <v>0</v>
      </c>
      <c r="HK52" s="507">
        <v>0</v>
      </c>
      <c r="HL52" s="507">
        <v>41.44</v>
      </c>
      <c r="HM52" s="507">
        <v>41.56</v>
      </c>
      <c r="HN52" s="507">
        <v>0.21</v>
      </c>
      <c r="HO52" s="507">
        <v>0</v>
      </c>
      <c r="HP52" s="507">
        <v>0</v>
      </c>
      <c r="HQ52" s="507">
        <v>0</v>
      </c>
      <c r="HR52" s="507">
        <v>0</v>
      </c>
      <c r="HS52" s="507">
        <v>0</v>
      </c>
      <c r="HT52" s="507">
        <v>0</v>
      </c>
      <c r="HU52" s="507">
        <v>0</v>
      </c>
      <c r="HV52" s="507">
        <v>0.1</v>
      </c>
      <c r="HW52" s="507">
        <v>41.33</v>
      </c>
      <c r="HX52" s="507">
        <v>41.33</v>
      </c>
      <c r="HY52" s="507">
        <v>41.33</v>
      </c>
      <c r="HZ52" s="507">
        <v>41.33</v>
      </c>
      <c r="IA52" s="507">
        <v>0</v>
      </c>
      <c r="IB52" s="507">
        <v>0</v>
      </c>
      <c r="IC52" s="507">
        <v>0</v>
      </c>
      <c r="ID52" s="507">
        <v>0</v>
      </c>
      <c r="IE52" s="507">
        <v>0</v>
      </c>
      <c r="IF52" s="507">
        <v>0</v>
      </c>
      <c r="IG52" s="507">
        <v>0</v>
      </c>
      <c r="IH52" s="571">
        <v>0</v>
      </c>
    </row>
    <row r="53" spans="1:242" s="503" customFormat="1" ht="15.95" customHeight="1" x14ac:dyDescent="0.2">
      <c r="A53" s="527" t="s">
        <v>541</v>
      </c>
      <c r="B53" s="527">
        <v>30</v>
      </c>
      <c r="D53" s="590" t="s">
        <v>542</v>
      </c>
      <c r="E53" s="528" t="s">
        <v>541</v>
      </c>
      <c r="F53" s="508">
        <v>31.998799999999999</v>
      </c>
      <c r="G53" s="505">
        <v>-297.331594</v>
      </c>
      <c r="H53" s="507">
        <v>44930.51</v>
      </c>
      <c r="I53" s="507">
        <v>0</v>
      </c>
      <c r="J53" s="507">
        <v>0</v>
      </c>
      <c r="K53" s="507">
        <v>57945.68</v>
      </c>
      <c r="L53" s="507">
        <v>102876.2</v>
      </c>
      <c r="M53" s="507">
        <v>58061.86</v>
      </c>
      <c r="N53" s="507">
        <v>39402</v>
      </c>
      <c r="O53" s="507">
        <v>0</v>
      </c>
      <c r="P53" s="507">
        <v>39382</v>
      </c>
      <c r="Q53" s="507">
        <v>39382</v>
      </c>
      <c r="R53" s="507">
        <v>19.999999999997392</v>
      </c>
      <c r="S53" s="507">
        <v>19.999999999997392</v>
      </c>
      <c r="T53" s="507">
        <v>0</v>
      </c>
      <c r="U53" s="507">
        <v>3.1998999739238967E-4</v>
      </c>
      <c r="V53" s="507">
        <v>3.1998999739238967E-4</v>
      </c>
      <c r="W53" s="507">
        <v>0</v>
      </c>
      <c r="X53" s="507">
        <v>0</v>
      </c>
      <c r="Y53" s="507">
        <v>0</v>
      </c>
      <c r="Z53" s="507">
        <v>0</v>
      </c>
      <c r="AA53" s="507">
        <v>0</v>
      </c>
      <c r="AB53" s="507">
        <v>0</v>
      </c>
      <c r="AC53" s="507">
        <v>0</v>
      </c>
      <c r="AD53" s="507">
        <v>20</v>
      </c>
      <c r="AE53" s="507">
        <v>3.1998999739238967E-4</v>
      </c>
      <c r="AF53" s="507">
        <v>116.16</v>
      </c>
      <c r="AG53" s="507">
        <v>57965.98</v>
      </c>
      <c r="AH53" s="507">
        <v>57945.68</v>
      </c>
      <c r="AI53" s="507">
        <v>58123.49</v>
      </c>
      <c r="AJ53" s="507">
        <v>0</v>
      </c>
      <c r="AK53" s="507">
        <v>58082.15</v>
      </c>
      <c r="AL53" s="507">
        <v>20.91</v>
      </c>
      <c r="AM53" s="507">
        <v>41.13</v>
      </c>
      <c r="AN53" s="507">
        <v>0.21</v>
      </c>
      <c r="AO53" s="507">
        <v>41.2</v>
      </c>
      <c r="AP53" s="507">
        <v>0</v>
      </c>
      <c r="AQ53" s="507">
        <v>41.2</v>
      </c>
      <c r="AR53" s="507">
        <v>0</v>
      </c>
      <c r="AS53" s="507">
        <v>0</v>
      </c>
      <c r="AT53" s="507">
        <v>0</v>
      </c>
      <c r="AU53" s="507">
        <v>41.2</v>
      </c>
      <c r="AV53" s="507">
        <v>0.11</v>
      </c>
      <c r="AW53" s="507">
        <v>0</v>
      </c>
      <c r="AX53" s="507">
        <v>0.11</v>
      </c>
      <c r="AY53" s="507">
        <v>0</v>
      </c>
      <c r="AZ53" s="507">
        <v>41.33</v>
      </c>
      <c r="BA53" s="507">
        <v>7.0000000000000007E-2</v>
      </c>
      <c r="BB53" s="507">
        <v>82.17</v>
      </c>
      <c r="BC53" s="507">
        <v>61.63</v>
      </c>
      <c r="BD53" s="507">
        <v>0</v>
      </c>
      <c r="BE53" s="507">
        <v>0</v>
      </c>
      <c r="BF53" s="507">
        <v>0.21</v>
      </c>
      <c r="BG53" s="507">
        <v>0</v>
      </c>
      <c r="BH53" s="507">
        <v>0</v>
      </c>
      <c r="BI53" s="507">
        <v>0</v>
      </c>
      <c r="BJ53" s="507">
        <v>0</v>
      </c>
      <c r="BK53" s="507">
        <v>0</v>
      </c>
      <c r="BL53" s="507">
        <v>0</v>
      </c>
      <c r="BM53" s="507">
        <v>102876.2</v>
      </c>
      <c r="BN53" s="507">
        <v>102873.5</v>
      </c>
      <c r="BO53" s="507">
        <v>58061.86</v>
      </c>
      <c r="BP53" s="507">
        <v>58061.86</v>
      </c>
      <c r="BQ53" s="507">
        <v>58061.86</v>
      </c>
      <c r="BR53" s="507">
        <v>41.2</v>
      </c>
      <c r="BS53" s="507">
        <v>41.2</v>
      </c>
      <c r="BT53" s="507">
        <v>58123.49</v>
      </c>
      <c r="BU53" s="507">
        <v>0</v>
      </c>
      <c r="BV53" s="507">
        <v>0</v>
      </c>
      <c r="BW53" s="507">
        <v>41.2</v>
      </c>
      <c r="BX53" s="507">
        <v>0</v>
      </c>
      <c r="BY53" s="507">
        <v>20.7</v>
      </c>
      <c r="BZ53" s="507">
        <v>20.7</v>
      </c>
      <c r="CA53" s="507">
        <v>0</v>
      </c>
      <c r="CB53" s="507">
        <v>0</v>
      </c>
      <c r="CC53" s="507">
        <v>41.31</v>
      </c>
      <c r="CD53" s="507">
        <v>41.31</v>
      </c>
      <c r="CE53" s="507">
        <v>41.41</v>
      </c>
      <c r="CF53" s="507">
        <v>0.22</v>
      </c>
      <c r="CG53" s="507">
        <v>0</v>
      </c>
      <c r="CH53" s="507">
        <v>0</v>
      </c>
      <c r="CI53" s="507">
        <v>0</v>
      </c>
      <c r="CJ53" s="507">
        <v>0</v>
      </c>
      <c r="CK53" s="507">
        <v>40.840000000000003</v>
      </c>
      <c r="CL53" s="507">
        <v>40.840000000000003</v>
      </c>
      <c r="CM53" s="507">
        <v>82.17</v>
      </c>
      <c r="CN53" s="507">
        <v>82.17</v>
      </c>
      <c r="CO53" s="507">
        <v>0.21</v>
      </c>
      <c r="CP53" s="507">
        <v>0</v>
      </c>
      <c r="CQ53" s="507">
        <v>0</v>
      </c>
      <c r="CR53" s="507">
        <v>0</v>
      </c>
      <c r="CS53" s="507">
        <v>0</v>
      </c>
      <c r="CT53" s="507">
        <v>0</v>
      </c>
      <c r="CU53" s="507">
        <v>0</v>
      </c>
      <c r="CV53" s="507">
        <v>0</v>
      </c>
      <c r="CW53" s="507">
        <v>0</v>
      </c>
      <c r="CX53" s="507">
        <v>0</v>
      </c>
      <c r="CY53" s="507">
        <v>0</v>
      </c>
      <c r="CZ53" s="507">
        <v>0</v>
      </c>
      <c r="DA53" s="507">
        <v>0</v>
      </c>
      <c r="DB53" s="507">
        <v>0</v>
      </c>
      <c r="DC53" s="507">
        <v>0</v>
      </c>
      <c r="DD53" s="507">
        <v>0</v>
      </c>
      <c r="DE53" s="507">
        <v>0</v>
      </c>
      <c r="DF53" s="507">
        <v>0</v>
      </c>
      <c r="DG53" s="507">
        <v>0</v>
      </c>
      <c r="DH53" s="507">
        <v>0</v>
      </c>
      <c r="DI53" s="507" t="s">
        <v>668</v>
      </c>
      <c r="DJ53" s="507">
        <v>0</v>
      </c>
      <c r="DK53" s="507">
        <v>0</v>
      </c>
      <c r="DL53" s="507">
        <v>57965.98</v>
      </c>
      <c r="DM53" s="507">
        <v>82.17</v>
      </c>
      <c r="DN53" s="507">
        <v>82.17</v>
      </c>
      <c r="DO53" s="507">
        <v>0</v>
      </c>
      <c r="DP53" s="507">
        <v>0</v>
      </c>
      <c r="DQ53" s="507">
        <v>20.7</v>
      </c>
      <c r="DR53" s="507">
        <v>20.7</v>
      </c>
      <c r="DS53" s="507">
        <v>0.12</v>
      </c>
      <c r="DT53" s="507">
        <v>0</v>
      </c>
      <c r="DU53" s="507">
        <v>0</v>
      </c>
      <c r="DV53" s="507">
        <v>7.0000000000000007E-2</v>
      </c>
      <c r="DW53" s="507">
        <v>0</v>
      </c>
      <c r="DX53" s="507">
        <v>0</v>
      </c>
      <c r="DY53" s="507">
        <v>0</v>
      </c>
      <c r="DZ53" s="507">
        <v>0</v>
      </c>
      <c r="EA53" s="507">
        <v>0</v>
      </c>
      <c r="EB53" s="507">
        <v>0</v>
      </c>
      <c r="EC53" s="507">
        <v>0</v>
      </c>
      <c r="ED53" s="507">
        <v>0</v>
      </c>
      <c r="EE53" s="507">
        <v>39.26</v>
      </c>
      <c r="EF53" s="507">
        <v>0</v>
      </c>
      <c r="EG53" s="507">
        <v>0.04</v>
      </c>
      <c r="EH53" s="507">
        <v>0</v>
      </c>
      <c r="EI53" s="507">
        <v>0</v>
      </c>
      <c r="EJ53" s="507">
        <v>0</v>
      </c>
      <c r="EK53" s="507">
        <v>0</v>
      </c>
      <c r="EL53" s="507">
        <v>0</v>
      </c>
      <c r="EM53" s="507">
        <v>0</v>
      </c>
      <c r="EN53" s="507">
        <v>0</v>
      </c>
      <c r="EO53" s="507">
        <v>0</v>
      </c>
      <c r="EP53" s="507">
        <v>0</v>
      </c>
      <c r="EQ53" s="507">
        <v>0</v>
      </c>
      <c r="ER53" s="507">
        <v>0</v>
      </c>
      <c r="ES53" s="507">
        <v>0</v>
      </c>
      <c r="ET53" s="507">
        <v>0.21</v>
      </c>
      <c r="EU53" s="507">
        <v>0</v>
      </c>
      <c r="EV53" s="507">
        <v>0</v>
      </c>
      <c r="EW53" s="507">
        <v>0</v>
      </c>
      <c r="EX53" s="507">
        <v>0</v>
      </c>
      <c r="EY53" s="507">
        <v>0</v>
      </c>
      <c r="EZ53" s="507">
        <v>0</v>
      </c>
      <c r="FA53" s="507">
        <v>0</v>
      </c>
      <c r="FB53" s="507">
        <v>0</v>
      </c>
      <c r="FC53" s="507">
        <v>0</v>
      </c>
      <c r="FD53" s="507">
        <v>0</v>
      </c>
      <c r="FE53" s="507">
        <v>0</v>
      </c>
      <c r="FF53" s="507">
        <v>0</v>
      </c>
      <c r="FG53" s="507">
        <v>57945.68</v>
      </c>
      <c r="FH53" s="507">
        <v>57945.68</v>
      </c>
      <c r="FI53" s="507">
        <v>102876.2</v>
      </c>
      <c r="FJ53" s="507">
        <v>51438.1</v>
      </c>
      <c r="FK53" s="507">
        <v>51438.1</v>
      </c>
      <c r="FL53" s="507">
        <v>51438.1</v>
      </c>
      <c r="FM53" s="507">
        <v>51438.1</v>
      </c>
      <c r="FN53" s="507">
        <v>51438.1</v>
      </c>
      <c r="FO53" s="507">
        <v>57965.98</v>
      </c>
      <c r="FP53" s="507">
        <v>14491.5</v>
      </c>
      <c r="FQ53" s="507">
        <v>14491.5</v>
      </c>
      <c r="FR53" s="507">
        <v>43474.49</v>
      </c>
      <c r="FS53" s="507">
        <v>43474.49</v>
      </c>
      <c r="FT53" s="507">
        <v>57945.68</v>
      </c>
      <c r="FU53" s="507">
        <v>39.26</v>
      </c>
      <c r="FV53" s="507">
        <v>0.04</v>
      </c>
      <c r="FW53" s="507">
        <v>0.01</v>
      </c>
      <c r="FX53" s="507" t="s">
        <v>668</v>
      </c>
      <c r="FY53" s="507">
        <v>0.01</v>
      </c>
      <c r="FZ53" s="507">
        <v>0.09</v>
      </c>
      <c r="GA53" s="507">
        <v>0</v>
      </c>
      <c r="GB53" s="507">
        <v>0.09</v>
      </c>
      <c r="GC53" s="507">
        <v>0</v>
      </c>
      <c r="GD53" s="507" t="s">
        <v>668</v>
      </c>
      <c r="GE53" s="507">
        <v>0</v>
      </c>
      <c r="GF53" s="507">
        <v>0</v>
      </c>
      <c r="GG53" s="507" t="s">
        <v>668</v>
      </c>
      <c r="GH53" s="507">
        <v>0</v>
      </c>
      <c r="GI53" s="507">
        <v>39396.57</v>
      </c>
      <c r="GJ53" s="507">
        <v>102873.5</v>
      </c>
      <c r="GK53" s="507">
        <v>102861</v>
      </c>
      <c r="GL53" s="507">
        <v>58061.86</v>
      </c>
      <c r="GM53" s="507">
        <v>58061.86</v>
      </c>
      <c r="GN53" s="507">
        <v>58123.49</v>
      </c>
      <c r="GO53" s="507">
        <v>18549.12</v>
      </c>
      <c r="GP53" s="507">
        <v>58123.49</v>
      </c>
      <c r="GQ53" s="507">
        <v>58123.28</v>
      </c>
      <c r="GR53" s="507">
        <v>58082.15</v>
      </c>
      <c r="GS53" s="507">
        <v>0.12</v>
      </c>
      <c r="GT53" s="507">
        <v>0</v>
      </c>
      <c r="GU53" s="507">
        <v>41.21</v>
      </c>
      <c r="GV53" s="507">
        <v>0</v>
      </c>
      <c r="GW53" s="507">
        <v>0</v>
      </c>
      <c r="GX53" s="507">
        <v>0</v>
      </c>
      <c r="GY53" s="507">
        <v>41.33</v>
      </c>
      <c r="GZ53" s="507">
        <v>82.17</v>
      </c>
      <c r="HA53" s="507">
        <v>0</v>
      </c>
      <c r="HB53" s="507">
        <v>0</v>
      </c>
      <c r="HC53" s="507">
        <v>20.54</v>
      </c>
      <c r="HD53" s="507">
        <v>0</v>
      </c>
      <c r="HE53" s="507">
        <v>0</v>
      </c>
      <c r="HF53" s="507">
        <v>0</v>
      </c>
      <c r="HG53" s="507">
        <v>0</v>
      </c>
      <c r="HH53" s="507">
        <v>0</v>
      </c>
      <c r="HI53" s="507">
        <v>0</v>
      </c>
      <c r="HJ53" s="507">
        <v>0</v>
      </c>
      <c r="HK53" s="507">
        <v>0</v>
      </c>
      <c r="HL53" s="507">
        <v>41.31</v>
      </c>
      <c r="HM53" s="507">
        <v>41.44</v>
      </c>
      <c r="HN53" s="507">
        <v>0.22</v>
      </c>
      <c r="HO53" s="507">
        <v>0</v>
      </c>
      <c r="HP53" s="507">
        <v>0</v>
      </c>
      <c r="HQ53" s="507">
        <v>0</v>
      </c>
      <c r="HR53" s="507">
        <v>0</v>
      </c>
      <c r="HS53" s="507">
        <v>220.46</v>
      </c>
      <c r="HT53" s="507">
        <v>220.46</v>
      </c>
      <c r="HU53" s="507">
        <v>0</v>
      </c>
      <c r="HV53" s="507">
        <v>0.1</v>
      </c>
      <c r="HW53" s="507">
        <v>41.2</v>
      </c>
      <c r="HX53" s="507">
        <v>41.2</v>
      </c>
      <c r="HY53" s="507">
        <v>41.2</v>
      </c>
      <c r="HZ53" s="507">
        <v>41.2</v>
      </c>
      <c r="IA53" s="507">
        <v>0</v>
      </c>
      <c r="IB53" s="507">
        <v>0</v>
      </c>
      <c r="IC53" s="507">
        <v>0</v>
      </c>
      <c r="ID53" s="507">
        <v>0</v>
      </c>
      <c r="IE53" s="507">
        <v>0</v>
      </c>
      <c r="IF53" s="507">
        <v>0</v>
      </c>
      <c r="IG53" s="507">
        <v>0</v>
      </c>
      <c r="IH53" s="571">
        <v>0</v>
      </c>
    </row>
    <row r="54" spans="1:242" s="503" customFormat="1" ht="15.95" customHeight="1" x14ac:dyDescent="0.2">
      <c r="A54" s="527" t="s">
        <v>543</v>
      </c>
      <c r="B54" s="527">
        <v>31</v>
      </c>
      <c r="D54" s="590" t="s">
        <v>431</v>
      </c>
      <c r="E54" s="528" t="s">
        <v>543</v>
      </c>
      <c r="F54" s="508">
        <v>16.042760000000001</v>
      </c>
      <c r="G54" s="505">
        <v>-258.68199399999997</v>
      </c>
      <c r="H54" s="507">
        <v>0</v>
      </c>
      <c r="I54" s="507">
        <v>12.18</v>
      </c>
      <c r="J54" s="507">
        <v>665</v>
      </c>
      <c r="K54" s="507">
        <v>342276.4</v>
      </c>
      <c r="L54" s="507">
        <v>342276.4</v>
      </c>
      <c r="M54" s="507">
        <v>342285.7</v>
      </c>
      <c r="N54" s="507">
        <v>232939</v>
      </c>
      <c r="O54" s="507">
        <v>0</v>
      </c>
      <c r="P54" s="507">
        <v>232660</v>
      </c>
      <c r="Q54" s="507">
        <v>232660</v>
      </c>
      <c r="R54" s="507">
        <v>278.99999999998971</v>
      </c>
      <c r="S54" s="507">
        <v>278.99999999998971</v>
      </c>
      <c r="T54" s="507">
        <v>0</v>
      </c>
      <c r="U54" s="507">
        <v>1.6042998974068662E-4</v>
      </c>
      <c r="V54" s="507">
        <v>1.6042998974068662E-4</v>
      </c>
      <c r="W54" s="507">
        <v>0</v>
      </c>
      <c r="X54" s="507">
        <v>0</v>
      </c>
      <c r="Y54" s="507">
        <v>0</v>
      </c>
      <c r="Z54" s="507">
        <v>0</v>
      </c>
      <c r="AA54" s="507">
        <v>0</v>
      </c>
      <c r="AB54" s="507">
        <v>0</v>
      </c>
      <c r="AC54" s="507">
        <v>0</v>
      </c>
      <c r="AD54" s="507">
        <v>944</v>
      </c>
      <c r="AE54" s="507">
        <v>1.6042998974068662E-4</v>
      </c>
      <c r="AF54" s="507">
        <v>686.46</v>
      </c>
      <c r="AG54" s="507">
        <v>342543.6</v>
      </c>
      <c r="AH54" s="507">
        <v>342264.2</v>
      </c>
      <c r="AI54" s="507">
        <v>343489.8</v>
      </c>
      <c r="AJ54" s="507">
        <v>0</v>
      </c>
      <c r="AK54" s="507">
        <v>343230.1</v>
      </c>
      <c r="AL54" s="507">
        <v>131.06</v>
      </c>
      <c r="AM54" s="507">
        <v>258.42</v>
      </c>
      <c r="AN54" s="507">
        <v>1.32</v>
      </c>
      <c r="AO54" s="507">
        <v>258.92</v>
      </c>
      <c r="AP54" s="507">
        <v>0</v>
      </c>
      <c r="AQ54" s="507">
        <v>258.92</v>
      </c>
      <c r="AR54" s="507">
        <v>0</v>
      </c>
      <c r="AS54" s="507">
        <v>0</v>
      </c>
      <c r="AT54" s="507">
        <v>0</v>
      </c>
      <c r="AU54" s="507">
        <v>258.92</v>
      </c>
      <c r="AV54" s="507">
        <v>1.1000000000000001</v>
      </c>
      <c r="AW54" s="507">
        <v>0</v>
      </c>
      <c r="AX54" s="507">
        <v>1.1000000000000001</v>
      </c>
      <c r="AY54" s="507">
        <v>0</v>
      </c>
      <c r="AZ54" s="507">
        <v>259.72000000000003</v>
      </c>
      <c r="BA54" s="507">
        <v>0.49</v>
      </c>
      <c r="BB54" s="507">
        <v>1605.52</v>
      </c>
      <c r="BC54" s="507">
        <v>1204.1400000000001</v>
      </c>
      <c r="BD54" s="507">
        <v>0</v>
      </c>
      <c r="BE54" s="507">
        <v>0</v>
      </c>
      <c r="BF54" s="507">
        <v>1.29</v>
      </c>
      <c r="BG54" s="507">
        <v>0.03</v>
      </c>
      <c r="BH54" s="507">
        <v>0.03</v>
      </c>
      <c r="BI54" s="507">
        <v>0.03</v>
      </c>
      <c r="BJ54" s="507">
        <v>0</v>
      </c>
      <c r="BK54" s="507">
        <v>0</v>
      </c>
      <c r="BL54" s="507">
        <v>0</v>
      </c>
      <c r="BM54" s="507">
        <v>342276.4</v>
      </c>
      <c r="BN54" s="507">
        <v>342277.8</v>
      </c>
      <c r="BO54" s="507">
        <v>342285.7</v>
      </c>
      <c r="BP54" s="507">
        <v>342285.7</v>
      </c>
      <c r="BQ54" s="507">
        <v>342285.7</v>
      </c>
      <c r="BR54" s="507">
        <v>258.92</v>
      </c>
      <c r="BS54" s="507">
        <v>258.92</v>
      </c>
      <c r="BT54" s="507">
        <v>343489.8</v>
      </c>
      <c r="BU54" s="507">
        <v>0</v>
      </c>
      <c r="BV54" s="507">
        <v>0</v>
      </c>
      <c r="BW54" s="507">
        <v>258.92</v>
      </c>
      <c r="BX54" s="507">
        <v>0</v>
      </c>
      <c r="BY54" s="507">
        <v>129.74</v>
      </c>
      <c r="BZ54" s="507">
        <v>129.74</v>
      </c>
      <c r="CA54" s="507">
        <v>0</v>
      </c>
      <c r="CB54" s="507">
        <v>0</v>
      </c>
      <c r="CC54" s="507">
        <v>260.02</v>
      </c>
      <c r="CD54" s="507">
        <v>260.02</v>
      </c>
      <c r="CE54" s="507">
        <v>262.04000000000002</v>
      </c>
      <c r="CF54" s="507">
        <v>3.13</v>
      </c>
      <c r="CG54" s="507">
        <v>0</v>
      </c>
      <c r="CH54" s="507">
        <v>0</v>
      </c>
      <c r="CI54" s="507">
        <v>0</v>
      </c>
      <c r="CJ54" s="507">
        <v>0</v>
      </c>
      <c r="CK54" s="507">
        <v>1345.81</v>
      </c>
      <c r="CL54" s="507">
        <v>1345.81</v>
      </c>
      <c r="CM54" s="507">
        <v>1605.53</v>
      </c>
      <c r="CN54" s="507">
        <v>1605.53</v>
      </c>
      <c r="CO54" s="507">
        <v>1.32</v>
      </c>
      <c r="CP54" s="507">
        <v>0.03</v>
      </c>
      <c r="CQ54" s="507">
        <v>0.03</v>
      </c>
      <c r="CR54" s="507">
        <v>0.03</v>
      </c>
      <c r="CS54" s="507">
        <v>0.03</v>
      </c>
      <c r="CT54" s="507">
        <v>0</v>
      </c>
      <c r="CU54" s="507">
        <v>0</v>
      </c>
      <c r="CV54" s="507">
        <v>0</v>
      </c>
      <c r="CW54" s="507">
        <v>0</v>
      </c>
      <c r="CX54" s="507">
        <v>0.03</v>
      </c>
      <c r="CY54" s="507">
        <v>0</v>
      </c>
      <c r="CZ54" s="507">
        <v>0</v>
      </c>
      <c r="DA54" s="507">
        <v>0</v>
      </c>
      <c r="DB54" s="507">
        <v>0</v>
      </c>
      <c r="DC54" s="507">
        <v>0</v>
      </c>
      <c r="DD54" s="507">
        <v>0</v>
      </c>
      <c r="DE54" s="507">
        <v>0</v>
      </c>
      <c r="DF54" s="507">
        <v>0</v>
      </c>
      <c r="DG54" s="507">
        <v>0</v>
      </c>
      <c r="DH54" s="507">
        <v>0</v>
      </c>
      <c r="DI54" s="507" t="s">
        <v>668</v>
      </c>
      <c r="DJ54" s="507">
        <v>0</v>
      </c>
      <c r="DK54" s="507">
        <v>0</v>
      </c>
      <c r="DL54" s="507">
        <v>342543.6</v>
      </c>
      <c r="DM54" s="507">
        <v>1605.53</v>
      </c>
      <c r="DN54" s="507">
        <v>1605.52</v>
      </c>
      <c r="DO54" s="507">
        <v>0</v>
      </c>
      <c r="DP54" s="507">
        <v>0</v>
      </c>
      <c r="DQ54" s="507">
        <v>129.74</v>
      </c>
      <c r="DR54" s="507">
        <v>129.74</v>
      </c>
      <c r="DS54" s="507">
        <v>1.1000000000000001</v>
      </c>
      <c r="DT54" s="507">
        <v>0</v>
      </c>
      <c r="DU54" s="507">
        <v>0</v>
      </c>
      <c r="DV54" s="507">
        <v>0.49</v>
      </c>
      <c r="DW54" s="507">
        <v>0.03</v>
      </c>
      <c r="DX54" s="507">
        <v>0</v>
      </c>
      <c r="DY54" s="507">
        <v>0</v>
      </c>
      <c r="DZ54" s="507">
        <v>0</v>
      </c>
      <c r="EA54" s="507">
        <v>0</v>
      </c>
      <c r="EB54" s="507">
        <v>0</v>
      </c>
      <c r="EC54" s="507">
        <v>0</v>
      </c>
      <c r="ED54" s="507">
        <v>0</v>
      </c>
      <c r="EE54" s="507">
        <v>246.16</v>
      </c>
      <c r="EF54" s="507">
        <v>0</v>
      </c>
      <c r="EG54" s="507">
        <v>0.25</v>
      </c>
      <c r="EH54" s="507">
        <v>0</v>
      </c>
      <c r="EI54" s="507">
        <v>0</v>
      </c>
      <c r="EJ54" s="507">
        <v>0</v>
      </c>
      <c r="EK54" s="507">
        <v>0</v>
      </c>
      <c r="EL54" s="507">
        <v>0</v>
      </c>
      <c r="EM54" s="507">
        <v>0</v>
      </c>
      <c r="EN54" s="507">
        <v>0</v>
      </c>
      <c r="EO54" s="507">
        <v>0</v>
      </c>
      <c r="EP54" s="507">
        <v>0</v>
      </c>
      <c r="EQ54" s="507">
        <v>0</v>
      </c>
      <c r="ER54" s="507">
        <v>0</v>
      </c>
      <c r="ES54" s="507">
        <v>0</v>
      </c>
      <c r="ET54" s="507">
        <v>1.32</v>
      </c>
      <c r="EU54" s="507">
        <v>0</v>
      </c>
      <c r="EV54" s="507">
        <v>12.17</v>
      </c>
      <c r="EW54" s="507">
        <v>3.04</v>
      </c>
      <c r="EX54" s="507">
        <v>3.04</v>
      </c>
      <c r="EY54" s="507">
        <v>3.04</v>
      </c>
      <c r="EZ54" s="507">
        <v>3.04</v>
      </c>
      <c r="FA54" s="507">
        <v>3.04</v>
      </c>
      <c r="FB54" s="507">
        <v>3.04</v>
      </c>
      <c r="FC54" s="507">
        <v>6.09</v>
      </c>
      <c r="FD54" s="507">
        <v>6.09</v>
      </c>
      <c r="FE54" s="507">
        <v>665.03</v>
      </c>
      <c r="FF54" s="507">
        <v>665.03</v>
      </c>
      <c r="FG54" s="507">
        <v>342270.3</v>
      </c>
      <c r="FH54" s="507">
        <v>342270.3</v>
      </c>
      <c r="FI54" s="507">
        <v>342276.4</v>
      </c>
      <c r="FJ54" s="507">
        <v>171138.2</v>
      </c>
      <c r="FK54" s="507">
        <v>171138.2</v>
      </c>
      <c r="FL54" s="507">
        <v>171138.2</v>
      </c>
      <c r="FM54" s="507">
        <v>171138.2</v>
      </c>
      <c r="FN54" s="507">
        <v>171138.2</v>
      </c>
      <c r="FO54" s="507">
        <v>342543.6</v>
      </c>
      <c r="FP54" s="507">
        <v>85635.91</v>
      </c>
      <c r="FQ54" s="507">
        <v>85635.91</v>
      </c>
      <c r="FR54" s="507">
        <v>256907.7</v>
      </c>
      <c r="FS54" s="507">
        <v>256907.7</v>
      </c>
      <c r="FT54" s="507">
        <v>342264.2</v>
      </c>
      <c r="FU54" s="507">
        <v>246.16</v>
      </c>
      <c r="FV54" s="507">
        <v>0.25</v>
      </c>
      <c r="FW54" s="507">
        <v>0.11</v>
      </c>
      <c r="FX54" s="507" t="s">
        <v>668</v>
      </c>
      <c r="FY54" s="507">
        <v>0.11</v>
      </c>
      <c r="FZ54" s="507">
        <v>0.59</v>
      </c>
      <c r="GA54" s="507">
        <v>0</v>
      </c>
      <c r="GB54" s="507">
        <v>0.59</v>
      </c>
      <c r="GC54" s="507">
        <v>0</v>
      </c>
      <c r="GD54" s="507" t="s">
        <v>668</v>
      </c>
      <c r="GE54" s="507">
        <v>0</v>
      </c>
      <c r="GF54" s="507">
        <v>0</v>
      </c>
      <c r="GG54" s="507" t="s">
        <v>668</v>
      </c>
      <c r="GH54" s="507">
        <v>0</v>
      </c>
      <c r="GI54" s="507">
        <v>232650.3</v>
      </c>
      <c r="GJ54" s="507">
        <v>342285.7</v>
      </c>
      <c r="GK54" s="507">
        <v>342285.7</v>
      </c>
      <c r="GL54" s="507">
        <v>342285.7</v>
      </c>
      <c r="GM54" s="507">
        <v>342285.7</v>
      </c>
      <c r="GN54" s="507">
        <v>343489.8</v>
      </c>
      <c r="GO54" s="507">
        <v>109614</v>
      </c>
      <c r="GP54" s="507">
        <v>343489.8</v>
      </c>
      <c r="GQ54" s="507">
        <v>343488.5</v>
      </c>
      <c r="GR54" s="507">
        <v>343230.1</v>
      </c>
      <c r="GS54" s="507">
        <v>1.1000000000000001</v>
      </c>
      <c r="GT54" s="507">
        <v>0</v>
      </c>
      <c r="GU54" s="507">
        <v>259.05</v>
      </c>
      <c r="GV54" s="507">
        <v>0</v>
      </c>
      <c r="GW54" s="507">
        <v>0</v>
      </c>
      <c r="GX54" s="507">
        <v>0</v>
      </c>
      <c r="GY54" s="507">
        <v>259.72000000000003</v>
      </c>
      <c r="GZ54" s="507">
        <v>1605.53</v>
      </c>
      <c r="HA54" s="507">
        <v>0</v>
      </c>
      <c r="HB54" s="507">
        <v>0.01</v>
      </c>
      <c r="HC54" s="507">
        <v>401.38</v>
      </c>
      <c r="HD54" s="507">
        <v>0</v>
      </c>
      <c r="HE54" s="507">
        <v>0</v>
      </c>
      <c r="HF54" s="507">
        <v>0</v>
      </c>
      <c r="HG54" s="507">
        <v>0</v>
      </c>
      <c r="HH54" s="507">
        <v>0</v>
      </c>
      <c r="HI54" s="507">
        <v>0</v>
      </c>
      <c r="HJ54" s="507">
        <v>0</v>
      </c>
      <c r="HK54" s="507">
        <v>0</v>
      </c>
      <c r="HL54" s="507">
        <v>260.02</v>
      </c>
      <c r="HM54" s="507">
        <v>262.27999999999997</v>
      </c>
      <c r="HN54" s="507">
        <v>3.23</v>
      </c>
      <c r="HO54" s="507">
        <v>0</v>
      </c>
      <c r="HP54" s="507">
        <v>0</v>
      </c>
      <c r="HQ54" s="507">
        <v>0</v>
      </c>
      <c r="HR54" s="507">
        <v>0</v>
      </c>
      <c r="HS54" s="507">
        <v>0</v>
      </c>
      <c r="HT54" s="507">
        <v>0</v>
      </c>
      <c r="HU54" s="507">
        <v>0</v>
      </c>
      <c r="HV54" s="507">
        <v>0.97</v>
      </c>
      <c r="HW54" s="507">
        <v>258.92</v>
      </c>
      <c r="HX54" s="507">
        <v>258.92</v>
      </c>
      <c r="HY54" s="507">
        <v>258.92</v>
      </c>
      <c r="HZ54" s="507">
        <v>258.92</v>
      </c>
      <c r="IA54" s="507">
        <v>0</v>
      </c>
      <c r="IB54" s="507">
        <v>0</v>
      </c>
      <c r="IC54" s="507">
        <v>0</v>
      </c>
      <c r="ID54" s="507">
        <v>0</v>
      </c>
      <c r="IE54" s="507">
        <v>0</v>
      </c>
      <c r="IF54" s="507">
        <v>0</v>
      </c>
      <c r="IG54" s="507">
        <v>0.03</v>
      </c>
      <c r="IH54" s="571">
        <v>0</v>
      </c>
    </row>
    <row r="55" spans="1:242" s="503" customFormat="1" ht="15.95" customHeight="1" x14ac:dyDescent="0.2">
      <c r="A55" s="527" t="s">
        <v>544</v>
      </c>
      <c r="B55" s="527">
        <v>32</v>
      </c>
      <c r="D55" s="590" t="s">
        <v>545</v>
      </c>
      <c r="E55" s="528" t="s">
        <v>544</v>
      </c>
      <c r="F55" s="508">
        <v>28.05376</v>
      </c>
      <c r="G55" s="505">
        <v>-154.73199500000001</v>
      </c>
      <c r="H55" s="507">
        <v>0</v>
      </c>
      <c r="I55" s="507">
        <v>42541.18</v>
      </c>
      <c r="J55" s="507">
        <v>6</v>
      </c>
      <c r="K55" s="507">
        <v>408379.8</v>
      </c>
      <c r="L55" s="507">
        <v>408379.8</v>
      </c>
      <c r="M55" s="507">
        <v>366566</v>
      </c>
      <c r="N55" s="507">
        <v>248825</v>
      </c>
      <c r="O55" s="507">
        <v>0</v>
      </c>
      <c r="P55" s="507">
        <v>248744</v>
      </c>
      <c r="Q55" s="507">
        <v>248744</v>
      </c>
      <c r="R55" s="507">
        <v>81.000000000011767</v>
      </c>
      <c r="S55" s="507">
        <v>81.000000000011767</v>
      </c>
      <c r="T55" s="507">
        <v>0</v>
      </c>
      <c r="U55" s="507">
        <v>2.805400117732624E-4</v>
      </c>
      <c r="V55" s="507">
        <v>2.805400117732624E-4</v>
      </c>
      <c r="W55" s="507">
        <v>0</v>
      </c>
      <c r="X55" s="507">
        <v>0</v>
      </c>
      <c r="Y55" s="507">
        <v>0</v>
      </c>
      <c r="Z55" s="507">
        <v>0</v>
      </c>
      <c r="AA55" s="507">
        <v>0</v>
      </c>
      <c r="AB55" s="507">
        <v>0</v>
      </c>
      <c r="AC55" s="507">
        <v>0</v>
      </c>
      <c r="AD55" s="507">
        <v>87</v>
      </c>
      <c r="AE55" s="507">
        <v>2.805400117732624E-4</v>
      </c>
      <c r="AF55" s="507">
        <v>733.31</v>
      </c>
      <c r="AG55" s="507">
        <v>365919.2</v>
      </c>
      <c r="AH55" s="507">
        <v>365838.7</v>
      </c>
      <c r="AI55" s="507">
        <v>367529.1</v>
      </c>
      <c r="AJ55" s="507">
        <v>0</v>
      </c>
      <c r="AK55" s="507">
        <v>366652.6</v>
      </c>
      <c r="AL55" s="507">
        <v>440.45</v>
      </c>
      <c r="AM55" s="507">
        <v>872.09</v>
      </c>
      <c r="AN55" s="507">
        <v>4.43</v>
      </c>
      <c r="AO55" s="507">
        <v>877.65</v>
      </c>
      <c r="AP55" s="507">
        <v>0</v>
      </c>
      <c r="AQ55" s="507">
        <v>877.65</v>
      </c>
      <c r="AR55" s="507">
        <v>0</v>
      </c>
      <c r="AS55" s="507">
        <v>0</v>
      </c>
      <c r="AT55" s="507">
        <v>0</v>
      </c>
      <c r="AU55" s="507">
        <v>877.61</v>
      </c>
      <c r="AV55" s="507">
        <v>14.2</v>
      </c>
      <c r="AW55" s="507">
        <v>0</v>
      </c>
      <c r="AX55" s="507">
        <v>14.16</v>
      </c>
      <c r="AY55" s="507">
        <v>0.05</v>
      </c>
      <c r="AZ55" s="507">
        <v>876.23</v>
      </c>
      <c r="BA55" s="507">
        <v>5.56</v>
      </c>
      <c r="BB55" s="507">
        <v>1284.07</v>
      </c>
      <c r="BC55" s="507">
        <v>963.05</v>
      </c>
      <c r="BD55" s="507">
        <v>0</v>
      </c>
      <c r="BE55" s="507">
        <v>0</v>
      </c>
      <c r="BF55" s="507">
        <v>4.17</v>
      </c>
      <c r="BG55" s="507">
        <v>0.26</v>
      </c>
      <c r="BH55" s="507">
        <v>0.26</v>
      </c>
      <c r="BI55" s="507">
        <v>0.26</v>
      </c>
      <c r="BJ55" s="507">
        <v>0</v>
      </c>
      <c r="BK55" s="507">
        <v>0</v>
      </c>
      <c r="BL55" s="507">
        <v>0</v>
      </c>
      <c r="BM55" s="507">
        <v>408379.8</v>
      </c>
      <c r="BN55" s="507">
        <v>408379.8</v>
      </c>
      <c r="BO55" s="507">
        <v>366566</v>
      </c>
      <c r="BP55" s="507">
        <v>366566</v>
      </c>
      <c r="BQ55" s="507">
        <v>366566</v>
      </c>
      <c r="BR55" s="507">
        <v>877.65</v>
      </c>
      <c r="BS55" s="507">
        <v>877.65</v>
      </c>
      <c r="BT55" s="507">
        <v>367529.1</v>
      </c>
      <c r="BU55" s="507">
        <v>0</v>
      </c>
      <c r="BV55" s="507">
        <v>0</v>
      </c>
      <c r="BW55" s="507">
        <v>877.65</v>
      </c>
      <c r="BX55" s="507">
        <v>0</v>
      </c>
      <c r="BY55" s="507">
        <v>436.03</v>
      </c>
      <c r="BZ55" s="507">
        <v>436.03</v>
      </c>
      <c r="CA55" s="507">
        <v>0</v>
      </c>
      <c r="CB55" s="507">
        <v>0</v>
      </c>
      <c r="CC55" s="507">
        <v>891.81</v>
      </c>
      <c r="CD55" s="507">
        <v>891.81</v>
      </c>
      <c r="CE55" s="507">
        <v>925.07</v>
      </c>
      <c r="CF55" s="507">
        <v>47.46</v>
      </c>
      <c r="CG55" s="507">
        <v>0</v>
      </c>
      <c r="CH55" s="507">
        <v>0</v>
      </c>
      <c r="CI55" s="507">
        <v>0</v>
      </c>
      <c r="CJ55" s="507">
        <v>0</v>
      </c>
      <c r="CK55" s="507">
        <v>407.86</v>
      </c>
      <c r="CL55" s="507">
        <v>407.86</v>
      </c>
      <c r="CM55" s="507">
        <v>1284.08</v>
      </c>
      <c r="CN55" s="507">
        <v>1284.08</v>
      </c>
      <c r="CO55" s="507">
        <v>4.43</v>
      </c>
      <c r="CP55" s="507">
        <v>0.26</v>
      </c>
      <c r="CQ55" s="507">
        <v>0.26</v>
      </c>
      <c r="CR55" s="507">
        <v>0.26</v>
      </c>
      <c r="CS55" s="507">
        <v>0.26</v>
      </c>
      <c r="CT55" s="507">
        <v>0</v>
      </c>
      <c r="CU55" s="507">
        <v>0</v>
      </c>
      <c r="CV55" s="507">
        <v>0</v>
      </c>
      <c r="CW55" s="507">
        <v>0</v>
      </c>
      <c r="CX55" s="507">
        <v>0.26</v>
      </c>
      <c r="CY55" s="507">
        <v>0</v>
      </c>
      <c r="CZ55" s="507">
        <v>0</v>
      </c>
      <c r="DA55" s="507">
        <v>0.04</v>
      </c>
      <c r="DB55" s="507">
        <v>0.04</v>
      </c>
      <c r="DC55" s="507">
        <v>0</v>
      </c>
      <c r="DD55" s="507">
        <v>0</v>
      </c>
      <c r="DE55" s="507">
        <v>0</v>
      </c>
      <c r="DF55" s="507">
        <v>0</v>
      </c>
      <c r="DG55" s="507">
        <v>0</v>
      </c>
      <c r="DH55" s="507">
        <v>0</v>
      </c>
      <c r="DI55" s="507" t="s">
        <v>668</v>
      </c>
      <c r="DJ55" s="507">
        <v>0</v>
      </c>
      <c r="DK55" s="507">
        <v>0</v>
      </c>
      <c r="DL55" s="507">
        <v>365919.2</v>
      </c>
      <c r="DM55" s="507">
        <v>1284.08</v>
      </c>
      <c r="DN55" s="507">
        <v>1284.07</v>
      </c>
      <c r="DO55" s="507">
        <v>0</v>
      </c>
      <c r="DP55" s="507">
        <v>0</v>
      </c>
      <c r="DQ55" s="507">
        <v>436.02</v>
      </c>
      <c r="DR55" s="507">
        <v>436.02</v>
      </c>
      <c r="DS55" s="507">
        <v>14.2</v>
      </c>
      <c r="DT55" s="507">
        <v>0</v>
      </c>
      <c r="DU55" s="507">
        <v>0.05</v>
      </c>
      <c r="DV55" s="507">
        <v>5.56</v>
      </c>
      <c r="DW55" s="507">
        <v>0.26</v>
      </c>
      <c r="DX55" s="507">
        <v>0</v>
      </c>
      <c r="DY55" s="507">
        <v>0</v>
      </c>
      <c r="DZ55" s="507">
        <v>0</v>
      </c>
      <c r="EA55" s="507">
        <v>0</v>
      </c>
      <c r="EB55" s="507">
        <v>0.04</v>
      </c>
      <c r="EC55" s="507">
        <v>0</v>
      </c>
      <c r="ED55" s="507">
        <v>0.02</v>
      </c>
      <c r="EE55" s="507">
        <v>836.3</v>
      </c>
      <c r="EF55" s="507">
        <v>0</v>
      </c>
      <c r="EG55" s="507">
        <v>2.38</v>
      </c>
      <c r="EH55" s="507">
        <v>0</v>
      </c>
      <c r="EI55" s="507">
        <v>0</v>
      </c>
      <c r="EJ55" s="507">
        <v>0</v>
      </c>
      <c r="EK55" s="507">
        <v>0</v>
      </c>
      <c r="EL55" s="507">
        <v>0</v>
      </c>
      <c r="EM55" s="507">
        <v>0</v>
      </c>
      <c r="EN55" s="507">
        <v>0</v>
      </c>
      <c r="EO55" s="507">
        <v>0</v>
      </c>
      <c r="EP55" s="507">
        <v>0</v>
      </c>
      <c r="EQ55" s="507">
        <v>0</v>
      </c>
      <c r="ER55" s="507">
        <v>0</v>
      </c>
      <c r="ES55" s="507">
        <v>0</v>
      </c>
      <c r="ET55" s="507">
        <v>4.43</v>
      </c>
      <c r="EU55" s="507">
        <v>0</v>
      </c>
      <c r="EV55" s="507">
        <v>42528.1</v>
      </c>
      <c r="EW55" s="507">
        <v>10632.02</v>
      </c>
      <c r="EX55" s="507">
        <v>10632.02</v>
      </c>
      <c r="EY55" s="507">
        <v>10632.02</v>
      </c>
      <c r="EZ55" s="507">
        <v>10632.02</v>
      </c>
      <c r="FA55" s="507">
        <v>10632.02</v>
      </c>
      <c r="FB55" s="507">
        <v>10632.02</v>
      </c>
      <c r="FC55" s="507">
        <v>21264.05</v>
      </c>
      <c r="FD55" s="507">
        <v>21264.05</v>
      </c>
      <c r="FE55" s="507">
        <v>6.25</v>
      </c>
      <c r="FF55" s="507">
        <v>6.25</v>
      </c>
      <c r="FG55" s="507">
        <v>387102.7</v>
      </c>
      <c r="FH55" s="507">
        <v>387102.7</v>
      </c>
      <c r="FI55" s="507">
        <v>408379.8</v>
      </c>
      <c r="FJ55" s="507">
        <v>204189.9</v>
      </c>
      <c r="FK55" s="507">
        <v>204189.9</v>
      </c>
      <c r="FL55" s="507">
        <v>204189.9</v>
      </c>
      <c r="FM55" s="507">
        <v>204189.9</v>
      </c>
      <c r="FN55" s="507">
        <v>204189.9</v>
      </c>
      <c r="FO55" s="507">
        <v>365919.2</v>
      </c>
      <c r="FP55" s="507">
        <v>91479.81</v>
      </c>
      <c r="FQ55" s="507">
        <v>91479.81</v>
      </c>
      <c r="FR55" s="507">
        <v>274439.40000000002</v>
      </c>
      <c r="FS55" s="507">
        <v>274439.40000000002</v>
      </c>
      <c r="FT55" s="507">
        <v>365838.7</v>
      </c>
      <c r="FU55" s="507">
        <v>836.32</v>
      </c>
      <c r="FV55" s="507">
        <v>2.38</v>
      </c>
      <c r="FW55" s="507">
        <v>4.9000000000000004</v>
      </c>
      <c r="FX55" s="507" t="s">
        <v>668</v>
      </c>
      <c r="FY55" s="507">
        <v>4.9000000000000004</v>
      </c>
      <c r="FZ55" s="507">
        <v>6.65</v>
      </c>
      <c r="GA55" s="507">
        <v>0</v>
      </c>
      <c r="GB55" s="507">
        <v>6.65</v>
      </c>
      <c r="GC55" s="507">
        <v>0</v>
      </c>
      <c r="GD55" s="507" t="s">
        <v>668</v>
      </c>
      <c r="GE55" s="507">
        <v>0</v>
      </c>
      <c r="GF55" s="507">
        <v>0</v>
      </c>
      <c r="GG55" s="507" t="s">
        <v>668</v>
      </c>
      <c r="GH55" s="507">
        <v>0</v>
      </c>
      <c r="GI55" s="507">
        <v>248744.5</v>
      </c>
      <c r="GJ55" s="507">
        <v>408378.2</v>
      </c>
      <c r="GK55" s="507">
        <v>408378.2</v>
      </c>
      <c r="GL55" s="507">
        <v>366566</v>
      </c>
      <c r="GM55" s="507">
        <v>366566</v>
      </c>
      <c r="GN55" s="507">
        <v>367529.1</v>
      </c>
      <c r="GO55" s="507">
        <v>117094.2</v>
      </c>
      <c r="GP55" s="507">
        <v>367529.1</v>
      </c>
      <c r="GQ55" s="507">
        <v>367524.6</v>
      </c>
      <c r="GR55" s="507">
        <v>366652.6</v>
      </c>
      <c r="GS55" s="507">
        <v>14.2</v>
      </c>
      <c r="GT55" s="507">
        <v>0</v>
      </c>
      <c r="GU55" s="507">
        <v>879.04</v>
      </c>
      <c r="GV55" s="507">
        <v>0.04</v>
      </c>
      <c r="GW55" s="507">
        <v>0.04</v>
      </c>
      <c r="GX55" s="507">
        <v>0.04</v>
      </c>
      <c r="GY55" s="507">
        <v>876.23</v>
      </c>
      <c r="GZ55" s="507">
        <v>1284.0899999999999</v>
      </c>
      <c r="HA55" s="507">
        <v>0.01</v>
      </c>
      <c r="HB55" s="507">
        <v>0.01</v>
      </c>
      <c r="HC55" s="507">
        <v>321.02</v>
      </c>
      <c r="HD55" s="507">
        <v>0</v>
      </c>
      <c r="HE55" s="507">
        <v>0</v>
      </c>
      <c r="HF55" s="507">
        <v>0</v>
      </c>
      <c r="HG55" s="507">
        <v>0.04</v>
      </c>
      <c r="HH55" s="507">
        <v>0</v>
      </c>
      <c r="HI55" s="507">
        <v>0.04</v>
      </c>
      <c r="HJ55" s="507">
        <v>0</v>
      </c>
      <c r="HK55" s="507">
        <v>0</v>
      </c>
      <c r="HL55" s="507">
        <v>891.81</v>
      </c>
      <c r="HM55" s="507">
        <v>928.22</v>
      </c>
      <c r="HN55" s="507">
        <v>49.18</v>
      </c>
      <c r="HO55" s="507">
        <v>0</v>
      </c>
      <c r="HP55" s="507">
        <v>0</v>
      </c>
      <c r="HQ55" s="507">
        <v>0</v>
      </c>
      <c r="HR55" s="507">
        <v>0.04</v>
      </c>
      <c r="HS55" s="507">
        <v>0</v>
      </c>
      <c r="HT55" s="507">
        <v>0</v>
      </c>
      <c r="HU55" s="507">
        <v>0</v>
      </c>
      <c r="HV55" s="507">
        <v>12.77</v>
      </c>
      <c r="HW55" s="507">
        <v>877.65</v>
      </c>
      <c r="HX55" s="507">
        <v>877.65</v>
      </c>
      <c r="HY55" s="507">
        <v>877.65</v>
      </c>
      <c r="HZ55" s="507">
        <v>877.65</v>
      </c>
      <c r="IA55" s="507">
        <v>0</v>
      </c>
      <c r="IB55" s="507">
        <v>0</v>
      </c>
      <c r="IC55" s="507">
        <v>0</v>
      </c>
      <c r="ID55" s="507">
        <v>0</v>
      </c>
      <c r="IE55" s="507">
        <v>0</v>
      </c>
      <c r="IF55" s="507">
        <v>0</v>
      </c>
      <c r="IG55" s="507">
        <v>0.26</v>
      </c>
      <c r="IH55" s="571">
        <v>0</v>
      </c>
    </row>
    <row r="56" spans="1:242" s="503" customFormat="1" ht="15.95" customHeight="1" x14ac:dyDescent="0.2">
      <c r="A56" s="527" t="s">
        <v>546</v>
      </c>
      <c r="B56" s="527">
        <v>33</v>
      </c>
      <c r="D56" s="590" t="s">
        <v>547</v>
      </c>
      <c r="E56" s="528" t="s">
        <v>546</v>
      </c>
      <c r="F56" s="508">
        <v>30.06964</v>
      </c>
      <c r="G56" s="505">
        <v>-127.479995</v>
      </c>
      <c r="H56" s="507">
        <v>0</v>
      </c>
      <c r="I56" s="507">
        <v>22.82</v>
      </c>
      <c r="J56" s="507">
        <v>7</v>
      </c>
      <c r="K56" s="507">
        <v>14761.71</v>
      </c>
      <c r="L56" s="507">
        <v>14761.71</v>
      </c>
      <c r="M56" s="507">
        <v>14761.75</v>
      </c>
      <c r="N56" s="507">
        <v>10029</v>
      </c>
      <c r="O56" s="507">
        <v>0</v>
      </c>
      <c r="P56" s="507">
        <v>10016</v>
      </c>
      <c r="Q56" s="507">
        <v>10016</v>
      </c>
      <c r="R56" s="507">
        <v>12.999999999999913</v>
      </c>
      <c r="S56" s="507">
        <v>12.999999999999913</v>
      </c>
      <c r="T56" s="507">
        <v>0</v>
      </c>
      <c r="U56" s="507">
        <v>3.0069999991320055E-4</v>
      </c>
      <c r="V56" s="507">
        <v>3.0069999991320055E-4</v>
      </c>
      <c r="W56" s="507">
        <v>0</v>
      </c>
      <c r="X56" s="507">
        <v>0</v>
      </c>
      <c r="Y56" s="507">
        <v>0</v>
      </c>
      <c r="Z56" s="507">
        <v>0</v>
      </c>
      <c r="AA56" s="507">
        <v>0</v>
      </c>
      <c r="AB56" s="507">
        <v>0</v>
      </c>
      <c r="AC56" s="507">
        <v>0</v>
      </c>
      <c r="AD56" s="507">
        <v>20</v>
      </c>
      <c r="AE56" s="507">
        <v>3.0069999991320055E-4</v>
      </c>
      <c r="AF56" s="507">
        <v>29.56</v>
      </c>
      <c r="AG56" s="507">
        <v>14752.14</v>
      </c>
      <c r="AH56" s="507">
        <v>14738.88</v>
      </c>
      <c r="AI56" s="507">
        <v>14794.7</v>
      </c>
      <c r="AJ56" s="507">
        <v>0</v>
      </c>
      <c r="AK56" s="507">
        <v>14781.7</v>
      </c>
      <c r="AL56" s="507">
        <v>6.44</v>
      </c>
      <c r="AM56" s="507">
        <v>12.93</v>
      </c>
      <c r="AN56" s="507">
        <v>0.06</v>
      </c>
      <c r="AO56" s="507">
        <v>12.97</v>
      </c>
      <c r="AP56" s="507">
        <v>0</v>
      </c>
      <c r="AQ56" s="507">
        <v>12.97</v>
      </c>
      <c r="AR56" s="507">
        <v>0</v>
      </c>
      <c r="AS56" s="507">
        <v>0</v>
      </c>
      <c r="AT56" s="507">
        <v>0</v>
      </c>
      <c r="AU56" s="507">
        <v>12.97</v>
      </c>
      <c r="AV56" s="507">
        <v>0.15</v>
      </c>
      <c r="AW56" s="507">
        <v>0</v>
      </c>
      <c r="AX56" s="507">
        <v>0.15</v>
      </c>
      <c r="AY56" s="507">
        <v>0</v>
      </c>
      <c r="AZ56" s="507">
        <v>13</v>
      </c>
      <c r="BA56" s="507">
        <v>0.03</v>
      </c>
      <c r="BB56" s="507">
        <v>43.94</v>
      </c>
      <c r="BC56" s="507">
        <v>32.950000000000003</v>
      </c>
      <c r="BD56" s="507">
        <v>0</v>
      </c>
      <c r="BE56" s="507">
        <v>0</v>
      </c>
      <c r="BF56" s="507">
        <v>0.06</v>
      </c>
      <c r="BG56" s="507">
        <v>0</v>
      </c>
      <c r="BH56" s="507">
        <v>0</v>
      </c>
      <c r="BI56" s="507">
        <v>0</v>
      </c>
      <c r="BJ56" s="507">
        <v>0</v>
      </c>
      <c r="BK56" s="507">
        <v>0</v>
      </c>
      <c r="BL56" s="507">
        <v>0</v>
      </c>
      <c r="BM56" s="507">
        <v>14761.71</v>
      </c>
      <c r="BN56" s="507">
        <v>14761.71</v>
      </c>
      <c r="BO56" s="507">
        <v>14761.75</v>
      </c>
      <c r="BP56" s="507">
        <v>14761.75</v>
      </c>
      <c r="BQ56" s="507">
        <v>14761.75</v>
      </c>
      <c r="BR56" s="507">
        <v>12.97</v>
      </c>
      <c r="BS56" s="507">
        <v>12.97</v>
      </c>
      <c r="BT56" s="507">
        <v>14794.7</v>
      </c>
      <c r="BU56" s="507">
        <v>0</v>
      </c>
      <c r="BV56" s="507">
        <v>0</v>
      </c>
      <c r="BW56" s="507">
        <v>12.97</v>
      </c>
      <c r="BX56" s="507">
        <v>0</v>
      </c>
      <c r="BY56" s="507">
        <v>6.38</v>
      </c>
      <c r="BZ56" s="507">
        <v>6.38</v>
      </c>
      <c r="CA56" s="507">
        <v>0</v>
      </c>
      <c r="CB56" s="507">
        <v>0</v>
      </c>
      <c r="CC56" s="507">
        <v>13.12</v>
      </c>
      <c r="CD56" s="507">
        <v>13.12</v>
      </c>
      <c r="CE56" s="507">
        <v>13.87</v>
      </c>
      <c r="CF56" s="507">
        <v>0.91</v>
      </c>
      <c r="CG56" s="507">
        <v>0</v>
      </c>
      <c r="CH56" s="507">
        <v>0</v>
      </c>
      <c r="CI56" s="507">
        <v>0</v>
      </c>
      <c r="CJ56" s="507">
        <v>0</v>
      </c>
      <c r="CK56" s="507">
        <v>30.94</v>
      </c>
      <c r="CL56" s="507">
        <v>30.94</v>
      </c>
      <c r="CM56" s="507">
        <v>43.94</v>
      </c>
      <c r="CN56" s="507">
        <v>43.94</v>
      </c>
      <c r="CO56" s="507">
        <v>0.06</v>
      </c>
      <c r="CP56" s="507">
        <v>0</v>
      </c>
      <c r="CQ56" s="507">
        <v>0</v>
      </c>
      <c r="CR56" s="507">
        <v>0</v>
      </c>
      <c r="CS56" s="507">
        <v>0</v>
      </c>
      <c r="CT56" s="507">
        <v>0</v>
      </c>
      <c r="CU56" s="507">
        <v>0</v>
      </c>
      <c r="CV56" s="507">
        <v>0</v>
      </c>
      <c r="CW56" s="507">
        <v>0</v>
      </c>
      <c r="CX56" s="507">
        <v>0</v>
      </c>
      <c r="CY56" s="507">
        <v>0</v>
      </c>
      <c r="CZ56" s="507">
        <v>0</v>
      </c>
      <c r="DA56" s="507">
        <v>0</v>
      </c>
      <c r="DB56" s="507">
        <v>0</v>
      </c>
      <c r="DC56" s="507">
        <v>0</v>
      </c>
      <c r="DD56" s="507">
        <v>0</v>
      </c>
      <c r="DE56" s="507">
        <v>0</v>
      </c>
      <c r="DF56" s="507">
        <v>0</v>
      </c>
      <c r="DG56" s="507">
        <v>0</v>
      </c>
      <c r="DH56" s="507">
        <v>0</v>
      </c>
      <c r="DI56" s="507" t="s">
        <v>668</v>
      </c>
      <c r="DJ56" s="507">
        <v>0</v>
      </c>
      <c r="DK56" s="507">
        <v>0</v>
      </c>
      <c r="DL56" s="507">
        <v>14752.14</v>
      </c>
      <c r="DM56" s="507">
        <v>43.94</v>
      </c>
      <c r="DN56" s="507">
        <v>43.94</v>
      </c>
      <c r="DO56" s="507">
        <v>0</v>
      </c>
      <c r="DP56" s="507">
        <v>0</v>
      </c>
      <c r="DQ56" s="507">
        <v>6.38</v>
      </c>
      <c r="DR56" s="507">
        <v>6.38</v>
      </c>
      <c r="DS56" s="507">
        <v>0.15</v>
      </c>
      <c r="DT56" s="507">
        <v>0</v>
      </c>
      <c r="DU56" s="507">
        <v>0</v>
      </c>
      <c r="DV56" s="507">
        <v>0.03</v>
      </c>
      <c r="DW56" s="507">
        <v>0</v>
      </c>
      <c r="DX56" s="507">
        <v>0</v>
      </c>
      <c r="DY56" s="507">
        <v>0</v>
      </c>
      <c r="DZ56" s="507">
        <v>0</v>
      </c>
      <c r="EA56" s="507">
        <v>0</v>
      </c>
      <c r="EB56" s="507">
        <v>0</v>
      </c>
      <c r="EC56" s="507">
        <v>0</v>
      </c>
      <c r="ED56" s="507">
        <v>0</v>
      </c>
      <c r="EE56" s="507">
        <v>12.42</v>
      </c>
      <c r="EF56" s="507">
        <v>0</v>
      </c>
      <c r="EG56" s="507">
        <v>0.01</v>
      </c>
      <c r="EH56" s="507">
        <v>0</v>
      </c>
      <c r="EI56" s="507">
        <v>0</v>
      </c>
      <c r="EJ56" s="507">
        <v>0</v>
      </c>
      <c r="EK56" s="507">
        <v>0</v>
      </c>
      <c r="EL56" s="507">
        <v>0</v>
      </c>
      <c r="EM56" s="507">
        <v>0</v>
      </c>
      <c r="EN56" s="507">
        <v>0</v>
      </c>
      <c r="EO56" s="507">
        <v>0</v>
      </c>
      <c r="EP56" s="507">
        <v>0</v>
      </c>
      <c r="EQ56" s="507">
        <v>0</v>
      </c>
      <c r="ER56" s="507">
        <v>0</v>
      </c>
      <c r="ES56" s="507">
        <v>0</v>
      </c>
      <c r="ET56" s="507">
        <v>0.06</v>
      </c>
      <c r="EU56" s="507">
        <v>0</v>
      </c>
      <c r="EV56" s="507">
        <v>22.81</v>
      </c>
      <c r="EW56" s="507">
        <v>5.7</v>
      </c>
      <c r="EX56" s="507">
        <v>5.7</v>
      </c>
      <c r="EY56" s="507">
        <v>5.7</v>
      </c>
      <c r="EZ56" s="507">
        <v>5.7</v>
      </c>
      <c r="FA56" s="507">
        <v>5.7</v>
      </c>
      <c r="FB56" s="507">
        <v>5.7</v>
      </c>
      <c r="FC56" s="507">
        <v>11.41</v>
      </c>
      <c r="FD56" s="507">
        <v>11.41</v>
      </c>
      <c r="FE56" s="507">
        <v>6.7</v>
      </c>
      <c r="FF56" s="507">
        <v>6.7</v>
      </c>
      <c r="FG56" s="507">
        <v>14750.29</v>
      </c>
      <c r="FH56" s="507">
        <v>14750.29</v>
      </c>
      <c r="FI56" s="507">
        <v>14761.71</v>
      </c>
      <c r="FJ56" s="507">
        <v>7380.85</v>
      </c>
      <c r="FK56" s="507">
        <v>7380.85</v>
      </c>
      <c r="FL56" s="507">
        <v>7380.85</v>
      </c>
      <c r="FM56" s="507">
        <v>7380.85</v>
      </c>
      <c r="FN56" s="507">
        <v>7380.85</v>
      </c>
      <c r="FO56" s="507">
        <v>14752.14</v>
      </c>
      <c r="FP56" s="507">
        <v>3688.03</v>
      </c>
      <c r="FQ56" s="507">
        <v>3688.03</v>
      </c>
      <c r="FR56" s="507">
        <v>11064.1</v>
      </c>
      <c r="FS56" s="507">
        <v>11064.1</v>
      </c>
      <c r="FT56" s="507">
        <v>14738.88</v>
      </c>
      <c r="FU56" s="507">
        <v>12.42</v>
      </c>
      <c r="FV56" s="507">
        <v>0.01</v>
      </c>
      <c r="FW56" s="507">
        <v>0.04</v>
      </c>
      <c r="FX56" s="507" t="s">
        <v>668</v>
      </c>
      <c r="FY56" s="507">
        <v>0.04</v>
      </c>
      <c r="FZ56" s="507">
        <v>0.04</v>
      </c>
      <c r="GA56" s="507">
        <v>0</v>
      </c>
      <c r="GB56" s="507">
        <v>0.04</v>
      </c>
      <c r="GC56" s="507">
        <v>0</v>
      </c>
      <c r="GD56" s="507" t="s">
        <v>668</v>
      </c>
      <c r="GE56" s="507">
        <v>0</v>
      </c>
      <c r="GF56" s="507">
        <v>0</v>
      </c>
      <c r="GG56" s="507" t="s">
        <v>668</v>
      </c>
      <c r="GH56" s="507">
        <v>0</v>
      </c>
      <c r="GI56" s="507">
        <v>10018.200000000001</v>
      </c>
      <c r="GJ56" s="507">
        <v>14761.75</v>
      </c>
      <c r="GK56" s="507">
        <v>14761.75</v>
      </c>
      <c r="GL56" s="507">
        <v>14761.75</v>
      </c>
      <c r="GM56" s="507">
        <v>14761.75</v>
      </c>
      <c r="GN56" s="507">
        <v>14794.7</v>
      </c>
      <c r="GO56" s="507">
        <v>4720.68</v>
      </c>
      <c r="GP56" s="507">
        <v>14794.7</v>
      </c>
      <c r="GQ56" s="507">
        <v>14794.64</v>
      </c>
      <c r="GR56" s="507">
        <v>14781.7</v>
      </c>
      <c r="GS56" s="507">
        <v>0.15</v>
      </c>
      <c r="GT56" s="507">
        <v>0</v>
      </c>
      <c r="GU56" s="507">
        <v>12.98</v>
      </c>
      <c r="GV56" s="507">
        <v>0</v>
      </c>
      <c r="GW56" s="507">
        <v>0</v>
      </c>
      <c r="GX56" s="507">
        <v>0</v>
      </c>
      <c r="GY56" s="507">
        <v>13</v>
      </c>
      <c r="GZ56" s="507">
        <v>43.94</v>
      </c>
      <c r="HA56" s="507">
        <v>0</v>
      </c>
      <c r="HB56" s="507">
        <v>0</v>
      </c>
      <c r="HC56" s="507">
        <v>10.98</v>
      </c>
      <c r="HD56" s="507">
        <v>0</v>
      </c>
      <c r="HE56" s="507">
        <v>0</v>
      </c>
      <c r="HF56" s="507">
        <v>0</v>
      </c>
      <c r="HG56" s="507">
        <v>0</v>
      </c>
      <c r="HH56" s="507">
        <v>0</v>
      </c>
      <c r="HI56" s="507">
        <v>0</v>
      </c>
      <c r="HJ56" s="507">
        <v>0</v>
      </c>
      <c r="HK56" s="507">
        <v>0</v>
      </c>
      <c r="HL56" s="507">
        <v>13.12</v>
      </c>
      <c r="HM56" s="507">
        <v>13.92</v>
      </c>
      <c r="HN56" s="507">
        <v>0.94</v>
      </c>
      <c r="HO56" s="507">
        <v>0</v>
      </c>
      <c r="HP56" s="507">
        <v>0</v>
      </c>
      <c r="HQ56" s="507">
        <v>0</v>
      </c>
      <c r="HR56" s="507">
        <v>0</v>
      </c>
      <c r="HS56" s="507">
        <v>0</v>
      </c>
      <c r="HT56" s="507">
        <v>0</v>
      </c>
      <c r="HU56" s="507">
        <v>0</v>
      </c>
      <c r="HV56" s="507">
        <v>0.14000000000000001</v>
      </c>
      <c r="HW56" s="507">
        <v>12.97</v>
      </c>
      <c r="HX56" s="507">
        <v>12.97</v>
      </c>
      <c r="HY56" s="507">
        <v>12.97</v>
      </c>
      <c r="HZ56" s="507">
        <v>12.97</v>
      </c>
      <c r="IA56" s="507">
        <v>0</v>
      </c>
      <c r="IB56" s="507">
        <v>0</v>
      </c>
      <c r="IC56" s="507">
        <v>0</v>
      </c>
      <c r="ID56" s="507">
        <v>0</v>
      </c>
      <c r="IE56" s="507">
        <v>0</v>
      </c>
      <c r="IF56" s="507">
        <v>0</v>
      </c>
      <c r="IG56" s="507">
        <v>0</v>
      </c>
      <c r="IH56" s="571">
        <v>0</v>
      </c>
    </row>
    <row r="57" spans="1:242" s="503" customFormat="1" ht="15.95" customHeight="1" x14ac:dyDescent="0.2">
      <c r="A57" s="527" t="s">
        <v>548</v>
      </c>
      <c r="B57" s="527">
        <v>34</v>
      </c>
      <c r="D57" s="590" t="s">
        <v>549</v>
      </c>
      <c r="E57" s="528" t="s">
        <v>548</v>
      </c>
      <c r="F57" s="508">
        <v>44.009799999999998</v>
      </c>
      <c r="G57" s="505">
        <v>-109.20999500000001</v>
      </c>
      <c r="H57" s="507">
        <v>0</v>
      </c>
      <c r="I57" s="507">
        <v>0</v>
      </c>
      <c r="J57" s="507">
        <v>10</v>
      </c>
      <c r="K57" s="507">
        <v>18316.23</v>
      </c>
      <c r="L57" s="507">
        <v>18316.23</v>
      </c>
      <c r="M57" s="507">
        <v>41326.82</v>
      </c>
      <c r="N57" s="507">
        <v>28207</v>
      </c>
      <c r="O57" s="507">
        <v>0</v>
      </c>
      <c r="P57" s="507">
        <v>5042.0261022395771</v>
      </c>
      <c r="Q57" s="507">
        <v>5042.0261022395771</v>
      </c>
      <c r="R57" s="507">
        <v>0</v>
      </c>
      <c r="S57" s="507">
        <v>0</v>
      </c>
      <c r="T57" s="507">
        <v>0</v>
      </c>
      <c r="U57" s="507">
        <v>0</v>
      </c>
      <c r="V57" s="507">
        <v>22897.973897760417</v>
      </c>
      <c r="W57" s="507">
        <v>0</v>
      </c>
      <c r="X57" s="507">
        <v>0</v>
      </c>
      <c r="Y57" s="507">
        <v>0</v>
      </c>
      <c r="Z57" s="507">
        <v>0</v>
      </c>
      <c r="AA57" s="507">
        <v>0</v>
      </c>
      <c r="AB57" s="507">
        <v>2168.0484646000214</v>
      </c>
      <c r="AC57" s="507">
        <v>2168.0484646000214</v>
      </c>
      <c r="AD57" s="507">
        <v>277</v>
      </c>
      <c r="AE57" s="507">
        <v>22897.973897760417</v>
      </c>
      <c r="AF57" s="507">
        <v>83.13</v>
      </c>
      <c r="AG57" s="507">
        <v>41480.46</v>
      </c>
      <c r="AH57" s="507">
        <v>18316.23</v>
      </c>
      <c r="AI57" s="507">
        <v>42204.57</v>
      </c>
      <c r="AJ57" s="507">
        <v>0</v>
      </c>
      <c r="AK57" s="507">
        <v>41563.58</v>
      </c>
      <c r="AL57" s="507">
        <v>298.16000000000003</v>
      </c>
      <c r="AM57" s="507">
        <v>617.13</v>
      </c>
      <c r="AN57" s="507">
        <v>3</v>
      </c>
      <c r="AO57" s="507">
        <v>628.02</v>
      </c>
      <c r="AP57" s="507">
        <v>0</v>
      </c>
      <c r="AQ57" s="507">
        <v>628.02</v>
      </c>
      <c r="AR57" s="507">
        <v>0</v>
      </c>
      <c r="AS57" s="507">
        <v>0</v>
      </c>
      <c r="AT57" s="507">
        <v>0</v>
      </c>
      <c r="AU57" s="507">
        <v>621.04</v>
      </c>
      <c r="AV57" s="507">
        <v>38.9</v>
      </c>
      <c r="AW57" s="507">
        <v>0</v>
      </c>
      <c r="AX57" s="507">
        <v>31.92</v>
      </c>
      <c r="AY57" s="507">
        <v>7.68</v>
      </c>
      <c r="AZ57" s="507">
        <v>600.4</v>
      </c>
      <c r="BA57" s="507">
        <v>23.02</v>
      </c>
      <c r="BB57" s="507">
        <v>1170.33</v>
      </c>
      <c r="BC57" s="507">
        <v>877.75</v>
      </c>
      <c r="BD57" s="507">
        <v>0</v>
      </c>
      <c r="BE57" s="507">
        <v>0.7</v>
      </c>
      <c r="BF57" s="507">
        <v>2.2999999999999998</v>
      </c>
      <c r="BG57" s="507">
        <v>0.7</v>
      </c>
      <c r="BH57" s="507">
        <v>0.7</v>
      </c>
      <c r="BI57" s="507">
        <v>0.7</v>
      </c>
      <c r="BJ57" s="507">
        <v>0</v>
      </c>
      <c r="BK57" s="507">
        <v>0</v>
      </c>
      <c r="BL57" s="507">
        <v>0</v>
      </c>
      <c r="BM57" s="507">
        <v>18316.23</v>
      </c>
      <c r="BN57" s="507">
        <v>18316.23</v>
      </c>
      <c r="BO57" s="507">
        <v>41326.82</v>
      </c>
      <c r="BP57" s="507">
        <v>41326.82</v>
      </c>
      <c r="BQ57" s="507">
        <v>41326.82</v>
      </c>
      <c r="BR57" s="507">
        <v>640.15</v>
      </c>
      <c r="BS57" s="507">
        <v>628.02</v>
      </c>
      <c r="BT57" s="507">
        <v>42204.57</v>
      </c>
      <c r="BU57" s="507">
        <v>0</v>
      </c>
      <c r="BV57" s="507">
        <v>0</v>
      </c>
      <c r="BW57" s="507">
        <v>628.02</v>
      </c>
      <c r="BX57" s="507">
        <v>0</v>
      </c>
      <c r="BY57" s="507">
        <v>295.16000000000003</v>
      </c>
      <c r="BZ57" s="507">
        <v>295.16000000000003</v>
      </c>
      <c r="CA57" s="507">
        <v>0</v>
      </c>
      <c r="CB57" s="507">
        <v>0</v>
      </c>
      <c r="CC57" s="507">
        <v>659.94</v>
      </c>
      <c r="CD57" s="507">
        <v>659.94</v>
      </c>
      <c r="CE57" s="507">
        <v>706.6</v>
      </c>
      <c r="CF57" s="507">
        <v>85.56</v>
      </c>
      <c r="CG57" s="507">
        <v>0</v>
      </c>
      <c r="CH57" s="507">
        <v>0</v>
      </c>
      <c r="CI57" s="507">
        <v>0</v>
      </c>
      <c r="CJ57" s="507">
        <v>0</v>
      </c>
      <c r="CK57" s="507">
        <v>570.05999999999995</v>
      </c>
      <c r="CL57" s="507">
        <v>570.05999999999995</v>
      </c>
      <c r="CM57" s="507">
        <v>1170.42</v>
      </c>
      <c r="CN57" s="507">
        <v>1170.42</v>
      </c>
      <c r="CO57" s="507">
        <v>3</v>
      </c>
      <c r="CP57" s="507">
        <v>0.7</v>
      </c>
      <c r="CQ57" s="507">
        <v>0.7</v>
      </c>
      <c r="CR57" s="507">
        <v>0.7</v>
      </c>
      <c r="CS57" s="507">
        <v>0.7</v>
      </c>
      <c r="CT57" s="507">
        <v>0</v>
      </c>
      <c r="CU57" s="507">
        <v>0</v>
      </c>
      <c r="CV57" s="507">
        <v>0</v>
      </c>
      <c r="CW57" s="507">
        <v>0</v>
      </c>
      <c r="CX57" s="507">
        <v>0.7</v>
      </c>
      <c r="CY57" s="507">
        <v>0</v>
      </c>
      <c r="CZ57" s="507">
        <v>0</v>
      </c>
      <c r="DA57" s="507">
        <v>6.98</v>
      </c>
      <c r="DB57" s="507">
        <v>6.98</v>
      </c>
      <c r="DC57" s="507">
        <v>0.04</v>
      </c>
      <c r="DD57" s="507">
        <v>0.04</v>
      </c>
      <c r="DE57" s="507">
        <v>0</v>
      </c>
      <c r="DF57" s="507">
        <v>0</v>
      </c>
      <c r="DG57" s="507">
        <v>0</v>
      </c>
      <c r="DH57" s="507">
        <v>0</v>
      </c>
      <c r="DI57" s="507" t="s">
        <v>668</v>
      </c>
      <c r="DJ57" s="507">
        <v>0</v>
      </c>
      <c r="DK57" s="507">
        <v>0.09</v>
      </c>
      <c r="DL57" s="507">
        <v>41480.46</v>
      </c>
      <c r="DM57" s="507">
        <v>1170.42</v>
      </c>
      <c r="DN57" s="507">
        <v>1170.33</v>
      </c>
      <c r="DO57" s="507">
        <v>0</v>
      </c>
      <c r="DP57" s="507">
        <v>0</v>
      </c>
      <c r="DQ57" s="507">
        <v>295.16000000000003</v>
      </c>
      <c r="DR57" s="507">
        <v>295.16000000000003</v>
      </c>
      <c r="DS57" s="507">
        <v>38.9</v>
      </c>
      <c r="DT57" s="507">
        <v>0</v>
      </c>
      <c r="DU57" s="507">
        <v>7.68</v>
      </c>
      <c r="DV57" s="507">
        <v>23.02</v>
      </c>
      <c r="DW57" s="507">
        <v>0.7</v>
      </c>
      <c r="DX57" s="507">
        <v>0</v>
      </c>
      <c r="DY57" s="507">
        <v>0</v>
      </c>
      <c r="DZ57" s="507">
        <v>0</v>
      </c>
      <c r="EA57" s="507">
        <v>0</v>
      </c>
      <c r="EB57" s="507">
        <v>6.98</v>
      </c>
      <c r="EC57" s="507">
        <v>0</v>
      </c>
      <c r="ED57" s="507">
        <v>0.01</v>
      </c>
      <c r="EE57" s="507">
        <v>636.11</v>
      </c>
      <c r="EF57" s="507">
        <v>0</v>
      </c>
      <c r="EG57" s="507">
        <v>7.39</v>
      </c>
      <c r="EH57" s="507">
        <v>0</v>
      </c>
      <c r="EI57" s="507">
        <v>0</v>
      </c>
      <c r="EJ57" s="507">
        <v>0</v>
      </c>
      <c r="EK57" s="507">
        <v>0</v>
      </c>
      <c r="EL57" s="507">
        <v>0</v>
      </c>
      <c r="EM57" s="507">
        <v>0</v>
      </c>
      <c r="EN57" s="507">
        <v>0</v>
      </c>
      <c r="EO57" s="507">
        <v>0</v>
      </c>
      <c r="EP57" s="507">
        <v>0</v>
      </c>
      <c r="EQ57" s="507">
        <v>0</v>
      </c>
      <c r="ER57" s="507">
        <v>0</v>
      </c>
      <c r="ES57" s="507">
        <v>0</v>
      </c>
      <c r="ET57" s="507">
        <v>3</v>
      </c>
      <c r="EU57" s="507">
        <v>0</v>
      </c>
      <c r="EV57" s="507">
        <v>0</v>
      </c>
      <c r="EW57" s="507">
        <v>0</v>
      </c>
      <c r="EX57" s="507">
        <v>0</v>
      </c>
      <c r="EY57" s="507">
        <v>0</v>
      </c>
      <c r="EZ57" s="507">
        <v>0</v>
      </c>
      <c r="FA57" s="507">
        <v>0</v>
      </c>
      <c r="FB57" s="507">
        <v>0</v>
      </c>
      <c r="FC57" s="507">
        <v>0</v>
      </c>
      <c r="FD57" s="507">
        <v>0</v>
      </c>
      <c r="FE57" s="507">
        <v>9.81</v>
      </c>
      <c r="FF57" s="507">
        <v>9.81</v>
      </c>
      <c r="FG57" s="507">
        <v>18316.23</v>
      </c>
      <c r="FH57" s="507">
        <v>18316.23</v>
      </c>
      <c r="FI57" s="507">
        <v>18316.23</v>
      </c>
      <c r="FJ57" s="507">
        <v>9158.1200000000008</v>
      </c>
      <c r="FK57" s="507">
        <v>9158.1200000000008</v>
      </c>
      <c r="FL57" s="507">
        <v>9158.1200000000008</v>
      </c>
      <c r="FM57" s="507">
        <v>9158.1200000000008</v>
      </c>
      <c r="FN57" s="507">
        <v>9158.1200000000008</v>
      </c>
      <c r="FO57" s="507">
        <v>41480.46</v>
      </c>
      <c r="FP57" s="507">
        <v>10370.11</v>
      </c>
      <c r="FQ57" s="507">
        <v>10370.11</v>
      </c>
      <c r="FR57" s="507">
        <v>31110.34</v>
      </c>
      <c r="FS57" s="507">
        <v>31110.34</v>
      </c>
      <c r="FT57" s="507">
        <v>18316.23</v>
      </c>
      <c r="FU57" s="507">
        <v>636.12</v>
      </c>
      <c r="FV57" s="507">
        <v>7.39</v>
      </c>
      <c r="FW57" s="507">
        <v>39.14</v>
      </c>
      <c r="FX57" s="507" t="s">
        <v>668</v>
      </c>
      <c r="FY57" s="507">
        <v>39.14</v>
      </c>
      <c r="FZ57" s="507">
        <v>30.11</v>
      </c>
      <c r="GA57" s="507">
        <v>0</v>
      </c>
      <c r="GB57" s="507">
        <v>30.11</v>
      </c>
      <c r="GC57" s="507">
        <v>0</v>
      </c>
      <c r="GD57" s="507" t="s">
        <v>668</v>
      </c>
      <c r="GE57" s="507">
        <v>0</v>
      </c>
      <c r="GF57" s="507">
        <v>0</v>
      </c>
      <c r="GG57" s="507" t="s">
        <v>668</v>
      </c>
      <c r="GH57" s="507">
        <v>0</v>
      </c>
      <c r="GI57" s="507">
        <v>5042.49</v>
      </c>
      <c r="GJ57" s="507">
        <v>18304.29</v>
      </c>
      <c r="GK57" s="507">
        <v>18318.04</v>
      </c>
      <c r="GL57" s="507">
        <v>41326.82</v>
      </c>
      <c r="GM57" s="507">
        <v>41326.82</v>
      </c>
      <c r="GN57" s="507">
        <v>42204.57</v>
      </c>
      <c r="GO57" s="507">
        <v>13273.75</v>
      </c>
      <c r="GP57" s="507">
        <v>42183.71</v>
      </c>
      <c r="GQ57" s="507">
        <v>42180.71</v>
      </c>
      <c r="GR57" s="507">
        <v>41563.58</v>
      </c>
      <c r="GS57" s="507">
        <v>38.9</v>
      </c>
      <c r="GT57" s="507">
        <v>0</v>
      </c>
      <c r="GU57" s="507">
        <v>623.77</v>
      </c>
      <c r="GV57" s="507">
        <v>6.98</v>
      </c>
      <c r="GW57" s="507">
        <v>6.98</v>
      </c>
      <c r="GX57" s="507">
        <v>6.98</v>
      </c>
      <c r="GY57" s="507">
        <v>600.4</v>
      </c>
      <c r="GZ57" s="507">
        <v>1170.47</v>
      </c>
      <c r="HA57" s="507">
        <v>0.05</v>
      </c>
      <c r="HB57" s="507">
        <v>0.09</v>
      </c>
      <c r="HC57" s="507">
        <v>292.58</v>
      </c>
      <c r="HD57" s="507">
        <v>0</v>
      </c>
      <c r="HE57" s="507">
        <v>0</v>
      </c>
      <c r="HF57" s="507">
        <v>0</v>
      </c>
      <c r="HG57" s="507">
        <v>6.9</v>
      </c>
      <c r="HH57" s="507">
        <v>0</v>
      </c>
      <c r="HI57" s="507">
        <v>6.9</v>
      </c>
      <c r="HJ57" s="507">
        <v>0</v>
      </c>
      <c r="HK57" s="507">
        <v>0</v>
      </c>
      <c r="HL57" s="507">
        <v>659.94</v>
      </c>
      <c r="HM57" s="507">
        <v>712.51</v>
      </c>
      <c r="HN57" s="507">
        <v>88.75</v>
      </c>
      <c r="HO57" s="507">
        <v>0</v>
      </c>
      <c r="HP57" s="507">
        <v>0</v>
      </c>
      <c r="HQ57" s="507">
        <v>0</v>
      </c>
      <c r="HR57" s="507">
        <v>6.86</v>
      </c>
      <c r="HS57" s="507">
        <v>0</v>
      </c>
      <c r="HT57" s="507">
        <v>0</v>
      </c>
      <c r="HU57" s="507">
        <v>0</v>
      </c>
      <c r="HV57" s="507">
        <v>36.18</v>
      </c>
      <c r="HW57" s="507">
        <v>640.15</v>
      </c>
      <c r="HX57" s="507">
        <v>640.15</v>
      </c>
      <c r="HY57" s="507">
        <v>628.02</v>
      </c>
      <c r="HZ57" s="507">
        <v>628.02</v>
      </c>
      <c r="IA57" s="507">
        <v>0</v>
      </c>
      <c r="IB57" s="507">
        <v>0</v>
      </c>
      <c r="IC57" s="507">
        <v>0</v>
      </c>
      <c r="ID57" s="507">
        <v>0</v>
      </c>
      <c r="IE57" s="507">
        <v>0</v>
      </c>
      <c r="IF57" s="507">
        <v>0</v>
      </c>
      <c r="IG57" s="507">
        <v>0.7</v>
      </c>
      <c r="IH57" s="571">
        <v>0</v>
      </c>
    </row>
    <row r="58" spans="1:242" s="503" customFormat="1" ht="15.95" customHeight="1" x14ac:dyDescent="0.2">
      <c r="A58" s="529" t="s">
        <v>550</v>
      </c>
      <c r="B58" s="527">
        <v>35</v>
      </c>
      <c r="D58" s="590" t="s">
        <v>551</v>
      </c>
      <c r="E58" s="528" t="s">
        <v>552</v>
      </c>
      <c r="F58" s="508">
        <v>39.997109999999999</v>
      </c>
      <c r="G58" s="505">
        <v>2834.32998</v>
      </c>
      <c r="H58" s="507">
        <v>0</v>
      </c>
      <c r="I58" s="507">
        <v>0</v>
      </c>
      <c r="J58" s="507" t="s">
        <v>668</v>
      </c>
      <c r="K58" s="507">
        <v>0</v>
      </c>
      <c r="L58" s="507">
        <v>0</v>
      </c>
      <c r="M58" s="507">
        <v>0</v>
      </c>
      <c r="N58" s="507" t="s">
        <v>668</v>
      </c>
      <c r="O58" s="507" t="s">
        <v>668</v>
      </c>
      <c r="P58" s="507" t="s">
        <v>668</v>
      </c>
      <c r="Q58" s="507" t="s">
        <v>668</v>
      </c>
      <c r="R58" s="507" t="s">
        <v>668</v>
      </c>
      <c r="S58" s="507" t="s">
        <v>668</v>
      </c>
      <c r="T58" s="507" t="s">
        <v>668</v>
      </c>
      <c r="U58" s="507" t="s">
        <v>668</v>
      </c>
      <c r="V58" s="507" t="s">
        <v>668</v>
      </c>
      <c r="W58" s="507" t="s">
        <v>668</v>
      </c>
      <c r="X58" s="507" t="s">
        <v>668</v>
      </c>
      <c r="Y58" s="507" t="s">
        <v>668</v>
      </c>
      <c r="Z58" s="507" t="s">
        <v>668</v>
      </c>
      <c r="AA58" s="507" t="s">
        <v>668</v>
      </c>
      <c r="AB58" s="507" t="s">
        <v>668</v>
      </c>
      <c r="AC58" s="507" t="s">
        <v>668</v>
      </c>
      <c r="AD58" s="507" t="s">
        <v>668</v>
      </c>
      <c r="AE58" s="507" t="s">
        <v>668</v>
      </c>
      <c r="AF58" s="507">
        <v>0</v>
      </c>
      <c r="AG58" s="507">
        <v>0</v>
      </c>
      <c r="AH58" s="507">
        <v>0</v>
      </c>
      <c r="AI58" s="507">
        <v>0</v>
      </c>
      <c r="AJ58" s="507">
        <v>10.59</v>
      </c>
      <c r="AK58" s="507">
        <v>0</v>
      </c>
      <c r="AL58" s="507">
        <v>0</v>
      </c>
      <c r="AM58" s="507">
        <v>10.59</v>
      </c>
      <c r="AN58" s="507">
        <v>0</v>
      </c>
      <c r="AO58" s="507">
        <v>0</v>
      </c>
      <c r="AP58" s="507">
        <v>0</v>
      </c>
      <c r="AQ58" s="507">
        <v>0</v>
      </c>
      <c r="AR58" s="507">
        <v>0</v>
      </c>
      <c r="AS58" s="507">
        <v>0</v>
      </c>
      <c r="AT58" s="507">
        <v>0</v>
      </c>
      <c r="AU58" s="507">
        <v>0</v>
      </c>
      <c r="AV58" s="507">
        <v>0</v>
      </c>
      <c r="AW58" s="507">
        <v>0.43</v>
      </c>
      <c r="AX58" s="507">
        <v>0</v>
      </c>
      <c r="AY58" s="507">
        <v>0</v>
      </c>
      <c r="AZ58" s="507">
        <v>0</v>
      </c>
      <c r="BA58" s="507">
        <v>0.43</v>
      </c>
      <c r="BB58" s="507">
        <v>0</v>
      </c>
      <c r="BC58" s="507">
        <v>0</v>
      </c>
      <c r="BD58" s="507">
        <v>0</v>
      </c>
      <c r="BE58" s="507">
        <v>0</v>
      </c>
      <c r="BF58" s="507">
        <v>0</v>
      </c>
      <c r="BG58" s="507">
        <v>0</v>
      </c>
      <c r="BH58" s="507">
        <v>0</v>
      </c>
      <c r="BI58" s="507">
        <v>0</v>
      </c>
      <c r="BJ58" s="507">
        <v>0</v>
      </c>
      <c r="BK58" s="507">
        <v>0</v>
      </c>
      <c r="BL58" s="507">
        <v>0</v>
      </c>
      <c r="BM58" s="507">
        <v>0</v>
      </c>
      <c r="BN58" s="507">
        <v>0</v>
      </c>
      <c r="BO58" s="507">
        <v>0</v>
      </c>
      <c r="BP58" s="507">
        <v>0</v>
      </c>
      <c r="BQ58" s="507">
        <v>0</v>
      </c>
      <c r="BR58" s="507">
        <v>11.02</v>
      </c>
      <c r="BS58" s="507">
        <v>0</v>
      </c>
      <c r="BT58" s="507">
        <v>0</v>
      </c>
      <c r="BU58" s="507">
        <v>0</v>
      </c>
      <c r="BV58" s="507">
        <v>0</v>
      </c>
      <c r="BW58" s="507">
        <v>0</v>
      </c>
      <c r="BX58" s="507">
        <v>10.59</v>
      </c>
      <c r="BY58" s="507">
        <v>0</v>
      </c>
      <c r="BZ58" s="507">
        <v>0</v>
      </c>
      <c r="CA58" s="507">
        <v>11.02</v>
      </c>
      <c r="CB58" s="507">
        <v>11.02</v>
      </c>
      <c r="CC58" s="507">
        <v>0</v>
      </c>
      <c r="CD58" s="507">
        <v>0</v>
      </c>
      <c r="CE58" s="507">
        <v>0</v>
      </c>
      <c r="CF58" s="507">
        <v>0</v>
      </c>
      <c r="CG58" s="507">
        <v>0</v>
      </c>
      <c r="CH58" s="507">
        <v>0</v>
      </c>
      <c r="CI58" s="507">
        <v>0.43</v>
      </c>
      <c r="CJ58" s="507">
        <v>0.43</v>
      </c>
      <c r="CK58" s="507">
        <v>0</v>
      </c>
      <c r="CL58" s="507">
        <v>0</v>
      </c>
      <c r="CM58" s="507">
        <v>0</v>
      </c>
      <c r="CN58" s="507">
        <v>0</v>
      </c>
      <c r="CO58" s="507">
        <v>0</v>
      </c>
      <c r="CP58" s="507">
        <v>0</v>
      </c>
      <c r="CQ58" s="507">
        <v>0</v>
      </c>
      <c r="CR58" s="507">
        <v>0</v>
      </c>
      <c r="CS58" s="507">
        <v>0</v>
      </c>
      <c r="CT58" s="507">
        <v>0</v>
      </c>
      <c r="CU58" s="507">
        <v>0</v>
      </c>
      <c r="CV58" s="507">
        <v>0</v>
      </c>
      <c r="CW58" s="507">
        <v>0</v>
      </c>
      <c r="CX58" s="507">
        <v>0</v>
      </c>
      <c r="CY58" s="507">
        <v>0</v>
      </c>
      <c r="CZ58" s="507">
        <v>0</v>
      </c>
      <c r="DA58" s="507">
        <v>0</v>
      </c>
      <c r="DB58" s="507">
        <v>0</v>
      </c>
      <c r="DC58" s="507">
        <v>0</v>
      </c>
      <c r="DD58" s="507">
        <v>0</v>
      </c>
      <c r="DE58" s="507">
        <v>0</v>
      </c>
      <c r="DF58" s="507">
        <v>0</v>
      </c>
      <c r="DG58" s="507">
        <v>0</v>
      </c>
      <c r="DH58" s="507">
        <v>0</v>
      </c>
      <c r="DI58" s="507" t="s">
        <v>668</v>
      </c>
      <c r="DJ58" s="507">
        <v>0</v>
      </c>
      <c r="DK58" s="507">
        <v>0</v>
      </c>
      <c r="DL58" s="507">
        <v>0</v>
      </c>
      <c r="DM58" s="507">
        <v>0</v>
      </c>
      <c r="DN58" s="507">
        <v>0</v>
      </c>
      <c r="DO58" s="507">
        <v>0</v>
      </c>
      <c r="DP58" s="507">
        <v>0</v>
      </c>
      <c r="DQ58" s="507">
        <v>0</v>
      </c>
      <c r="DR58" s="507">
        <v>0</v>
      </c>
      <c r="DS58" s="507">
        <v>0</v>
      </c>
      <c r="DT58" s="507">
        <v>0</v>
      </c>
      <c r="DU58" s="507">
        <v>0</v>
      </c>
      <c r="DV58" s="507">
        <v>0.43</v>
      </c>
      <c r="DW58" s="507">
        <v>0</v>
      </c>
      <c r="DX58" s="507">
        <v>0</v>
      </c>
      <c r="DY58" s="507">
        <v>0</v>
      </c>
      <c r="DZ58" s="507">
        <v>0</v>
      </c>
      <c r="EA58" s="507">
        <v>0</v>
      </c>
      <c r="EB58" s="507">
        <v>0</v>
      </c>
      <c r="EC58" s="507">
        <v>0</v>
      </c>
      <c r="ED58" s="507">
        <v>10.59</v>
      </c>
      <c r="EE58" s="507">
        <v>0</v>
      </c>
      <c r="EF58" s="507">
        <v>0</v>
      </c>
      <c r="EG58" s="507">
        <v>0</v>
      </c>
      <c r="EH58" s="507">
        <v>0</v>
      </c>
      <c r="EI58" s="507">
        <v>0</v>
      </c>
      <c r="EJ58" s="507">
        <v>0</v>
      </c>
      <c r="EK58" s="507">
        <v>0</v>
      </c>
      <c r="EL58" s="507">
        <v>0</v>
      </c>
      <c r="EM58" s="507">
        <v>0</v>
      </c>
      <c r="EN58" s="507">
        <v>0</v>
      </c>
      <c r="EO58" s="507">
        <v>0</v>
      </c>
      <c r="EP58" s="507">
        <v>0</v>
      </c>
      <c r="EQ58" s="507">
        <v>18.96</v>
      </c>
      <c r="ER58" s="507">
        <v>11.02</v>
      </c>
      <c r="ES58" s="507">
        <v>0</v>
      </c>
      <c r="ET58" s="507">
        <v>0</v>
      </c>
      <c r="EU58" s="507">
        <v>0</v>
      </c>
      <c r="EV58" s="507">
        <v>0</v>
      </c>
      <c r="EW58" s="507">
        <v>0</v>
      </c>
      <c r="EX58" s="507">
        <v>0</v>
      </c>
      <c r="EY58" s="507">
        <v>0</v>
      </c>
      <c r="EZ58" s="507">
        <v>0</v>
      </c>
      <c r="FA58" s="507">
        <v>0</v>
      </c>
      <c r="FB58" s="507">
        <v>0</v>
      </c>
      <c r="FC58" s="507">
        <v>0</v>
      </c>
      <c r="FD58" s="507">
        <v>0</v>
      </c>
      <c r="FE58" s="507">
        <v>0</v>
      </c>
      <c r="FF58" s="507">
        <v>0</v>
      </c>
      <c r="FG58" s="507">
        <v>0</v>
      </c>
      <c r="FH58" s="507">
        <v>0</v>
      </c>
      <c r="FI58" s="507">
        <v>0</v>
      </c>
      <c r="FJ58" s="507">
        <v>0</v>
      </c>
      <c r="FK58" s="507">
        <v>0</v>
      </c>
      <c r="FL58" s="507">
        <v>0</v>
      </c>
      <c r="FM58" s="507">
        <v>0</v>
      </c>
      <c r="FN58" s="507">
        <v>0</v>
      </c>
      <c r="FO58" s="507">
        <v>0</v>
      </c>
      <c r="FP58" s="507">
        <v>0</v>
      </c>
      <c r="FQ58" s="507">
        <v>0</v>
      </c>
      <c r="FR58" s="507">
        <v>0</v>
      </c>
      <c r="FS58" s="507">
        <v>0</v>
      </c>
      <c r="FT58" s="507">
        <v>0</v>
      </c>
      <c r="FU58" s="507">
        <v>10.59</v>
      </c>
      <c r="FV58" s="507">
        <v>0</v>
      </c>
      <c r="FW58" s="507">
        <v>0</v>
      </c>
      <c r="FX58" s="507" t="s">
        <v>668</v>
      </c>
      <c r="FY58" s="507">
        <v>0</v>
      </c>
      <c r="FZ58" s="507">
        <v>0.43</v>
      </c>
      <c r="GA58" s="507">
        <v>0.43</v>
      </c>
      <c r="GB58" s="507">
        <v>0</v>
      </c>
      <c r="GC58" s="507">
        <v>0</v>
      </c>
      <c r="GD58" s="507" t="s">
        <v>668</v>
      </c>
      <c r="GE58" s="507">
        <v>0</v>
      </c>
      <c r="GF58" s="507">
        <v>0</v>
      </c>
      <c r="GG58" s="507" t="s">
        <v>668</v>
      </c>
      <c r="GH58" s="507">
        <v>0</v>
      </c>
      <c r="GI58" s="507">
        <v>0</v>
      </c>
      <c r="GJ58" s="507">
        <v>0</v>
      </c>
      <c r="GK58" s="507">
        <v>0</v>
      </c>
      <c r="GL58" s="507">
        <v>0</v>
      </c>
      <c r="GM58" s="507">
        <v>0</v>
      </c>
      <c r="GN58" s="507">
        <v>0</v>
      </c>
      <c r="GO58" s="507">
        <v>0</v>
      </c>
      <c r="GP58" s="507">
        <v>0</v>
      </c>
      <c r="GQ58" s="507">
        <v>0</v>
      </c>
      <c r="GR58" s="507">
        <v>0</v>
      </c>
      <c r="GS58" s="507">
        <v>0</v>
      </c>
      <c r="GT58" s="507">
        <v>0</v>
      </c>
      <c r="GU58" s="507">
        <v>0</v>
      </c>
      <c r="GV58" s="507">
        <v>0</v>
      </c>
      <c r="GW58" s="507">
        <v>0</v>
      </c>
      <c r="GX58" s="507">
        <v>0</v>
      </c>
      <c r="GY58" s="507">
        <v>0</v>
      </c>
      <c r="GZ58" s="507">
        <v>0</v>
      </c>
      <c r="HA58" s="507">
        <v>0</v>
      </c>
      <c r="HB58" s="507">
        <v>0</v>
      </c>
      <c r="HC58" s="507">
        <v>0</v>
      </c>
      <c r="HD58" s="507">
        <v>0</v>
      </c>
      <c r="HE58" s="507">
        <v>0</v>
      </c>
      <c r="HF58" s="507">
        <v>0</v>
      </c>
      <c r="HG58" s="507">
        <v>0</v>
      </c>
      <c r="HH58" s="507">
        <v>0</v>
      </c>
      <c r="HI58" s="507">
        <v>0</v>
      </c>
      <c r="HJ58" s="507">
        <v>0</v>
      </c>
      <c r="HK58" s="507">
        <v>0</v>
      </c>
      <c r="HL58" s="507">
        <v>0</v>
      </c>
      <c r="HM58" s="507">
        <v>0</v>
      </c>
      <c r="HN58" s="507">
        <v>0</v>
      </c>
      <c r="HO58" s="507">
        <v>0</v>
      </c>
      <c r="HP58" s="507">
        <v>0</v>
      </c>
      <c r="HQ58" s="507">
        <v>0</v>
      </c>
      <c r="HR58" s="507">
        <v>0</v>
      </c>
      <c r="HS58" s="507">
        <v>0</v>
      </c>
      <c r="HT58" s="507">
        <v>0</v>
      </c>
      <c r="HU58" s="507">
        <v>0</v>
      </c>
      <c r="HV58" s="507">
        <v>0</v>
      </c>
      <c r="HW58" s="507">
        <v>11.02</v>
      </c>
      <c r="HX58" s="507">
        <v>11.02</v>
      </c>
      <c r="HY58" s="507">
        <v>0</v>
      </c>
      <c r="HZ58" s="507">
        <v>0</v>
      </c>
      <c r="IA58" s="507">
        <v>0</v>
      </c>
      <c r="IB58" s="507">
        <v>0</v>
      </c>
      <c r="IC58" s="507">
        <v>0</v>
      </c>
      <c r="ID58" s="507">
        <v>0</v>
      </c>
      <c r="IE58" s="507">
        <v>0</v>
      </c>
      <c r="IF58" s="507">
        <v>0</v>
      </c>
      <c r="IG58" s="507">
        <v>0</v>
      </c>
      <c r="IH58" s="571">
        <v>0</v>
      </c>
    </row>
    <row r="59" spans="1:242" s="503" customFormat="1" ht="15.95" customHeight="1" x14ac:dyDescent="0.2">
      <c r="A59" s="529" t="s">
        <v>553</v>
      </c>
      <c r="B59" s="527">
        <v>36</v>
      </c>
      <c r="D59" s="591" t="s">
        <v>554</v>
      </c>
      <c r="E59" s="535"/>
      <c r="F59" s="536"/>
      <c r="G59" s="537"/>
      <c r="H59" s="507">
        <v>0</v>
      </c>
      <c r="I59" s="507">
        <v>0</v>
      </c>
      <c r="J59" s="507">
        <v>0</v>
      </c>
      <c r="K59" s="507">
        <v>0</v>
      </c>
      <c r="L59" s="507">
        <v>0</v>
      </c>
      <c r="M59" s="507">
        <v>0</v>
      </c>
      <c r="N59" s="507">
        <v>0</v>
      </c>
      <c r="O59" s="507">
        <v>284180.53095073521</v>
      </c>
      <c r="P59" s="507">
        <v>0</v>
      </c>
      <c r="Q59" s="507">
        <v>0</v>
      </c>
      <c r="R59" s="507">
        <v>316827.93242774886</v>
      </c>
      <c r="S59" s="507">
        <v>316827.93242774886</v>
      </c>
      <c r="T59" s="507">
        <v>0</v>
      </c>
      <c r="U59" s="507">
        <v>316451.63775835553</v>
      </c>
      <c r="V59" s="507">
        <v>0</v>
      </c>
      <c r="W59" s="507">
        <v>295009.73287579336</v>
      </c>
      <c r="X59" s="507">
        <v>10829.201925058218</v>
      </c>
      <c r="Y59" s="507">
        <v>0</v>
      </c>
      <c r="Z59" s="507">
        <v>0</v>
      </c>
      <c r="AA59" s="507">
        <v>0</v>
      </c>
      <c r="AB59" s="507">
        <v>0</v>
      </c>
      <c r="AC59" s="507">
        <v>0</v>
      </c>
      <c r="AD59" s="507">
        <v>0</v>
      </c>
      <c r="AE59" s="507">
        <v>0</v>
      </c>
      <c r="AF59" s="507">
        <v>0</v>
      </c>
      <c r="AG59" s="507">
        <v>0</v>
      </c>
      <c r="AH59" s="507">
        <v>0</v>
      </c>
      <c r="AI59" s="507">
        <v>0</v>
      </c>
      <c r="AJ59" s="507">
        <v>547.86</v>
      </c>
      <c r="AK59" s="507">
        <v>0</v>
      </c>
      <c r="AL59" s="507">
        <v>3965.69</v>
      </c>
      <c r="AM59" s="507">
        <v>547.86</v>
      </c>
      <c r="AN59" s="507">
        <v>39.869999999999997</v>
      </c>
      <c r="AO59" s="507">
        <v>593.41999999999996</v>
      </c>
      <c r="AP59" s="507">
        <v>0</v>
      </c>
      <c r="AQ59" s="507">
        <v>0</v>
      </c>
      <c r="AR59" s="507">
        <v>593.41999999999996</v>
      </c>
      <c r="AS59" s="507">
        <v>23.06</v>
      </c>
      <c r="AT59" s="507">
        <v>23.06</v>
      </c>
      <c r="AU59" s="507">
        <v>0</v>
      </c>
      <c r="AV59" s="507">
        <v>0</v>
      </c>
      <c r="AW59" s="507">
        <v>22.42</v>
      </c>
      <c r="AX59" s="507">
        <v>0</v>
      </c>
      <c r="AY59" s="507">
        <v>0</v>
      </c>
      <c r="AZ59" s="507">
        <v>0</v>
      </c>
      <c r="BA59" s="507">
        <v>22.42</v>
      </c>
      <c r="BB59" s="507">
        <v>0</v>
      </c>
      <c r="BC59" s="507">
        <v>0</v>
      </c>
      <c r="BD59" s="507">
        <v>0</v>
      </c>
      <c r="BE59" s="507">
        <v>0</v>
      </c>
      <c r="BF59" s="507">
        <v>0</v>
      </c>
      <c r="BG59" s="507">
        <v>39.869999999999997</v>
      </c>
      <c r="BH59" s="507">
        <v>39.869999999999997</v>
      </c>
      <c r="BI59" s="507">
        <v>0</v>
      </c>
      <c r="BJ59" s="507">
        <v>39.869999999999997</v>
      </c>
      <c r="BK59" s="507">
        <v>0</v>
      </c>
      <c r="BL59" s="507">
        <v>39.869999999999997</v>
      </c>
      <c r="BM59" s="507">
        <v>0</v>
      </c>
      <c r="BN59" s="507">
        <v>0</v>
      </c>
      <c r="BO59" s="507">
        <v>0</v>
      </c>
      <c r="BP59" s="507">
        <v>0</v>
      </c>
      <c r="BQ59" s="507">
        <v>0</v>
      </c>
      <c r="BR59" s="507">
        <v>570.27</v>
      </c>
      <c r="BS59" s="507">
        <v>593.41999999999996</v>
      </c>
      <c r="BT59" s="507">
        <v>0</v>
      </c>
      <c r="BU59" s="507">
        <v>570.36</v>
      </c>
      <c r="BV59" s="507">
        <v>570.36</v>
      </c>
      <c r="BW59" s="507">
        <v>593.41999999999996</v>
      </c>
      <c r="BX59" s="507">
        <v>547.89</v>
      </c>
      <c r="BY59" s="507">
        <v>3925.88</v>
      </c>
      <c r="BZ59" s="507">
        <v>3925.88</v>
      </c>
      <c r="CA59" s="507">
        <v>570.36</v>
      </c>
      <c r="CB59" s="507">
        <v>570.30999999999995</v>
      </c>
      <c r="CC59" s="507">
        <v>0</v>
      </c>
      <c r="CD59" s="507">
        <v>0</v>
      </c>
      <c r="CE59" s="507">
        <v>0</v>
      </c>
      <c r="CF59" s="507">
        <v>0</v>
      </c>
      <c r="CG59" s="507">
        <v>10647.16</v>
      </c>
      <c r="CH59" s="507">
        <v>10647.16</v>
      </c>
      <c r="CI59" s="507">
        <v>22.42</v>
      </c>
      <c r="CJ59" s="507">
        <v>22.42</v>
      </c>
      <c r="CK59" s="507">
        <v>0</v>
      </c>
      <c r="CL59" s="507">
        <v>0</v>
      </c>
      <c r="CM59" s="507">
        <v>0</v>
      </c>
      <c r="CN59" s="507">
        <v>0</v>
      </c>
      <c r="CO59" s="507">
        <v>39.869999999999997</v>
      </c>
      <c r="CP59" s="507">
        <v>0</v>
      </c>
      <c r="CQ59" s="507">
        <v>39.869999999999997</v>
      </c>
      <c r="CR59" s="507">
        <v>39.869999999999997</v>
      </c>
      <c r="CS59" s="507">
        <v>0</v>
      </c>
      <c r="CT59" s="507">
        <v>130.24</v>
      </c>
      <c r="CU59" s="507">
        <v>130.24</v>
      </c>
      <c r="CV59" s="507">
        <v>0</v>
      </c>
      <c r="CW59" s="507">
        <v>0</v>
      </c>
      <c r="CX59" s="507">
        <v>0</v>
      </c>
      <c r="CY59" s="507">
        <v>16984.55</v>
      </c>
      <c r="CZ59" s="507">
        <v>16984.55</v>
      </c>
      <c r="DA59" s="507">
        <v>0</v>
      </c>
      <c r="DB59" s="507">
        <v>0</v>
      </c>
      <c r="DC59" s="507">
        <v>0</v>
      </c>
      <c r="DD59" s="507">
        <v>0</v>
      </c>
      <c r="DE59" s="507">
        <v>570.36</v>
      </c>
      <c r="DF59" s="507">
        <v>570.36</v>
      </c>
      <c r="DG59" s="507">
        <v>0</v>
      </c>
      <c r="DH59" s="507">
        <v>0</v>
      </c>
      <c r="DI59" s="507">
        <v>0</v>
      </c>
      <c r="DJ59" s="507">
        <v>0</v>
      </c>
      <c r="DK59" s="507">
        <v>0</v>
      </c>
      <c r="DL59" s="507">
        <v>0</v>
      </c>
      <c r="DM59" s="507">
        <v>0</v>
      </c>
      <c r="DN59" s="507">
        <v>0</v>
      </c>
      <c r="DO59" s="507">
        <v>0</v>
      </c>
      <c r="DP59" s="507">
        <v>0</v>
      </c>
      <c r="DQ59" s="507">
        <v>3925.82</v>
      </c>
      <c r="DR59" s="507">
        <v>3925.82</v>
      </c>
      <c r="DS59" s="507">
        <v>0</v>
      </c>
      <c r="DT59" s="507">
        <v>593.41999999999996</v>
      </c>
      <c r="DU59" s="507">
        <v>0</v>
      </c>
      <c r="DV59" s="507">
        <v>22.42</v>
      </c>
      <c r="DW59" s="507">
        <v>39.869999999999997</v>
      </c>
      <c r="DX59" s="507">
        <v>0</v>
      </c>
      <c r="DY59" s="507">
        <v>17024.419999999998</v>
      </c>
      <c r="DZ59" s="507">
        <v>17024.419999999998</v>
      </c>
      <c r="EA59" s="507">
        <v>23.06</v>
      </c>
      <c r="EB59" s="507">
        <v>0</v>
      </c>
      <c r="EC59" s="507">
        <v>0</v>
      </c>
      <c r="ED59" s="507">
        <v>547.86</v>
      </c>
      <c r="EE59" s="507">
        <v>0</v>
      </c>
      <c r="EF59" s="507">
        <v>593.41999999999996</v>
      </c>
      <c r="EG59" s="507">
        <v>0</v>
      </c>
      <c r="EH59" s="507">
        <v>23.06</v>
      </c>
      <c r="EI59" s="507">
        <v>23.06</v>
      </c>
      <c r="EJ59" s="507">
        <v>0</v>
      </c>
      <c r="EK59" s="507">
        <v>0</v>
      </c>
      <c r="EL59" s="507">
        <v>0</v>
      </c>
      <c r="EM59" s="507">
        <v>0</v>
      </c>
      <c r="EN59" s="507">
        <v>0</v>
      </c>
      <c r="EO59" s="507">
        <v>0</v>
      </c>
      <c r="EP59" s="507">
        <v>0</v>
      </c>
      <c r="EQ59" s="507">
        <v>0</v>
      </c>
      <c r="ER59" s="507">
        <v>0</v>
      </c>
      <c r="ES59" s="507">
        <v>0</v>
      </c>
      <c r="ET59" s="507">
        <v>39.869999999999997</v>
      </c>
      <c r="EU59" s="507">
        <v>0</v>
      </c>
      <c r="EV59" s="507">
        <v>0</v>
      </c>
      <c r="EW59" s="507">
        <v>0</v>
      </c>
      <c r="EX59" s="507">
        <v>0</v>
      </c>
      <c r="EY59" s="507">
        <v>0</v>
      </c>
      <c r="EZ59" s="507">
        <v>0</v>
      </c>
      <c r="FA59" s="507">
        <v>0</v>
      </c>
      <c r="FB59" s="507">
        <v>0</v>
      </c>
      <c r="FC59" s="507">
        <v>0</v>
      </c>
      <c r="FD59" s="507">
        <v>0</v>
      </c>
      <c r="FE59" s="507">
        <v>0</v>
      </c>
      <c r="FF59" s="507">
        <v>0</v>
      </c>
      <c r="FG59" s="507">
        <v>0</v>
      </c>
      <c r="FH59" s="507">
        <v>0</v>
      </c>
      <c r="FI59" s="507">
        <v>0</v>
      </c>
      <c r="FJ59" s="507">
        <v>0</v>
      </c>
      <c r="FK59" s="507">
        <v>0</v>
      </c>
      <c r="FL59" s="507">
        <v>0</v>
      </c>
      <c r="FM59" s="507">
        <v>0</v>
      </c>
      <c r="FN59" s="507">
        <v>0</v>
      </c>
      <c r="FO59" s="507">
        <v>0</v>
      </c>
      <c r="FP59" s="507">
        <v>0</v>
      </c>
      <c r="FQ59" s="507">
        <v>0</v>
      </c>
      <c r="FR59" s="507">
        <v>0</v>
      </c>
      <c r="FS59" s="507">
        <v>0</v>
      </c>
      <c r="FT59" s="507">
        <v>0</v>
      </c>
      <c r="FU59" s="507">
        <v>547.86</v>
      </c>
      <c r="FV59" s="507">
        <v>593.41999999999996</v>
      </c>
      <c r="FW59" s="507">
        <v>0</v>
      </c>
      <c r="FX59" s="507">
        <v>0</v>
      </c>
      <c r="FY59" s="507">
        <v>0</v>
      </c>
      <c r="FZ59" s="507">
        <v>22.42</v>
      </c>
      <c r="GA59" s="507">
        <v>22.42</v>
      </c>
      <c r="GB59" s="507">
        <v>0</v>
      </c>
      <c r="GC59" s="507">
        <v>0</v>
      </c>
      <c r="GD59" s="507">
        <v>0</v>
      </c>
      <c r="GE59" s="507">
        <v>0</v>
      </c>
      <c r="GF59" s="507">
        <v>0</v>
      </c>
      <c r="GG59" s="507">
        <v>0</v>
      </c>
      <c r="GH59" s="507">
        <v>0</v>
      </c>
      <c r="GI59" s="507">
        <v>0</v>
      </c>
      <c r="GJ59" s="507">
        <v>0</v>
      </c>
      <c r="GK59" s="507">
        <v>0</v>
      </c>
      <c r="GL59" s="507">
        <v>0</v>
      </c>
      <c r="GM59" s="507">
        <v>0</v>
      </c>
      <c r="GN59" s="507">
        <v>0</v>
      </c>
      <c r="GO59" s="507">
        <v>0</v>
      </c>
      <c r="GP59" s="507">
        <v>39.81</v>
      </c>
      <c r="GQ59" s="507">
        <v>0</v>
      </c>
      <c r="GR59" s="507">
        <v>0</v>
      </c>
      <c r="GS59" s="507">
        <v>0</v>
      </c>
      <c r="GT59" s="507">
        <v>570.36</v>
      </c>
      <c r="GU59" s="507">
        <v>0</v>
      </c>
      <c r="GV59" s="507">
        <v>0</v>
      </c>
      <c r="GW59" s="507">
        <v>0</v>
      </c>
      <c r="GX59" s="507">
        <v>0</v>
      </c>
      <c r="GY59" s="507">
        <v>0</v>
      </c>
      <c r="GZ59" s="507">
        <v>0</v>
      </c>
      <c r="HA59" s="507">
        <v>0</v>
      </c>
      <c r="HB59" s="507">
        <v>0</v>
      </c>
      <c r="HC59" s="507">
        <v>0</v>
      </c>
      <c r="HD59" s="507">
        <v>39.869999999999997</v>
      </c>
      <c r="HE59" s="507">
        <v>39.869999999999997</v>
      </c>
      <c r="HF59" s="507">
        <v>39.869999999999997</v>
      </c>
      <c r="HG59" s="507">
        <v>0</v>
      </c>
      <c r="HH59" s="507">
        <v>0</v>
      </c>
      <c r="HI59" s="507">
        <v>0</v>
      </c>
      <c r="HJ59" s="507">
        <v>0</v>
      </c>
      <c r="HK59" s="507">
        <v>0</v>
      </c>
      <c r="HL59" s="507">
        <v>0</v>
      </c>
      <c r="HM59" s="507">
        <v>0</v>
      </c>
      <c r="HN59" s="507">
        <v>0</v>
      </c>
      <c r="HO59" s="507">
        <v>23.06</v>
      </c>
      <c r="HP59" s="507">
        <v>10647.16</v>
      </c>
      <c r="HQ59" s="507">
        <v>0</v>
      </c>
      <c r="HR59" s="507">
        <v>0</v>
      </c>
      <c r="HS59" s="507">
        <v>0</v>
      </c>
      <c r="HT59" s="507">
        <v>0</v>
      </c>
      <c r="HU59" s="507">
        <v>570.36</v>
      </c>
      <c r="HV59" s="507">
        <v>0</v>
      </c>
      <c r="HW59" s="507">
        <v>570.27</v>
      </c>
      <c r="HX59" s="507">
        <v>570.27</v>
      </c>
      <c r="HY59" s="507">
        <v>593.41999999999996</v>
      </c>
      <c r="HZ59" s="507">
        <v>593.41999999999996</v>
      </c>
      <c r="IA59" s="507">
        <v>0</v>
      </c>
      <c r="IB59" s="507">
        <v>0</v>
      </c>
      <c r="IC59" s="507">
        <v>0</v>
      </c>
      <c r="ID59" s="507">
        <v>0</v>
      </c>
      <c r="IE59" s="507">
        <v>0</v>
      </c>
      <c r="IF59" s="507">
        <v>0</v>
      </c>
      <c r="IG59" s="507">
        <v>39.869999999999997</v>
      </c>
      <c r="IH59" s="571">
        <v>39.869999999999997</v>
      </c>
    </row>
    <row r="60" spans="1:242" s="503" customFormat="1" ht="15.95" customHeight="1" x14ac:dyDescent="0.2">
      <c r="A60" s="529" t="s">
        <v>555</v>
      </c>
      <c r="B60" s="527">
        <v>37</v>
      </c>
      <c r="D60" s="998" t="s">
        <v>47</v>
      </c>
      <c r="E60" s="999"/>
      <c r="F60" s="999"/>
      <c r="G60" s="1000"/>
      <c r="H60" s="507">
        <f>SUM(H42:H59)</f>
        <v>45041.240000000005</v>
      </c>
      <c r="I60" s="507">
        <f t="shared" ref="I60:BT60" si="5">SUM(I42:I59)</f>
        <v>42576.18</v>
      </c>
      <c r="J60" s="507">
        <f t="shared" si="5"/>
        <v>693</v>
      </c>
      <c r="K60" s="507">
        <f t="shared" si="5"/>
        <v>899983.34999999986</v>
      </c>
      <c r="L60" s="507">
        <f t="shared" si="5"/>
        <v>945024.59999999986</v>
      </c>
      <c r="M60" s="507">
        <f t="shared" si="5"/>
        <v>945017.29999999993</v>
      </c>
      <c r="N60" s="507">
        <f t="shared" si="5"/>
        <v>599144</v>
      </c>
      <c r="O60" s="507">
        <f t="shared" si="5"/>
        <v>935573.35609744757</v>
      </c>
      <c r="P60" s="507">
        <f t="shared" si="5"/>
        <v>580801.74479285034</v>
      </c>
      <c r="Q60" s="507">
        <f t="shared" si="5"/>
        <v>575444.0798729253</v>
      </c>
      <c r="R60" s="507">
        <f t="shared" si="5"/>
        <v>953915.71657600813</v>
      </c>
      <c r="S60" s="507">
        <f t="shared" si="5"/>
        <v>953915.71657600813</v>
      </c>
      <c r="T60" s="507">
        <f t="shared" si="5"/>
        <v>5357.6649199249287</v>
      </c>
      <c r="U60" s="507">
        <f t="shared" si="5"/>
        <v>958318.3960085283</v>
      </c>
      <c r="V60" s="507">
        <f t="shared" si="5"/>
        <v>39297.435223020329</v>
      </c>
      <c r="W60" s="507">
        <f t="shared" si="5"/>
        <v>971225.03411700914</v>
      </c>
      <c r="X60" s="507">
        <f t="shared" si="5"/>
        <v>35651.67801956155</v>
      </c>
      <c r="Y60" s="507">
        <f t="shared" si="5"/>
        <v>14717.793332297511</v>
      </c>
      <c r="Z60" s="507">
        <f t="shared" si="5"/>
        <v>13165.293962307978</v>
      </c>
      <c r="AA60" s="507">
        <f t="shared" si="5"/>
        <v>15000</v>
      </c>
      <c r="AB60" s="507">
        <f t="shared" si="5"/>
        <v>13702.799609050831</v>
      </c>
      <c r="AC60" s="507">
        <f t="shared" si="5"/>
        <v>28702.799609050831</v>
      </c>
      <c r="AD60" s="507">
        <f t="shared" si="5"/>
        <v>1647.9857351839073</v>
      </c>
      <c r="AE60" s="507">
        <f t="shared" si="5"/>
        <v>24579.641890722814</v>
      </c>
      <c r="AF60" s="507">
        <f t="shared" si="5"/>
        <v>1765.83</v>
      </c>
      <c r="AG60" s="507">
        <f t="shared" si="5"/>
        <v>881147.99999999988</v>
      </c>
      <c r="AH60" s="507">
        <f t="shared" si="5"/>
        <v>857407.22000000009</v>
      </c>
      <c r="AI60" s="507">
        <f t="shared" si="5"/>
        <v>948265.56999999983</v>
      </c>
      <c r="AJ60" s="507">
        <f t="shared" si="5"/>
        <v>1429558.4800000002</v>
      </c>
      <c r="AK60" s="507">
        <f t="shared" si="5"/>
        <v>882913.96999999986</v>
      </c>
      <c r="AL60" s="507">
        <f t="shared" si="5"/>
        <v>792556.13000000012</v>
      </c>
      <c r="AM60" s="507">
        <f t="shared" si="5"/>
        <v>1487011.4100000001</v>
      </c>
      <c r="AN60" s="507">
        <f t="shared" si="5"/>
        <v>7968.1200000000008</v>
      </c>
      <c r="AO60" s="507">
        <f t="shared" si="5"/>
        <v>1550312.4599999997</v>
      </c>
      <c r="AP60" s="507">
        <f t="shared" si="5"/>
        <v>35540</v>
      </c>
      <c r="AQ60" s="507">
        <f t="shared" si="5"/>
        <v>94538.139999999985</v>
      </c>
      <c r="AR60" s="507">
        <f t="shared" si="5"/>
        <v>1547978.0099999998</v>
      </c>
      <c r="AS60" s="507">
        <f t="shared" si="5"/>
        <v>60163.46</v>
      </c>
      <c r="AT60" s="507">
        <f t="shared" si="5"/>
        <v>3500</v>
      </c>
      <c r="AU60" s="507">
        <f t="shared" si="5"/>
        <v>6559.62</v>
      </c>
      <c r="AV60" s="507">
        <f t="shared" si="5"/>
        <v>89357.099999999977</v>
      </c>
      <c r="AW60" s="507">
        <f t="shared" si="5"/>
        <v>58496.310000000005</v>
      </c>
      <c r="AX60" s="507">
        <f t="shared" si="5"/>
        <v>1378.62</v>
      </c>
      <c r="AY60" s="507">
        <f t="shared" si="5"/>
        <v>97389.419999999984</v>
      </c>
      <c r="AZ60" s="507">
        <f t="shared" si="5"/>
        <v>1875.35</v>
      </c>
      <c r="BA60" s="507">
        <f t="shared" si="5"/>
        <v>63300.339999999989</v>
      </c>
      <c r="BB60" s="507">
        <f t="shared" si="5"/>
        <v>4331.01</v>
      </c>
      <c r="BC60" s="507">
        <f t="shared" si="5"/>
        <v>3248.26</v>
      </c>
      <c r="BD60" s="507">
        <f t="shared" si="5"/>
        <v>557.21</v>
      </c>
      <c r="BE60" s="507">
        <f t="shared" si="5"/>
        <v>8853.5899999999983</v>
      </c>
      <c r="BF60" s="507">
        <f t="shared" si="5"/>
        <v>27.42</v>
      </c>
      <c r="BG60" s="507">
        <f t="shared" si="5"/>
        <v>7940.6699999999992</v>
      </c>
      <c r="BH60" s="507">
        <f t="shared" si="5"/>
        <v>7940.670000000001</v>
      </c>
      <c r="BI60" s="507">
        <f t="shared" si="5"/>
        <v>3120.0200000000004</v>
      </c>
      <c r="BJ60" s="507">
        <f t="shared" si="5"/>
        <v>5090.5700000000006</v>
      </c>
      <c r="BK60" s="507">
        <f t="shared" si="5"/>
        <v>2843.2000000000003</v>
      </c>
      <c r="BL60" s="507">
        <f t="shared" si="5"/>
        <v>1977.4599999999996</v>
      </c>
      <c r="BM60" s="507">
        <f t="shared" si="5"/>
        <v>945024.59999999986</v>
      </c>
      <c r="BN60" s="507">
        <f t="shared" si="5"/>
        <v>945023.29999999993</v>
      </c>
      <c r="BO60" s="507">
        <f t="shared" si="5"/>
        <v>945017.29999999993</v>
      </c>
      <c r="BP60" s="507">
        <f t="shared" si="5"/>
        <v>945017.29999999993</v>
      </c>
      <c r="BQ60" s="507">
        <f t="shared" si="5"/>
        <v>945017.29999999993</v>
      </c>
      <c r="BR60" s="507">
        <f t="shared" si="5"/>
        <v>1550312.3699999999</v>
      </c>
      <c r="BS60" s="507">
        <f t="shared" si="5"/>
        <v>1550312.3699999999</v>
      </c>
      <c r="BT60" s="507">
        <f t="shared" si="5"/>
        <v>948265.56999999983</v>
      </c>
      <c r="BU60" s="507">
        <f t="shared" ref="BU60:EF60" si="6">SUM(BU42:BU59)</f>
        <v>1487814.0599999998</v>
      </c>
      <c r="BV60" s="507">
        <f t="shared" si="6"/>
        <v>1487814.0599999998</v>
      </c>
      <c r="BW60" s="507">
        <f t="shared" si="6"/>
        <v>1550312.3699999999</v>
      </c>
      <c r="BX60" s="507">
        <f t="shared" si="6"/>
        <v>1429658.08</v>
      </c>
      <c r="BY60" s="507">
        <f t="shared" si="6"/>
        <v>784581.9800000001</v>
      </c>
      <c r="BZ60" s="507">
        <f t="shared" si="6"/>
        <v>784581.9800000001</v>
      </c>
      <c r="CA60" s="507">
        <f t="shared" si="6"/>
        <v>1488037.0799999998</v>
      </c>
      <c r="CB60" s="507">
        <f t="shared" si="6"/>
        <v>1488154.66</v>
      </c>
      <c r="CC60" s="507">
        <f t="shared" si="6"/>
        <v>95916.75999999998</v>
      </c>
      <c r="CD60" s="507">
        <f t="shared" si="6"/>
        <v>95916.75999999998</v>
      </c>
      <c r="CE60" s="507">
        <f t="shared" si="6"/>
        <v>30897.799999999996</v>
      </c>
      <c r="CF60" s="507">
        <f t="shared" si="6"/>
        <v>24338.190000000006</v>
      </c>
      <c r="CG60" s="507">
        <f t="shared" si="6"/>
        <v>1615732.41</v>
      </c>
      <c r="CH60" s="507">
        <f t="shared" si="6"/>
        <v>1615732.41</v>
      </c>
      <c r="CI60" s="507">
        <f t="shared" si="6"/>
        <v>58496.310000000005</v>
      </c>
      <c r="CJ60" s="507">
        <f t="shared" si="6"/>
        <v>58491.74</v>
      </c>
      <c r="CK60" s="507">
        <f t="shared" si="6"/>
        <v>2730.1</v>
      </c>
      <c r="CL60" s="507">
        <f t="shared" si="6"/>
        <v>2730.1</v>
      </c>
      <c r="CM60" s="507">
        <f t="shared" si="6"/>
        <v>4427.92</v>
      </c>
      <c r="CN60" s="507">
        <f t="shared" si="6"/>
        <v>4427.92</v>
      </c>
      <c r="CO60" s="507">
        <f t="shared" si="6"/>
        <v>7968.1200000000008</v>
      </c>
      <c r="CP60" s="507">
        <f t="shared" si="6"/>
        <v>3120.0200000000004</v>
      </c>
      <c r="CQ60" s="507">
        <f t="shared" si="6"/>
        <v>7940.6699999999992</v>
      </c>
      <c r="CR60" s="507">
        <f t="shared" si="6"/>
        <v>7940.6699999999992</v>
      </c>
      <c r="CS60" s="507">
        <f t="shared" si="6"/>
        <v>3120.0200000000004</v>
      </c>
      <c r="CT60" s="507">
        <f t="shared" si="6"/>
        <v>16629.170000000006</v>
      </c>
      <c r="CU60" s="507">
        <f t="shared" si="6"/>
        <v>16629.170000000006</v>
      </c>
      <c r="CV60" s="507">
        <f t="shared" si="6"/>
        <v>3444.9</v>
      </c>
      <c r="CW60" s="507">
        <f t="shared" si="6"/>
        <v>3444.9</v>
      </c>
      <c r="CX60" s="507">
        <f t="shared" si="6"/>
        <v>3120.0200000000004</v>
      </c>
      <c r="CY60" s="507">
        <f t="shared" si="6"/>
        <v>842398.60000000009</v>
      </c>
      <c r="CZ60" s="507">
        <f t="shared" si="6"/>
        <v>842398.60000000009</v>
      </c>
      <c r="DA60" s="507">
        <f t="shared" si="6"/>
        <v>88535.719999999972</v>
      </c>
      <c r="DB60" s="507">
        <f t="shared" si="6"/>
        <v>88535.839999999982</v>
      </c>
      <c r="DC60" s="507">
        <f t="shared" si="6"/>
        <v>15588.990000000002</v>
      </c>
      <c r="DD60" s="507">
        <f t="shared" si="6"/>
        <v>15588.990000000002</v>
      </c>
      <c r="DE60" s="507">
        <f t="shared" si="6"/>
        <v>1487814.0199999998</v>
      </c>
      <c r="DF60" s="507">
        <f t="shared" si="6"/>
        <v>1487814.0599999998</v>
      </c>
      <c r="DG60" s="507">
        <f t="shared" si="6"/>
        <v>97.52</v>
      </c>
      <c r="DH60" s="507">
        <f t="shared" si="6"/>
        <v>2.2000000000000002</v>
      </c>
      <c r="DI60" s="507">
        <f t="shared" si="6"/>
        <v>0</v>
      </c>
      <c r="DJ60" s="507">
        <f t="shared" si="6"/>
        <v>2.2000000000000002</v>
      </c>
      <c r="DK60" s="507">
        <f t="shared" si="6"/>
        <v>35271.009999999995</v>
      </c>
      <c r="DL60" s="507">
        <f t="shared" si="6"/>
        <v>881147.99999999988</v>
      </c>
      <c r="DM60" s="507">
        <f t="shared" si="6"/>
        <v>4427.92</v>
      </c>
      <c r="DN60" s="507">
        <f t="shared" si="6"/>
        <v>4331.01</v>
      </c>
      <c r="DO60" s="507">
        <f t="shared" si="6"/>
        <v>178.49</v>
      </c>
      <c r="DP60" s="507">
        <f t="shared" si="6"/>
        <v>0</v>
      </c>
      <c r="DQ60" s="507">
        <f t="shared" si="6"/>
        <v>784588.00999999989</v>
      </c>
      <c r="DR60" s="507">
        <f t="shared" si="6"/>
        <v>784588.00999999989</v>
      </c>
      <c r="DS60" s="507">
        <f t="shared" si="6"/>
        <v>89357.13999999997</v>
      </c>
      <c r="DT60" s="507">
        <f t="shared" si="6"/>
        <v>1547978.0099999998</v>
      </c>
      <c r="DU60" s="507">
        <f t="shared" si="6"/>
        <v>97389.419999999984</v>
      </c>
      <c r="DV60" s="507">
        <f t="shared" si="6"/>
        <v>63300.339999999989</v>
      </c>
      <c r="DW60" s="507">
        <f t="shared" si="6"/>
        <v>7940.6699999999992</v>
      </c>
      <c r="DX60" s="507">
        <f t="shared" si="6"/>
        <v>3444.9</v>
      </c>
      <c r="DY60" s="507">
        <f t="shared" si="6"/>
        <v>844375.99000000011</v>
      </c>
      <c r="DZ60" s="507">
        <f t="shared" si="6"/>
        <v>844375.99000000011</v>
      </c>
      <c r="EA60" s="507">
        <f t="shared" si="6"/>
        <v>60163.46</v>
      </c>
      <c r="EB60" s="507">
        <f t="shared" si="6"/>
        <v>88535.719999999972</v>
      </c>
      <c r="EC60" s="507">
        <f t="shared" si="6"/>
        <v>0</v>
      </c>
      <c r="ED60" s="507">
        <f t="shared" si="6"/>
        <v>9228.4900000000016</v>
      </c>
      <c r="EE60" s="507">
        <f t="shared" si="6"/>
        <v>1422265.51</v>
      </c>
      <c r="EF60" s="507">
        <f t="shared" si="6"/>
        <v>4814.8599999999997</v>
      </c>
      <c r="EG60" s="507">
        <f t="shared" ref="EG60:GR60" si="7">SUM(EG42:EG59)</f>
        <v>1514400.96</v>
      </c>
      <c r="EH60" s="507">
        <f t="shared" si="7"/>
        <v>3500</v>
      </c>
      <c r="EI60" s="507">
        <f t="shared" si="7"/>
        <v>3500</v>
      </c>
      <c r="EJ60" s="507">
        <f t="shared" si="7"/>
        <v>44615.290000000008</v>
      </c>
      <c r="EK60" s="507">
        <f t="shared" si="7"/>
        <v>44615.290000000008</v>
      </c>
      <c r="EL60" s="507">
        <f t="shared" si="7"/>
        <v>2.2000000000000002</v>
      </c>
      <c r="EM60" s="507">
        <f t="shared" si="7"/>
        <v>2.2000000000000002</v>
      </c>
      <c r="EN60" s="507">
        <f t="shared" si="7"/>
        <v>2.2000000000000002</v>
      </c>
      <c r="EO60" s="507">
        <f t="shared" si="7"/>
        <v>2.2000000000000002</v>
      </c>
      <c r="EP60" s="507">
        <f t="shared" si="7"/>
        <v>0</v>
      </c>
      <c r="EQ60" s="507">
        <f t="shared" si="7"/>
        <v>75.83</v>
      </c>
      <c r="ER60" s="507">
        <f t="shared" si="7"/>
        <v>44.09</v>
      </c>
      <c r="ES60" s="507">
        <f t="shared" si="7"/>
        <v>7200</v>
      </c>
      <c r="ET60" s="507">
        <f t="shared" si="7"/>
        <v>7968.1200000000008</v>
      </c>
      <c r="EU60" s="507">
        <f t="shared" si="7"/>
        <v>207.82</v>
      </c>
      <c r="EV60" s="507">
        <f t="shared" si="7"/>
        <v>42563.079999999994</v>
      </c>
      <c r="EW60" s="507">
        <f t="shared" si="7"/>
        <v>10640.760000000002</v>
      </c>
      <c r="EX60" s="507">
        <f t="shared" si="7"/>
        <v>10640.760000000002</v>
      </c>
      <c r="EY60" s="507">
        <f t="shared" si="7"/>
        <v>10640.760000000002</v>
      </c>
      <c r="EZ60" s="507">
        <f t="shared" si="7"/>
        <v>10640.760000000002</v>
      </c>
      <c r="FA60" s="507">
        <f t="shared" si="7"/>
        <v>10640.760000000002</v>
      </c>
      <c r="FB60" s="507">
        <f t="shared" si="7"/>
        <v>10640.760000000002</v>
      </c>
      <c r="FC60" s="507">
        <f t="shared" si="7"/>
        <v>21281.55</v>
      </c>
      <c r="FD60" s="507">
        <f t="shared" si="7"/>
        <v>21281.55</v>
      </c>
      <c r="FE60" s="507">
        <f t="shared" si="7"/>
        <v>692.73</v>
      </c>
      <c r="FF60" s="507">
        <f t="shared" si="7"/>
        <v>692.73</v>
      </c>
      <c r="FG60" s="507">
        <f t="shared" si="7"/>
        <v>878688.73</v>
      </c>
      <c r="FH60" s="507">
        <f t="shared" si="7"/>
        <v>878688.73</v>
      </c>
      <c r="FI60" s="507">
        <f t="shared" si="7"/>
        <v>945024.59999999986</v>
      </c>
      <c r="FJ60" s="507">
        <f t="shared" si="7"/>
        <v>472512.29999999993</v>
      </c>
      <c r="FK60" s="507">
        <f t="shared" si="7"/>
        <v>472512.29999999993</v>
      </c>
      <c r="FL60" s="507">
        <f t="shared" si="7"/>
        <v>472512.29999999993</v>
      </c>
      <c r="FM60" s="507">
        <f t="shared" si="7"/>
        <v>472512.29999999993</v>
      </c>
      <c r="FN60" s="507">
        <f t="shared" si="7"/>
        <v>472512.29999999993</v>
      </c>
      <c r="FO60" s="507">
        <f t="shared" si="7"/>
        <v>881147.99999999988</v>
      </c>
      <c r="FP60" s="507">
        <f t="shared" si="7"/>
        <v>220287.01</v>
      </c>
      <c r="FQ60" s="507">
        <f t="shared" si="7"/>
        <v>220287.01</v>
      </c>
      <c r="FR60" s="507">
        <f t="shared" si="7"/>
        <v>660860.99</v>
      </c>
      <c r="FS60" s="507">
        <f t="shared" si="7"/>
        <v>660860.99</v>
      </c>
      <c r="FT60" s="507">
        <f t="shared" si="7"/>
        <v>857407.22000000009</v>
      </c>
      <c r="FU60" s="507">
        <f t="shared" si="7"/>
        <v>1431493.9400000002</v>
      </c>
      <c r="FV60" s="507">
        <f t="shared" si="7"/>
        <v>1519216.3399999996</v>
      </c>
      <c r="FW60" s="507">
        <f t="shared" si="7"/>
        <v>89836.679999999978</v>
      </c>
      <c r="FX60" s="507">
        <f t="shared" si="7"/>
        <v>0</v>
      </c>
      <c r="FY60" s="507">
        <f t="shared" si="7"/>
        <v>89836.679999999978</v>
      </c>
      <c r="FZ60" s="507">
        <f t="shared" si="7"/>
        <v>58588.229999999989</v>
      </c>
      <c r="GA60" s="507">
        <f t="shared" si="7"/>
        <v>427.40999999999997</v>
      </c>
      <c r="GB60" s="507">
        <f t="shared" si="7"/>
        <v>58160.80999999999</v>
      </c>
      <c r="GC60" s="507">
        <f t="shared" si="7"/>
        <v>322.08</v>
      </c>
      <c r="GD60" s="507">
        <f t="shared" si="7"/>
        <v>0</v>
      </c>
      <c r="GE60" s="507">
        <f t="shared" si="7"/>
        <v>322.08</v>
      </c>
      <c r="GF60" s="507">
        <f t="shared" si="7"/>
        <v>365.84</v>
      </c>
      <c r="GG60" s="507">
        <f t="shared" si="7"/>
        <v>0</v>
      </c>
      <c r="GH60" s="507">
        <f t="shared" si="7"/>
        <v>365.84</v>
      </c>
      <c r="GI60" s="507">
        <f t="shared" si="7"/>
        <v>575439.85999999987</v>
      </c>
      <c r="GJ60" s="507">
        <f t="shared" si="7"/>
        <v>945017.37000000011</v>
      </c>
      <c r="GK60" s="507">
        <f t="shared" si="7"/>
        <v>945017.37000000011</v>
      </c>
      <c r="GL60" s="507">
        <f t="shared" si="7"/>
        <v>945017.29999999993</v>
      </c>
      <c r="GM60" s="507">
        <f t="shared" si="7"/>
        <v>945017.29999999993</v>
      </c>
      <c r="GN60" s="507">
        <f t="shared" si="7"/>
        <v>948265.56999999983</v>
      </c>
      <c r="GO60" s="507">
        <f t="shared" si="7"/>
        <v>281967.46000000002</v>
      </c>
      <c r="GP60" s="507">
        <f t="shared" si="7"/>
        <v>948341.3899999999</v>
      </c>
      <c r="GQ60" s="507">
        <f t="shared" si="7"/>
        <v>940367.2</v>
      </c>
      <c r="GR60" s="507">
        <f t="shared" si="7"/>
        <v>882913.96999999986</v>
      </c>
      <c r="GS60" s="507">
        <f t="shared" ref="GS60:HV60" si="8">SUM(GS42:GS59)</f>
        <v>89357.13999999997</v>
      </c>
      <c r="GT60" s="507">
        <f t="shared" si="8"/>
        <v>1487814.0199999998</v>
      </c>
      <c r="GU60" s="507">
        <f t="shared" si="8"/>
        <v>6586.74</v>
      </c>
      <c r="GV60" s="507">
        <f t="shared" si="8"/>
        <v>88535.719999999972</v>
      </c>
      <c r="GW60" s="507">
        <f t="shared" si="8"/>
        <v>88535.719999999972</v>
      </c>
      <c r="GX60" s="507">
        <f t="shared" si="8"/>
        <v>88535.839999999982</v>
      </c>
      <c r="GY60" s="507">
        <f t="shared" si="8"/>
        <v>1875.35</v>
      </c>
      <c r="GZ60" s="507">
        <f t="shared" si="8"/>
        <v>4605.45</v>
      </c>
      <c r="HA60" s="507">
        <f t="shared" si="8"/>
        <v>177.52999999999997</v>
      </c>
      <c r="HB60" s="507">
        <f t="shared" si="8"/>
        <v>96.910000000000011</v>
      </c>
      <c r="HC60" s="507">
        <f t="shared" si="8"/>
        <v>1082.76</v>
      </c>
      <c r="HD60" s="507">
        <f t="shared" si="8"/>
        <v>1977.4599999999996</v>
      </c>
      <c r="HE60" s="507">
        <f t="shared" si="8"/>
        <v>5090.5700000000006</v>
      </c>
      <c r="HF60" s="507">
        <f t="shared" si="8"/>
        <v>1977.4599999999996</v>
      </c>
      <c r="HG60" s="507">
        <f t="shared" si="8"/>
        <v>15849.539999999999</v>
      </c>
      <c r="HH60" s="507">
        <f t="shared" si="8"/>
        <v>0</v>
      </c>
      <c r="HI60" s="507">
        <f t="shared" si="8"/>
        <v>15849.539999999999</v>
      </c>
      <c r="HJ60" s="507">
        <f t="shared" si="8"/>
        <v>269.89</v>
      </c>
      <c r="HK60" s="507">
        <f t="shared" si="8"/>
        <v>331.8</v>
      </c>
      <c r="HL60" s="507">
        <f t="shared" si="8"/>
        <v>95916.75999999998</v>
      </c>
      <c r="HM60" s="507">
        <f t="shared" si="8"/>
        <v>32038.57</v>
      </c>
      <c r="HN60" s="507">
        <f t="shared" si="8"/>
        <v>25453.229999999996</v>
      </c>
      <c r="HO60" s="507">
        <f t="shared" si="8"/>
        <v>3500</v>
      </c>
      <c r="HP60" s="507">
        <f t="shared" si="8"/>
        <v>1615732.41</v>
      </c>
      <c r="HQ60" s="507">
        <f t="shared" si="8"/>
        <v>44615.290000000008</v>
      </c>
      <c r="HR60" s="507">
        <f t="shared" si="8"/>
        <v>260.54999999999995</v>
      </c>
      <c r="HS60" s="507">
        <f t="shared" si="8"/>
        <v>220.46</v>
      </c>
      <c r="HT60" s="507">
        <f t="shared" si="8"/>
        <v>220.46</v>
      </c>
      <c r="HU60" s="507">
        <f t="shared" si="8"/>
        <v>1487814.0199999998</v>
      </c>
      <c r="HV60" s="507">
        <f t="shared" si="8"/>
        <v>89331.43</v>
      </c>
      <c r="HW60" s="507">
        <f>SUM(HW42:HW59)</f>
        <v>1550312.3699999999</v>
      </c>
      <c r="HX60" s="507">
        <f>SUM(HX42:HX59)</f>
        <v>1550312.3699999999</v>
      </c>
      <c r="HY60" s="507">
        <f t="shared" ref="HY60:IF60" si="9">SUM(HY42:HY59)</f>
        <v>1550312.4599999997</v>
      </c>
      <c r="HZ60" s="507">
        <f t="shared" si="9"/>
        <v>1550312.4599999997</v>
      </c>
      <c r="IA60" s="507">
        <f t="shared" si="9"/>
        <v>21780</v>
      </c>
      <c r="IB60" s="507">
        <f t="shared" si="9"/>
        <v>13760</v>
      </c>
      <c r="IC60" s="507">
        <f t="shared" si="9"/>
        <v>35540</v>
      </c>
      <c r="ID60" s="507">
        <f t="shared" si="9"/>
        <v>35540</v>
      </c>
      <c r="IE60" s="507">
        <f t="shared" si="9"/>
        <v>557.21</v>
      </c>
      <c r="IF60" s="507">
        <f t="shared" si="9"/>
        <v>557.21</v>
      </c>
      <c r="IG60" s="507">
        <f>SUM(IG42:IG59)</f>
        <v>7940.670000000001</v>
      </c>
      <c r="IH60" s="571">
        <f>SUM(IH42:IH59)</f>
        <v>5090.5700000000006</v>
      </c>
    </row>
    <row r="61" spans="1:242" s="503" customFormat="1" ht="15.95" customHeight="1" x14ac:dyDescent="0.2">
      <c r="A61" s="529" t="s">
        <v>531</v>
      </c>
      <c r="B61" s="527">
        <v>38</v>
      </c>
      <c r="D61" s="592" t="s">
        <v>551</v>
      </c>
      <c r="E61" s="538" t="s">
        <v>552</v>
      </c>
      <c r="F61" s="539">
        <v>84.007000000000005</v>
      </c>
      <c r="G61" s="540">
        <v>2834.32998</v>
      </c>
      <c r="H61" s="507">
        <v>0</v>
      </c>
      <c r="I61" s="507">
        <v>0</v>
      </c>
      <c r="J61" s="507" t="s">
        <v>668</v>
      </c>
      <c r="K61" s="507">
        <v>0</v>
      </c>
      <c r="L61" s="507">
        <v>0</v>
      </c>
      <c r="M61" s="507">
        <v>0</v>
      </c>
      <c r="N61" s="507" t="s">
        <v>668</v>
      </c>
      <c r="O61" s="507" t="s">
        <v>668</v>
      </c>
      <c r="P61" s="507" t="s">
        <v>668</v>
      </c>
      <c r="Q61" s="507" t="s">
        <v>668</v>
      </c>
      <c r="R61" s="507" t="s">
        <v>668</v>
      </c>
      <c r="S61" s="507" t="s">
        <v>668</v>
      </c>
      <c r="T61" s="507" t="s">
        <v>668</v>
      </c>
      <c r="U61" s="507" t="s">
        <v>668</v>
      </c>
      <c r="V61" s="507" t="s">
        <v>668</v>
      </c>
      <c r="W61" s="507" t="s">
        <v>668</v>
      </c>
      <c r="X61" s="507" t="s">
        <v>668</v>
      </c>
      <c r="Y61" s="507" t="s">
        <v>668</v>
      </c>
      <c r="Z61" s="507" t="s">
        <v>668</v>
      </c>
      <c r="AA61" s="507" t="s">
        <v>668</v>
      </c>
      <c r="AB61" s="507" t="s">
        <v>668</v>
      </c>
      <c r="AC61" s="507" t="s">
        <v>668</v>
      </c>
      <c r="AD61" s="507" t="s">
        <v>668</v>
      </c>
      <c r="AE61" s="507" t="s">
        <v>668</v>
      </c>
      <c r="AF61" s="507">
        <v>0</v>
      </c>
      <c r="AG61" s="507">
        <v>0</v>
      </c>
      <c r="AH61" s="507">
        <v>0</v>
      </c>
      <c r="AI61" s="507">
        <v>0</v>
      </c>
      <c r="AJ61" s="507">
        <v>547.86</v>
      </c>
      <c r="AK61" s="507">
        <v>0</v>
      </c>
      <c r="AL61" s="507">
        <v>3965.69</v>
      </c>
      <c r="AM61" s="507">
        <v>547.86</v>
      </c>
      <c r="AN61" s="507">
        <v>39.869999999999997</v>
      </c>
      <c r="AO61" s="507">
        <v>593.41999999999996</v>
      </c>
      <c r="AP61" s="507">
        <v>0</v>
      </c>
      <c r="AQ61" s="507">
        <v>0</v>
      </c>
      <c r="AR61" s="507">
        <v>593.41999999999996</v>
      </c>
      <c r="AS61" s="507">
        <v>23.06</v>
      </c>
      <c r="AT61" s="507">
        <v>23.06</v>
      </c>
      <c r="AU61" s="507">
        <v>0</v>
      </c>
      <c r="AV61" s="507">
        <v>0</v>
      </c>
      <c r="AW61" s="507">
        <v>22.42</v>
      </c>
      <c r="AX61" s="507">
        <v>0</v>
      </c>
      <c r="AY61" s="507">
        <v>0</v>
      </c>
      <c r="AZ61" s="507">
        <v>0</v>
      </c>
      <c r="BA61" s="507">
        <v>22.42</v>
      </c>
      <c r="BB61" s="507">
        <v>0</v>
      </c>
      <c r="BC61" s="507">
        <v>0</v>
      </c>
      <c r="BD61" s="507">
        <v>0</v>
      </c>
      <c r="BE61" s="507">
        <v>0</v>
      </c>
      <c r="BF61" s="507">
        <v>0</v>
      </c>
      <c r="BG61" s="507">
        <v>39.869999999999997</v>
      </c>
      <c r="BH61" s="507">
        <v>39.869999999999997</v>
      </c>
      <c r="BI61" s="507">
        <v>0</v>
      </c>
      <c r="BJ61" s="507">
        <v>39.869999999999997</v>
      </c>
      <c r="BK61" s="507">
        <v>0</v>
      </c>
      <c r="BL61" s="507">
        <v>39.869999999999997</v>
      </c>
      <c r="BM61" s="507">
        <v>0</v>
      </c>
      <c r="BN61" s="507">
        <v>0</v>
      </c>
      <c r="BO61" s="507">
        <v>0</v>
      </c>
      <c r="BP61" s="507">
        <v>0</v>
      </c>
      <c r="BQ61" s="507">
        <v>0</v>
      </c>
      <c r="BR61" s="507">
        <v>570.27</v>
      </c>
      <c r="BS61" s="507">
        <v>593.41999999999996</v>
      </c>
      <c r="BT61" s="507">
        <v>0</v>
      </c>
      <c r="BU61" s="507">
        <v>570.36</v>
      </c>
      <c r="BV61" s="507">
        <v>570.36</v>
      </c>
      <c r="BW61" s="507">
        <v>593.41999999999996</v>
      </c>
      <c r="BX61" s="507">
        <v>547.89</v>
      </c>
      <c r="BY61" s="507">
        <v>3925.88</v>
      </c>
      <c r="BZ61" s="507">
        <v>3925.88</v>
      </c>
      <c r="CA61" s="507">
        <v>570.36</v>
      </c>
      <c r="CB61" s="507">
        <v>570.30999999999995</v>
      </c>
      <c r="CC61" s="507">
        <v>0</v>
      </c>
      <c r="CD61" s="507">
        <v>0</v>
      </c>
      <c r="CE61" s="507">
        <v>0</v>
      </c>
      <c r="CF61" s="507">
        <v>0</v>
      </c>
      <c r="CG61" s="507">
        <v>10647.16</v>
      </c>
      <c r="CH61" s="507">
        <v>10647.16</v>
      </c>
      <c r="CI61" s="507">
        <v>22.42</v>
      </c>
      <c r="CJ61" s="507">
        <v>22.42</v>
      </c>
      <c r="CK61" s="507">
        <v>0</v>
      </c>
      <c r="CL61" s="507">
        <v>0</v>
      </c>
      <c r="CM61" s="507">
        <v>0</v>
      </c>
      <c r="CN61" s="507">
        <v>0</v>
      </c>
      <c r="CO61" s="507">
        <v>39.869999999999997</v>
      </c>
      <c r="CP61" s="507">
        <v>0</v>
      </c>
      <c r="CQ61" s="507">
        <v>39.869999999999997</v>
      </c>
      <c r="CR61" s="507">
        <v>39.869999999999997</v>
      </c>
      <c r="CS61" s="507">
        <v>0</v>
      </c>
      <c r="CT61" s="507">
        <v>130.24</v>
      </c>
      <c r="CU61" s="507">
        <v>130.24</v>
      </c>
      <c r="CV61" s="507">
        <v>0</v>
      </c>
      <c r="CW61" s="507">
        <v>0</v>
      </c>
      <c r="CX61" s="507">
        <v>0</v>
      </c>
      <c r="CY61" s="507">
        <v>16984.55</v>
      </c>
      <c r="CZ61" s="507">
        <v>16984.55</v>
      </c>
      <c r="DA61" s="507">
        <v>0</v>
      </c>
      <c r="DB61" s="507">
        <v>0</v>
      </c>
      <c r="DC61" s="507">
        <v>0</v>
      </c>
      <c r="DD61" s="507">
        <v>0</v>
      </c>
      <c r="DE61" s="507">
        <v>570.36</v>
      </c>
      <c r="DF61" s="507">
        <v>570.36</v>
      </c>
      <c r="DG61" s="507">
        <v>0</v>
      </c>
      <c r="DH61" s="507">
        <v>0</v>
      </c>
      <c r="DI61" s="507" t="s">
        <v>668</v>
      </c>
      <c r="DJ61" s="507">
        <v>0</v>
      </c>
      <c r="DK61" s="507">
        <v>0</v>
      </c>
      <c r="DL61" s="507">
        <v>0</v>
      </c>
      <c r="DM61" s="507">
        <v>0</v>
      </c>
      <c r="DN61" s="507">
        <v>0</v>
      </c>
      <c r="DO61" s="507">
        <v>0</v>
      </c>
      <c r="DP61" s="507">
        <v>0</v>
      </c>
      <c r="DQ61" s="507">
        <v>3925.82</v>
      </c>
      <c r="DR61" s="507">
        <v>3925.82</v>
      </c>
      <c r="DS61" s="507">
        <v>0</v>
      </c>
      <c r="DT61" s="507">
        <v>593.41999999999996</v>
      </c>
      <c r="DU61" s="507">
        <v>0</v>
      </c>
      <c r="DV61" s="507">
        <v>22.42</v>
      </c>
      <c r="DW61" s="507">
        <v>39.869999999999997</v>
      </c>
      <c r="DX61" s="507">
        <v>0</v>
      </c>
      <c r="DY61" s="507">
        <v>17024.419999999998</v>
      </c>
      <c r="DZ61" s="507">
        <v>17024.419999999998</v>
      </c>
      <c r="EA61" s="507">
        <v>23.06</v>
      </c>
      <c r="EB61" s="507">
        <v>0</v>
      </c>
      <c r="EC61" s="507">
        <v>0</v>
      </c>
      <c r="ED61" s="507">
        <v>547.86</v>
      </c>
      <c r="EE61" s="507">
        <v>0</v>
      </c>
      <c r="EF61" s="507">
        <v>593.41999999999996</v>
      </c>
      <c r="EG61" s="507">
        <v>0</v>
      </c>
      <c r="EH61" s="507">
        <v>23.06</v>
      </c>
      <c r="EI61" s="507">
        <v>23.06</v>
      </c>
      <c r="EJ61" s="507">
        <v>0</v>
      </c>
      <c r="EK61" s="507">
        <v>0</v>
      </c>
      <c r="EL61" s="507">
        <v>0</v>
      </c>
      <c r="EM61" s="507">
        <v>0</v>
      </c>
      <c r="EN61" s="507">
        <v>0</v>
      </c>
      <c r="EO61" s="507">
        <v>0</v>
      </c>
      <c r="EP61" s="507">
        <v>0</v>
      </c>
      <c r="EQ61" s="507">
        <v>0</v>
      </c>
      <c r="ER61" s="507">
        <v>0</v>
      </c>
      <c r="ES61" s="507">
        <v>0</v>
      </c>
      <c r="ET61" s="507">
        <v>39.869999999999997</v>
      </c>
      <c r="EU61" s="507">
        <v>0</v>
      </c>
      <c r="EV61" s="507">
        <v>0</v>
      </c>
      <c r="EW61" s="507">
        <v>0</v>
      </c>
      <c r="EX61" s="507">
        <v>0</v>
      </c>
      <c r="EY61" s="507">
        <v>0</v>
      </c>
      <c r="EZ61" s="507">
        <v>0</v>
      </c>
      <c r="FA61" s="507">
        <v>0</v>
      </c>
      <c r="FB61" s="507">
        <v>0</v>
      </c>
      <c r="FC61" s="507">
        <v>0</v>
      </c>
      <c r="FD61" s="507">
        <v>0</v>
      </c>
      <c r="FE61" s="507">
        <v>0</v>
      </c>
      <c r="FF61" s="507">
        <v>0</v>
      </c>
      <c r="FG61" s="507">
        <v>0</v>
      </c>
      <c r="FH61" s="507">
        <v>0</v>
      </c>
      <c r="FI61" s="507">
        <v>0</v>
      </c>
      <c r="FJ61" s="507">
        <v>0</v>
      </c>
      <c r="FK61" s="507">
        <v>0</v>
      </c>
      <c r="FL61" s="507">
        <v>0</v>
      </c>
      <c r="FM61" s="507">
        <v>0</v>
      </c>
      <c r="FN61" s="507">
        <v>0</v>
      </c>
      <c r="FO61" s="507">
        <v>0</v>
      </c>
      <c r="FP61" s="507">
        <v>0</v>
      </c>
      <c r="FQ61" s="507">
        <v>0</v>
      </c>
      <c r="FR61" s="507">
        <v>0</v>
      </c>
      <c r="FS61" s="507">
        <v>0</v>
      </c>
      <c r="FT61" s="507">
        <v>0</v>
      </c>
      <c r="FU61" s="507">
        <v>547.86</v>
      </c>
      <c r="FV61" s="507">
        <v>593.41999999999996</v>
      </c>
      <c r="FW61" s="507">
        <v>0</v>
      </c>
      <c r="FX61" s="507" t="s">
        <v>668</v>
      </c>
      <c r="FY61" s="507">
        <v>0</v>
      </c>
      <c r="FZ61" s="507">
        <v>22.42</v>
      </c>
      <c r="GA61" s="507">
        <v>22.42</v>
      </c>
      <c r="GB61" s="507">
        <v>0</v>
      </c>
      <c r="GC61" s="507">
        <v>0</v>
      </c>
      <c r="GD61" s="507" t="s">
        <v>668</v>
      </c>
      <c r="GE61" s="507">
        <v>0</v>
      </c>
      <c r="GF61" s="507">
        <v>0</v>
      </c>
      <c r="GG61" s="507" t="s">
        <v>668</v>
      </c>
      <c r="GH61" s="507">
        <v>0</v>
      </c>
      <c r="GI61" s="507">
        <v>0</v>
      </c>
      <c r="GJ61" s="507">
        <v>0</v>
      </c>
      <c r="GK61" s="507">
        <v>0</v>
      </c>
      <c r="GL61" s="507">
        <v>0</v>
      </c>
      <c r="GM61" s="507">
        <v>0</v>
      </c>
      <c r="GN61" s="507">
        <v>0</v>
      </c>
      <c r="GO61" s="507">
        <v>0</v>
      </c>
      <c r="GP61" s="507">
        <v>39.81</v>
      </c>
      <c r="GQ61" s="507">
        <v>0</v>
      </c>
      <c r="GR61" s="507">
        <v>0</v>
      </c>
      <c r="GS61" s="507">
        <v>0</v>
      </c>
      <c r="GT61" s="507">
        <v>570.36</v>
      </c>
      <c r="GU61" s="507">
        <v>0</v>
      </c>
      <c r="GV61" s="507">
        <v>0</v>
      </c>
      <c r="GW61" s="507">
        <v>0</v>
      </c>
      <c r="GX61" s="507">
        <v>0</v>
      </c>
      <c r="GY61" s="507">
        <v>0</v>
      </c>
      <c r="GZ61" s="507">
        <v>0</v>
      </c>
      <c r="HA61" s="507">
        <v>0</v>
      </c>
      <c r="HB61" s="507">
        <v>0</v>
      </c>
      <c r="HC61" s="507">
        <v>0</v>
      </c>
      <c r="HD61" s="507">
        <v>39.869999999999997</v>
      </c>
      <c r="HE61" s="507">
        <v>39.869999999999997</v>
      </c>
      <c r="HF61" s="507">
        <v>39.869999999999997</v>
      </c>
      <c r="HG61" s="507">
        <v>0</v>
      </c>
      <c r="HH61" s="507">
        <v>0</v>
      </c>
      <c r="HI61" s="507">
        <v>0</v>
      </c>
      <c r="HJ61" s="507">
        <v>0</v>
      </c>
      <c r="HK61" s="507">
        <v>0</v>
      </c>
      <c r="HL61" s="507">
        <v>0</v>
      </c>
      <c r="HM61" s="507">
        <v>0</v>
      </c>
      <c r="HN61" s="507">
        <v>0</v>
      </c>
      <c r="HO61" s="507">
        <v>23.06</v>
      </c>
      <c r="HP61" s="507">
        <v>10647.16</v>
      </c>
      <c r="HQ61" s="507">
        <v>0</v>
      </c>
      <c r="HR61" s="507">
        <v>0</v>
      </c>
      <c r="HS61" s="507">
        <v>0</v>
      </c>
      <c r="HT61" s="507">
        <v>0</v>
      </c>
      <c r="HU61" s="507">
        <v>570.36</v>
      </c>
      <c r="HV61" s="507">
        <v>0</v>
      </c>
      <c r="HW61" s="507">
        <v>570.27</v>
      </c>
      <c r="HX61" s="507">
        <v>570.27</v>
      </c>
      <c r="HY61" s="507">
        <v>593.41999999999996</v>
      </c>
      <c r="HZ61" s="507">
        <v>593.41999999999996</v>
      </c>
      <c r="IA61" s="507">
        <v>0</v>
      </c>
      <c r="IB61" s="507">
        <v>0</v>
      </c>
      <c r="IC61" s="507">
        <v>0</v>
      </c>
      <c r="ID61" s="507">
        <v>0</v>
      </c>
      <c r="IE61" s="507">
        <v>0</v>
      </c>
      <c r="IF61" s="507">
        <v>0</v>
      </c>
      <c r="IG61" s="507">
        <v>39.869999999999997</v>
      </c>
      <c r="IH61" s="571">
        <v>39.869999999999997</v>
      </c>
    </row>
    <row r="62" spans="1:242" s="503" customFormat="1" ht="15.95" customHeight="1" x14ac:dyDescent="0.2">
      <c r="A62" s="527" t="s">
        <v>552</v>
      </c>
      <c r="B62" s="527">
        <v>39</v>
      </c>
      <c r="D62" s="590" t="s">
        <v>556</v>
      </c>
      <c r="E62" s="528" t="s">
        <v>557</v>
      </c>
      <c r="F62" s="508">
        <v>138.20580000000001</v>
      </c>
      <c r="G62" s="505">
        <v>155.75000299999999</v>
      </c>
      <c r="H62" s="507">
        <v>0</v>
      </c>
      <c r="I62" s="507">
        <v>0</v>
      </c>
      <c r="J62" s="507">
        <v>0</v>
      </c>
      <c r="K62" s="507">
        <v>0</v>
      </c>
      <c r="L62" s="507">
        <v>0</v>
      </c>
      <c r="M62" s="507">
        <v>0</v>
      </c>
      <c r="N62" s="507">
        <v>0</v>
      </c>
      <c r="O62" s="507">
        <v>119224.80189057378</v>
      </c>
      <c r="P62" s="507">
        <v>0</v>
      </c>
      <c r="Q62" s="507">
        <v>0</v>
      </c>
      <c r="R62" s="507">
        <v>46475.30926785303</v>
      </c>
      <c r="S62" s="507">
        <v>46475.30926785303</v>
      </c>
      <c r="T62" s="507">
        <v>0</v>
      </c>
      <c r="U62" s="507">
        <v>47313.821524158418</v>
      </c>
      <c r="V62" s="507">
        <v>0</v>
      </c>
      <c r="W62" s="507">
        <v>123768.07390793767</v>
      </c>
      <c r="X62" s="507">
        <v>4543.2720173638836</v>
      </c>
      <c r="Y62" s="507">
        <v>0</v>
      </c>
      <c r="Z62" s="507">
        <v>0</v>
      </c>
      <c r="AA62" s="507">
        <v>0</v>
      </c>
      <c r="AB62" s="507">
        <v>0</v>
      </c>
      <c r="AC62" s="507">
        <v>0</v>
      </c>
      <c r="AD62" s="507">
        <v>0</v>
      </c>
      <c r="AE62" s="507">
        <v>0</v>
      </c>
      <c r="AF62" s="507">
        <v>0</v>
      </c>
      <c r="AG62" s="507">
        <v>0</v>
      </c>
      <c r="AH62" s="507">
        <v>0</v>
      </c>
      <c r="AI62" s="507">
        <v>0</v>
      </c>
      <c r="AJ62" s="507">
        <v>0</v>
      </c>
      <c r="AK62" s="507">
        <v>0</v>
      </c>
      <c r="AL62" s="507">
        <v>0</v>
      </c>
      <c r="AM62" s="507">
        <v>0</v>
      </c>
      <c r="AN62" s="507">
        <v>0</v>
      </c>
      <c r="AO62" s="507">
        <v>0</v>
      </c>
      <c r="AP62" s="507">
        <v>0</v>
      </c>
      <c r="AQ62" s="507">
        <v>0</v>
      </c>
      <c r="AR62" s="507">
        <v>0</v>
      </c>
      <c r="AS62" s="507">
        <v>0</v>
      </c>
      <c r="AT62" s="507">
        <v>0</v>
      </c>
      <c r="AU62" s="507">
        <v>0</v>
      </c>
      <c r="AV62" s="507">
        <v>0</v>
      </c>
      <c r="AW62" s="507">
        <v>0</v>
      </c>
      <c r="AX62" s="507">
        <v>0</v>
      </c>
      <c r="AY62" s="507">
        <v>0</v>
      </c>
      <c r="AZ62" s="507">
        <v>0</v>
      </c>
      <c r="BA62" s="507">
        <v>0</v>
      </c>
      <c r="BB62" s="507">
        <v>0</v>
      </c>
      <c r="BC62" s="507">
        <v>0</v>
      </c>
      <c r="BD62" s="507">
        <v>0</v>
      </c>
      <c r="BE62" s="507">
        <v>0</v>
      </c>
      <c r="BF62" s="507">
        <v>0</v>
      </c>
      <c r="BG62" s="507">
        <v>0</v>
      </c>
      <c r="BH62" s="507">
        <v>0</v>
      </c>
      <c r="BI62" s="507">
        <v>0</v>
      </c>
      <c r="BJ62" s="507">
        <v>0</v>
      </c>
      <c r="BK62" s="507">
        <v>0</v>
      </c>
      <c r="BL62" s="507">
        <v>0</v>
      </c>
      <c r="BM62" s="507">
        <v>0</v>
      </c>
      <c r="BN62" s="507">
        <v>0</v>
      </c>
      <c r="BO62" s="507">
        <v>0</v>
      </c>
      <c r="BP62" s="507">
        <v>0</v>
      </c>
      <c r="BQ62" s="507">
        <v>0</v>
      </c>
      <c r="BR62" s="507">
        <v>0</v>
      </c>
      <c r="BS62" s="507">
        <v>0</v>
      </c>
      <c r="BT62" s="507">
        <v>0</v>
      </c>
      <c r="BU62" s="507">
        <v>0</v>
      </c>
      <c r="BV62" s="507">
        <v>0</v>
      </c>
      <c r="BW62" s="507">
        <v>0</v>
      </c>
      <c r="BX62" s="507">
        <v>0</v>
      </c>
      <c r="BY62" s="507">
        <v>0</v>
      </c>
      <c r="BZ62" s="507">
        <v>0</v>
      </c>
      <c r="CA62" s="507">
        <v>0</v>
      </c>
      <c r="CB62" s="507">
        <v>0</v>
      </c>
      <c r="CC62" s="507">
        <v>0</v>
      </c>
      <c r="CD62" s="507">
        <v>0</v>
      </c>
      <c r="CE62" s="507">
        <v>0</v>
      </c>
      <c r="CF62" s="507">
        <v>0</v>
      </c>
      <c r="CG62" s="507">
        <v>0</v>
      </c>
      <c r="CH62" s="507">
        <v>0</v>
      </c>
      <c r="CI62" s="507">
        <v>0</v>
      </c>
      <c r="CJ62" s="507">
        <v>0</v>
      </c>
      <c r="CK62" s="507">
        <v>0</v>
      </c>
      <c r="CL62" s="507">
        <v>0</v>
      </c>
      <c r="CM62" s="507">
        <v>0</v>
      </c>
      <c r="CN62" s="507">
        <v>0</v>
      </c>
      <c r="CO62" s="507">
        <v>0</v>
      </c>
      <c r="CP62" s="507">
        <v>0</v>
      </c>
      <c r="CQ62" s="507">
        <v>0</v>
      </c>
      <c r="CR62" s="507">
        <v>0</v>
      </c>
      <c r="CS62" s="507">
        <v>0</v>
      </c>
      <c r="CT62" s="507">
        <v>0</v>
      </c>
      <c r="CU62" s="507">
        <v>0</v>
      </c>
      <c r="CV62" s="507">
        <v>0</v>
      </c>
      <c r="CW62" s="507">
        <v>0</v>
      </c>
      <c r="CX62" s="507">
        <v>0</v>
      </c>
      <c r="CY62" s="507">
        <v>0</v>
      </c>
      <c r="CZ62" s="507">
        <v>0</v>
      </c>
      <c r="DA62" s="507">
        <v>0</v>
      </c>
      <c r="DB62" s="507">
        <v>0</v>
      </c>
      <c r="DC62" s="507">
        <v>0</v>
      </c>
      <c r="DD62" s="507">
        <v>0</v>
      </c>
      <c r="DE62" s="507">
        <v>0</v>
      </c>
      <c r="DF62" s="507">
        <v>0</v>
      </c>
      <c r="DG62" s="507">
        <v>0</v>
      </c>
      <c r="DH62" s="507">
        <v>0</v>
      </c>
      <c r="DI62" s="507" t="s">
        <v>668</v>
      </c>
      <c r="DJ62" s="507">
        <v>0</v>
      </c>
      <c r="DK62" s="507">
        <v>0</v>
      </c>
      <c r="DL62" s="507">
        <v>0</v>
      </c>
      <c r="DM62" s="507">
        <v>0</v>
      </c>
      <c r="DN62" s="507">
        <v>0</v>
      </c>
      <c r="DO62" s="507">
        <v>0</v>
      </c>
      <c r="DP62" s="507">
        <v>0</v>
      </c>
      <c r="DQ62" s="507">
        <v>0</v>
      </c>
      <c r="DR62" s="507">
        <v>0</v>
      </c>
      <c r="DS62" s="507">
        <v>0</v>
      </c>
      <c r="DT62" s="507">
        <v>0</v>
      </c>
      <c r="DU62" s="507">
        <v>0</v>
      </c>
      <c r="DV62" s="507">
        <v>0</v>
      </c>
      <c r="DW62" s="507">
        <v>0</v>
      </c>
      <c r="DX62" s="507">
        <v>0</v>
      </c>
      <c r="DY62" s="507">
        <v>0</v>
      </c>
      <c r="DZ62" s="507">
        <v>0</v>
      </c>
      <c r="EA62" s="507">
        <v>0</v>
      </c>
      <c r="EB62" s="507">
        <v>0</v>
      </c>
      <c r="EC62" s="507">
        <v>0</v>
      </c>
      <c r="ED62" s="507">
        <v>0</v>
      </c>
      <c r="EE62" s="507">
        <v>0</v>
      </c>
      <c r="EF62" s="507">
        <v>0</v>
      </c>
      <c r="EG62" s="507">
        <v>0</v>
      </c>
      <c r="EH62" s="507">
        <v>0</v>
      </c>
      <c r="EI62" s="507">
        <v>0</v>
      </c>
      <c r="EJ62" s="507">
        <v>0</v>
      </c>
      <c r="EK62" s="507">
        <v>0</v>
      </c>
      <c r="EL62" s="507">
        <v>0</v>
      </c>
      <c r="EM62" s="507">
        <v>0</v>
      </c>
      <c r="EN62" s="507">
        <v>0</v>
      </c>
      <c r="EO62" s="507">
        <v>0</v>
      </c>
      <c r="EP62" s="507">
        <v>0</v>
      </c>
      <c r="EQ62" s="507">
        <v>0</v>
      </c>
      <c r="ER62" s="507">
        <v>0</v>
      </c>
      <c r="ES62" s="507">
        <v>0</v>
      </c>
      <c r="ET62" s="507">
        <v>0</v>
      </c>
      <c r="EU62" s="507">
        <v>0</v>
      </c>
      <c r="EV62" s="507">
        <v>0</v>
      </c>
      <c r="EW62" s="507">
        <v>0</v>
      </c>
      <c r="EX62" s="507">
        <v>0</v>
      </c>
      <c r="EY62" s="507">
        <v>0</v>
      </c>
      <c r="EZ62" s="507">
        <v>0</v>
      </c>
      <c r="FA62" s="507">
        <v>0</v>
      </c>
      <c r="FB62" s="507">
        <v>0</v>
      </c>
      <c r="FC62" s="507">
        <v>0</v>
      </c>
      <c r="FD62" s="507">
        <v>0</v>
      </c>
      <c r="FE62" s="507">
        <v>0</v>
      </c>
      <c r="FF62" s="507">
        <v>0</v>
      </c>
      <c r="FG62" s="507">
        <v>0</v>
      </c>
      <c r="FH62" s="507">
        <v>0</v>
      </c>
      <c r="FI62" s="507">
        <v>0</v>
      </c>
      <c r="FJ62" s="507">
        <v>0</v>
      </c>
      <c r="FK62" s="507">
        <v>0</v>
      </c>
      <c r="FL62" s="507">
        <v>0</v>
      </c>
      <c r="FM62" s="507">
        <v>0</v>
      </c>
      <c r="FN62" s="507">
        <v>0</v>
      </c>
      <c r="FO62" s="507">
        <v>0</v>
      </c>
      <c r="FP62" s="507">
        <v>0</v>
      </c>
      <c r="FQ62" s="507">
        <v>0</v>
      </c>
      <c r="FR62" s="507">
        <v>0</v>
      </c>
      <c r="FS62" s="507">
        <v>0</v>
      </c>
      <c r="FT62" s="507">
        <v>0</v>
      </c>
      <c r="FU62" s="507">
        <v>0</v>
      </c>
      <c r="FV62" s="507">
        <v>0</v>
      </c>
      <c r="FW62" s="507">
        <v>0</v>
      </c>
      <c r="FX62" s="507" t="s">
        <v>668</v>
      </c>
      <c r="FY62" s="507">
        <v>0</v>
      </c>
      <c r="FZ62" s="507">
        <v>0</v>
      </c>
      <c r="GA62" s="507">
        <v>0</v>
      </c>
      <c r="GB62" s="507">
        <v>0</v>
      </c>
      <c r="GC62" s="507">
        <v>0</v>
      </c>
      <c r="GD62" s="507" t="s">
        <v>668</v>
      </c>
      <c r="GE62" s="507">
        <v>0</v>
      </c>
      <c r="GF62" s="507">
        <v>0</v>
      </c>
      <c r="GG62" s="507" t="s">
        <v>668</v>
      </c>
      <c r="GH62" s="507">
        <v>0</v>
      </c>
      <c r="GI62" s="507">
        <v>0</v>
      </c>
      <c r="GJ62" s="507">
        <v>0</v>
      </c>
      <c r="GK62" s="507">
        <v>0</v>
      </c>
      <c r="GL62" s="507">
        <v>0</v>
      </c>
      <c r="GM62" s="507">
        <v>0</v>
      </c>
      <c r="GN62" s="507">
        <v>0</v>
      </c>
      <c r="GO62" s="507">
        <v>0</v>
      </c>
      <c r="GP62" s="507">
        <v>0</v>
      </c>
      <c r="GQ62" s="507">
        <v>0</v>
      </c>
      <c r="GR62" s="507">
        <v>0</v>
      </c>
      <c r="GS62" s="507">
        <v>0</v>
      </c>
      <c r="GT62" s="507">
        <v>0</v>
      </c>
      <c r="GU62" s="507">
        <v>0</v>
      </c>
      <c r="GV62" s="507">
        <v>0</v>
      </c>
      <c r="GW62" s="507">
        <v>0</v>
      </c>
      <c r="GX62" s="507">
        <v>0</v>
      </c>
      <c r="GY62" s="507">
        <v>0</v>
      </c>
      <c r="GZ62" s="507">
        <v>0</v>
      </c>
      <c r="HA62" s="507">
        <v>0</v>
      </c>
      <c r="HB62" s="507">
        <v>0</v>
      </c>
      <c r="HC62" s="507">
        <v>0</v>
      </c>
      <c r="HD62" s="507">
        <v>0</v>
      </c>
      <c r="HE62" s="507">
        <v>0</v>
      </c>
      <c r="HF62" s="507">
        <v>0</v>
      </c>
      <c r="HG62" s="507">
        <v>0</v>
      </c>
      <c r="HH62" s="507">
        <v>0</v>
      </c>
      <c r="HI62" s="507">
        <v>0</v>
      </c>
      <c r="HJ62" s="507">
        <v>0</v>
      </c>
      <c r="HK62" s="507">
        <v>0</v>
      </c>
      <c r="HL62" s="507">
        <v>0</v>
      </c>
      <c r="HM62" s="507">
        <v>0</v>
      </c>
      <c r="HN62" s="507">
        <v>0</v>
      </c>
      <c r="HO62" s="507">
        <v>0</v>
      </c>
      <c r="HP62" s="507">
        <v>0</v>
      </c>
      <c r="HQ62" s="507">
        <v>0</v>
      </c>
      <c r="HR62" s="507">
        <v>0</v>
      </c>
      <c r="HS62" s="507">
        <v>0</v>
      </c>
      <c r="HT62" s="507">
        <v>0</v>
      </c>
      <c r="HU62" s="507">
        <v>0</v>
      </c>
      <c r="HV62" s="507">
        <v>0</v>
      </c>
      <c r="HW62" s="507">
        <v>0</v>
      </c>
      <c r="HX62" s="507">
        <v>0</v>
      </c>
      <c r="HY62" s="507">
        <v>0</v>
      </c>
      <c r="HZ62" s="507">
        <v>0</v>
      </c>
      <c r="IA62" s="507">
        <v>0</v>
      </c>
      <c r="IB62" s="507">
        <v>0</v>
      </c>
      <c r="IC62" s="507">
        <v>0</v>
      </c>
      <c r="ID62" s="507">
        <v>0</v>
      </c>
      <c r="IE62" s="507">
        <v>0</v>
      </c>
      <c r="IF62" s="507">
        <v>0</v>
      </c>
      <c r="IG62" s="507">
        <v>0</v>
      </c>
      <c r="IH62" s="571">
        <v>0</v>
      </c>
    </row>
    <row r="63" spans="1:242" s="503" customFormat="1" ht="15.95" customHeight="1" x14ac:dyDescent="0.2">
      <c r="A63" s="530" t="s">
        <v>552</v>
      </c>
      <c r="B63" s="527">
        <v>40</v>
      </c>
      <c r="D63" s="590" t="s">
        <v>558</v>
      </c>
      <c r="E63" s="528" t="s">
        <v>559</v>
      </c>
      <c r="F63" s="508">
        <v>100.11544000000001</v>
      </c>
      <c r="G63" s="505">
        <v>155.75000299999999</v>
      </c>
      <c r="H63" s="507">
        <v>0</v>
      </c>
      <c r="I63" s="507">
        <v>0</v>
      </c>
      <c r="J63" s="507">
        <v>0</v>
      </c>
      <c r="K63" s="507">
        <v>0</v>
      </c>
      <c r="L63" s="507">
        <v>0</v>
      </c>
      <c r="M63" s="507">
        <v>0</v>
      </c>
      <c r="N63" s="507">
        <v>0</v>
      </c>
      <c r="O63" s="507">
        <v>98699.862396625962</v>
      </c>
      <c r="P63" s="507">
        <v>0</v>
      </c>
      <c r="Q63" s="507">
        <v>0</v>
      </c>
      <c r="R63" s="507">
        <v>204096.75649636035</v>
      </c>
      <c r="S63" s="507">
        <v>204096.75649636035</v>
      </c>
      <c r="T63" s="507">
        <v>0</v>
      </c>
      <c r="U63" s="507">
        <v>202881.94957066164</v>
      </c>
      <c r="V63" s="507">
        <v>0</v>
      </c>
      <c r="W63" s="507">
        <v>102460.99528033436</v>
      </c>
      <c r="X63" s="507">
        <v>3761.1328837084006</v>
      </c>
      <c r="Y63" s="507">
        <v>0</v>
      </c>
      <c r="Z63" s="507">
        <v>0</v>
      </c>
      <c r="AA63" s="507">
        <v>0</v>
      </c>
      <c r="AB63" s="507">
        <v>0</v>
      </c>
      <c r="AC63" s="507">
        <v>0</v>
      </c>
      <c r="AD63" s="507">
        <v>0</v>
      </c>
      <c r="AE63" s="507">
        <v>0</v>
      </c>
      <c r="AF63" s="507">
        <v>0</v>
      </c>
      <c r="AG63" s="507">
        <v>0</v>
      </c>
      <c r="AH63" s="507">
        <v>0</v>
      </c>
      <c r="AI63" s="507">
        <v>0</v>
      </c>
      <c r="AJ63" s="507">
        <v>0</v>
      </c>
      <c r="AK63" s="507">
        <v>0</v>
      </c>
      <c r="AL63" s="507">
        <v>0</v>
      </c>
      <c r="AM63" s="507">
        <v>0</v>
      </c>
      <c r="AN63" s="507">
        <v>0</v>
      </c>
      <c r="AO63" s="507">
        <v>0</v>
      </c>
      <c r="AP63" s="507">
        <v>0</v>
      </c>
      <c r="AQ63" s="507">
        <v>0</v>
      </c>
      <c r="AR63" s="507">
        <v>0</v>
      </c>
      <c r="AS63" s="507">
        <v>0</v>
      </c>
      <c r="AT63" s="507">
        <v>0</v>
      </c>
      <c r="AU63" s="507">
        <v>0</v>
      </c>
      <c r="AV63" s="507">
        <v>0</v>
      </c>
      <c r="AW63" s="507">
        <v>0</v>
      </c>
      <c r="AX63" s="507">
        <v>0</v>
      </c>
      <c r="AY63" s="507">
        <v>0</v>
      </c>
      <c r="AZ63" s="507">
        <v>0</v>
      </c>
      <c r="BA63" s="507">
        <v>0</v>
      </c>
      <c r="BB63" s="507">
        <v>0</v>
      </c>
      <c r="BC63" s="507">
        <v>0</v>
      </c>
      <c r="BD63" s="507">
        <v>0</v>
      </c>
      <c r="BE63" s="507">
        <v>0</v>
      </c>
      <c r="BF63" s="507">
        <v>0</v>
      </c>
      <c r="BG63" s="507">
        <v>0</v>
      </c>
      <c r="BH63" s="507">
        <v>0</v>
      </c>
      <c r="BI63" s="507">
        <v>0</v>
      </c>
      <c r="BJ63" s="507">
        <v>0</v>
      </c>
      <c r="BK63" s="507">
        <v>0</v>
      </c>
      <c r="BL63" s="507">
        <v>0</v>
      </c>
      <c r="BM63" s="507">
        <v>0</v>
      </c>
      <c r="BN63" s="507">
        <v>0</v>
      </c>
      <c r="BO63" s="507">
        <v>0</v>
      </c>
      <c r="BP63" s="507">
        <v>0</v>
      </c>
      <c r="BQ63" s="507">
        <v>0</v>
      </c>
      <c r="BR63" s="507">
        <v>0</v>
      </c>
      <c r="BS63" s="507">
        <v>0</v>
      </c>
      <c r="BT63" s="507">
        <v>0</v>
      </c>
      <c r="BU63" s="507">
        <v>0</v>
      </c>
      <c r="BV63" s="507">
        <v>0</v>
      </c>
      <c r="BW63" s="507">
        <v>0</v>
      </c>
      <c r="BX63" s="507">
        <v>0</v>
      </c>
      <c r="BY63" s="507">
        <v>0</v>
      </c>
      <c r="BZ63" s="507">
        <v>0</v>
      </c>
      <c r="CA63" s="507">
        <v>0</v>
      </c>
      <c r="CB63" s="507">
        <v>0</v>
      </c>
      <c r="CC63" s="507">
        <v>0</v>
      </c>
      <c r="CD63" s="507">
        <v>0</v>
      </c>
      <c r="CE63" s="507">
        <v>0</v>
      </c>
      <c r="CF63" s="507">
        <v>0</v>
      </c>
      <c r="CG63" s="507">
        <v>0</v>
      </c>
      <c r="CH63" s="507">
        <v>0</v>
      </c>
      <c r="CI63" s="507">
        <v>0</v>
      </c>
      <c r="CJ63" s="507">
        <v>0</v>
      </c>
      <c r="CK63" s="507">
        <v>0</v>
      </c>
      <c r="CL63" s="507">
        <v>0</v>
      </c>
      <c r="CM63" s="507">
        <v>0</v>
      </c>
      <c r="CN63" s="507">
        <v>0</v>
      </c>
      <c r="CO63" s="507">
        <v>0</v>
      </c>
      <c r="CP63" s="507">
        <v>0</v>
      </c>
      <c r="CQ63" s="507">
        <v>0</v>
      </c>
      <c r="CR63" s="507">
        <v>0</v>
      </c>
      <c r="CS63" s="507">
        <v>0</v>
      </c>
      <c r="CT63" s="507">
        <v>0</v>
      </c>
      <c r="CU63" s="507">
        <v>0</v>
      </c>
      <c r="CV63" s="507">
        <v>0</v>
      </c>
      <c r="CW63" s="507">
        <v>0</v>
      </c>
      <c r="CX63" s="507">
        <v>0</v>
      </c>
      <c r="CY63" s="507">
        <v>0</v>
      </c>
      <c r="CZ63" s="507">
        <v>0</v>
      </c>
      <c r="DA63" s="507">
        <v>0</v>
      </c>
      <c r="DB63" s="507">
        <v>0</v>
      </c>
      <c r="DC63" s="507">
        <v>0</v>
      </c>
      <c r="DD63" s="507">
        <v>0</v>
      </c>
      <c r="DE63" s="507">
        <v>0</v>
      </c>
      <c r="DF63" s="507">
        <v>0</v>
      </c>
      <c r="DG63" s="507">
        <v>0</v>
      </c>
      <c r="DH63" s="507">
        <v>0</v>
      </c>
      <c r="DI63" s="507" t="s">
        <v>668</v>
      </c>
      <c r="DJ63" s="507">
        <v>0</v>
      </c>
      <c r="DK63" s="507">
        <v>0</v>
      </c>
      <c r="DL63" s="507">
        <v>0</v>
      </c>
      <c r="DM63" s="507">
        <v>0</v>
      </c>
      <c r="DN63" s="507">
        <v>0</v>
      </c>
      <c r="DO63" s="507">
        <v>0</v>
      </c>
      <c r="DP63" s="507">
        <v>0</v>
      </c>
      <c r="DQ63" s="507">
        <v>0</v>
      </c>
      <c r="DR63" s="507">
        <v>0</v>
      </c>
      <c r="DS63" s="507">
        <v>0</v>
      </c>
      <c r="DT63" s="507">
        <v>0</v>
      </c>
      <c r="DU63" s="507">
        <v>0</v>
      </c>
      <c r="DV63" s="507">
        <v>0</v>
      </c>
      <c r="DW63" s="507">
        <v>0</v>
      </c>
      <c r="DX63" s="507">
        <v>0</v>
      </c>
      <c r="DY63" s="507">
        <v>0</v>
      </c>
      <c r="DZ63" s="507">
        <v>0</v>
      </c>
      <c r="EA63" s="507">
        <v>0</v>
      </c>
      <c r="EB63" s="507">
        <v>0</v>
      </c>
      <c r="EC63" s="507">
        <v>0</v>
      </c>
      <c r="ED63" s="507">
        <v>0</v>
      </c>
      <c r="EE63" s="507">
        <v>0</v>
      </c>
      <c r="EF63" s="507">
        <v>0</v>
      </c>
      <c r="EG63" s="507">
        <v>0</v>
      </c>
      <c r="EH63" s="507">
        <v>0</v>
      </c>
      <c r="EI63" s="507">
        <v>0</v>
      </c>
      <c r="EJ63" s="507">
        <v>0</v>
      </c>
      <c r="EK63" s="507">
        <v>0</v>
      </c>
      <c r="EL63" s="507">
        <v>0</v>
      </c>
      <c r="EM63" s="507">
        <v>0</v>
      </c>
      <c r="EN63" s="507">
        <v>0</v>
      </c>
      <c r="EO63" s="507">
        <v>0</v>
      </c>
      <c r="EP63" s="507">
        <v>0</v>
      </c>
      <c r="EQ63" s="507">
        <v>0</v>
      </c>
      <c r="ER63" s="507">
        <v>0</v>
      </c>
      <c r="ES63" s="507">
        <v>0</v>
      </c>
      <c r="ET63" s="507">
        <v>0</v>
      </c>
      <c r="EU63" s="507">
        <v>0</v>
      </c>
      <c r="EV63" s="507">
        <v>0</v>
      </c>
      <c r="EW63" s="507">
        <v>0</v>
      </c>
      <c r="EX63" s="507">
        <v>0</v>
      </c>
      <c r="EY63" s="507">
        <v>0</v>
      </c>
      <c r="EZ63" s="507">
        <v>0</v>
      </c>
      <c r="FA63" s="507">
        <v>0</v>
      </c>
      <c r="FB63" s="507">
        <v>0</v>
      </c>
      <c r="FC63" s="507">
        <v>0</v>
      </c>
      <c r="FD63" s="507">
        <v>0</v>
      </c>
      <c r="FE63" s="507">
        <v>0</v>
      </c>
      <c r="FF63" s="507">
        <v>0</v>
      </c>
      <c r="FG63" s="507">
        <v>0</v>
      </c>
      <c r="FH63" s="507">
        <v>0</v>
      </c>
      <c r="FI63" s="507">
        <v>0</v>
      </c>
      <c r="FJ63" s="507">
        <v>0</v>
      </c>
      <c r="FK63" s="507">
        <v>0</v>
      </c>
      <c r="FL63" s="507">
        <v>0</v>
      </c>
      <c r="FM63" s="507">
        <v>0</v>
      </c>
      <c r="FN63" s="507">
        <v>0</v>
      </c>
      <c r="FO63" s="507">
        <v>0</v>
      </c>
      <c r="FP63" s="507">
        <v>0</v>
      </c>
      <c r="FQ63" s="507">
        <v>0</v>
      </c>
      <c r="FR63" s="507">
        <v>0</v>
      </c>
      <c r="FS63" s="507">
        <v>0</v>
      </c>
      <c r="FT63" s="507">
        <v>0</v>
      </c>
      <c r="FU63" s="507">
        <v>0</v>
      </c>
      <c r="FV63" s="507">
        <v>0</v>
      </c>
      <c r="FW63" s="507">
        <v>0</v>
      </c>
      <c r="FX63" s="507" t="s">
        <v>668</v>
      </c>
      <c r="FY63" s="507">
        <v>0</v>
      </c>
      <c r="FZ63" s="507">
        <v>0</v>
      </c>
      <c r="GA63" s="507">
        <v>0</v>
      </c>
      <c r="GB63" s="507">
        <v>0</v>
      </c>
      <c r="GC63" s="507">
        <v>0</v>
      </c>
      <c r="GD63" s="507" t="s">
        <v>668</v>
      </c>
      <c r="GE63" s="507">
        <v>0</v>
      </c>
      <c r="GF63" s="507">
        <v>0</v>
      </c>
      <c r="GG63" s="507" t="s">
        <v>668</v>
      </c>
      <c r="GH63" s="507">
        <v>0</v>
      </c>
      <c r="GI63" s="507">
        <v>0</v>
      </c>
      <c r="GJ63" s="507">
        <v>0</v>
      </c>
      <c r="GK63" s="507">
        <v>0</v>
      </c>
      <c r="GL63" s="507">
        <v>0</v>
      </c>
      <c r="GM63" s="507">
        <v>0</v>
      </c>
      <c r="GN63" s="507">
        <v>0</v>
      </c>
      <c r="GO63" s="507">
        <v>0</v>
      </c>
      <c r="GP63" s="507">
        <v>0</v>
      </c>
      <c r="GQ63" s="507">
        <v>0</v>
      </c>
      <c r="GR63" s="507">
        <v>0</v>
      </c>
      <c r="GS63" s="507">
        <v>0</v>
      </c>
      <c r="GT63" s="507">
        <v>0</v>
      </c>
      <c r="GU63" s="507">
        <v>0</v>
      </c>
      <c r="GV63" s="507">
        <v>0</v>
      </c>
      <c r="GW63" s="507">
        <v>0</v>
      </c>
      <c r="GX63" s="507">
        <v>0</v>
      </c>
      <c r="GY63" s="507">
        <v>0</v>
      </c>
      <c r="GZ63" s="507">
        <v>0</v>
      </c>
      <c r="HA63" s="507">
        <v>0</v>
      </c>
      <c r="HB63" s="507">
        <v>0</v>
      </c>
      <c r="HC63" s="507">
        <v>0</v>
      </c>
      <c r="HD63" s="507">
        <v>0</v>
      </c>
      <c r="HE63" s="507">
        <v>0</v>
      </c>
      <c r="HF63" s="507">
        <v>0</v>
      </c>
      <c r="HG63" s="507">
        <v>0</v>
      </c>
      <c r="HH63" s="507">
        <v>0</v>
      </c>
      <c r="HI63" s="507">
        <v>0</v>
      </c>
      <c r="HJ63" s="507">
        <v>0</v>
      </c>
      <c r="HK63" s="507">
        <v>0</v>
      </c>
      <c r="HL63" s="507">
        <v>0</v>
      </c>
      <c r="HM63" s="507">
        <v>0</v>
      </c>
      <c r="HN63" s="507">
        <v>0</v>
      </c>
      <c r="HO63" s="507">
        <v>0</v>
      </c>
      <c r="HP63" s="507">
        <v>0</v>
      </c>
      <c r="HQ63" s="507">
        <v>0</v>
      </c>
      <c r="HR63" s="507">
        <v>0</v>
      </c>
      <c r="HS63" s="507">
        <v>0</v>
      </c>
      <c r="HT63" s="507">
        <v>0</v>
      </c>
      <c r="HU63" s="507">
        <v>0</v>
      </c>
      <c r="HV63" s="507">
        <v>0</v>
      </c>
      <c r="HW63" s="507">
        <v>0</v>
      </c>
      <c r="HX63" s="507">
        <v>0</v>
      </c>
      <c r="HY63" s="507">
        <v>0</v>
      </c>
      <c r="HZ63" s="507">
        <v>0</v>
      </c>
      <c r="IA63" s="507">
        <v>0</v>
      </c>
      <c r="IB63" s="507">
        <v>0</v>
      </c>
      <c r="IC63" s="507">
        <v>0</v>
      </c>
      <c r="ID63" s="507">
        <v>0</v>
      </c>
      <c r="IE63" s="507">
        <v>0</v>
      </c>
      <c r="IF63" s="507">
        <v>0</v>
      </c>
      <c r="IG63" s="507">
        <v>0</v>
      </c>
      <c r="IH63" s="571">
        <v>0</v>
      </c>
    </row>
    <row r="64" spans="1:242" s="503" customFormat="1" ht="15.95" customHeight="1" x14ac:dyDescent="0.2">
      <c r="A64" s="530" t="s">
        <v>557</v>
      </c>
      <c r="B64" s="527">
        <v>41</v>
      </c>
      <c r="D64" s="590" t="s">
        <v>560</v>
      </c>
      <c r="E64" s="528" t="s">
        <v>560</v>
      </c>
      <c r="F64" s="508">
        <v>1.00739</v>
      </c>
      <c r="G64" s="505">
        <v>155.75000299999999</v>
      </c>
      <c r="H64" s="507">
        <v>0</v>
      </c>
      <c r="I64" s="507">
        <v>0</v>
      </c>
      <c r="J64" s="507">
        <v>0</v>
      </c>
      <c r="K64" s="507">
        <v>0</v>
      </c>
      <c r="L64" s="507">
        <v>0</v>
      </c>
      <c r="M64" s="507">
        <v>0</v>
      </c>
      <c r="N64" s="507">
        <v>0</v>
      </c>
      <c r="O64" s="507">
        <v>41582.02339970418</v>
      </c>
      <c r="P64" s="507">
        <v>0</v>
      </c>
      <c r="Q64" s="507">
        <v>0</v>
      </c>
      <c r="R64" s="507">
        <v>41582.02339970418</v>
      </c>
      <c r="S64" s="507">
        <v>41582.02339970418</v>
      </c>
      <c r="T64" s="507">
        <v>0</v>
      </c>
      <c r="U64" s="507">
        <v>41582.02339970418</v>
      </c>
      <c r="V64" s="507">
        <v>0</v>
      </c>
      <c r="W64" s="507">
        <v>43166.579971336294</v>
      </c>
      <c r="X64" s="507">
        <v>1584.5565716321194</v>
      </c>
      <c r="Y64" s="507">
        <v>0</v>
      </c>
      <c r="Z64" s="507">
        <v>0</v>
      </c>
      <c r="AA64" s="507">
        <v>0</v>
      </c>
      <c r="AB64" s="507">
        <v>0</v>
      </c>
      <c r="AC64" s="507">
        <v>0</v>
      </c>
      <c r="AD64" s="507">
        <v>0</v>
      </c>
      <c r="AE64" s="507">
        <v>0</v>
      </c>
      <c r="AF64" s="507">
        <v>0</v>
      </c>
      <c r="AG64" s="507">
        <v>0</v>
      </c>
      <c r="AH64" s="507">
        <v>0</v>
      </c>
      <c r="AI64" s="507">
        <v>0</v>
      </c>
      <c r="AJ64" s="507">
        <v>0</v>
      </c>
      <c r="AK64" s="507">
        <v>0</v>
      </c>
      <c r="AL64" s="507">
        <v>0</v>
      </c>
      <c r="AM64" s="507">
        <v>0</v>
      </c>
      <c r="AN64" s="507">
        <v>0</v>
      </c>
      <c r="AO64" s="507">
        <v>0</v>
      </c>
      <c r="AP64" s="507">
        <v>0</v>
      </c>
      <c r="AQ64" s="507">
        <v>0</v>
      </c>
      <c r="AR64" s="507">
        <v>0</v>
      </c>
      <c r="AS64" s="507">
        <v>0</v>
      </c>
      <c r="AT64" s="507">
        <v>0</v>
      </c>
      <c r="AU64" s="507">
        <v>0</v>
      </c>
      <c r="AV64" s="507">
        <v>0</v>
      </c>
      <c r="AW64" s="507">
        <v>0</v>
      </c>
      <c r="AX64" s="507">
        <v>0</v>
      </c>
      <c r="AY64" s="507">
        <v>0</v>
      </c>
      <c r="AZ64" s="507">
        <v>0</v>
      </c>
      <c r="BA64" s="507">
        <v>0</v>
      </c>
      <c r="BB64" s="507">
        <v>0</v>
      </c>
      <c r="BC64" s="507">
        <v>0</v>
      </c>
      <c r="BD64" s="507">
        <v>0</v>
      </c>
      <c r="BE64" s="507">
        <v>0</v>
      </c>
      <c r="BF64" s="507">
        <v>0</v>
      </c>
      <c r="BG64" s="507">
        <v>0</v>
      </c>
      <c r="BH64" s="507">
        <v>0</v>
      </c>
      <c r="BI64" s="507">
        <v>0</v>
      </c>
      <c r="BJ64" s="507">
        <v>0</v>
      </c>
      <c r="BK64" s="507">
        <v>0</v>
      </c>
      <c r="BL64" s="507">
        <v>0</v>
      </c>
      <c r="BM64" s="507">
        <v>0</v>
      </c>
      <c r="BN64" s="507">
        <v>0</v>
      </c>
      <c r="BO64" s="507">
        <v>0</v>
      </c>
      <c r="BP64" s="507">
        <v>0</v>
      </c>
      <c r="BQ64" s="507">
        <v>0</v>
      </c>
      <c r="BR64" s="507">
        <v>0</v>
      </c>
      <c r="BS64" s="507">
        <v>0</v>
      </c>
      <c r="BT64" s="507">
        <v>0</v>
      </c>
      <c r="BU64" s="507">
        <v>0</v>
      </c>
      <c r="BV64" s="507">
        <v>0</v>
      </c>
      <c r="BW64" s="507">
        <v>0</v>
      </c>
      <c r="BX64" s="507">
        <v>0</v>
      </c>
      <c r="BY64" s="507">
        <v>0</v>
      </c>
      <c r="BZ64" s="507">
        <v>0</v>
      </c>
      <c r="CA64" s="507">
        <v>0</v>
      </c>
      <c r="CB64" s="507">
        <v>0</v>
      </c>
      <c r="CC64" s="507">
        <v>0</v>
      </c>
      <c r="CD64" s="507">
        <v>0</v>
      </c>
      <c r="CE64" s="507">
        <v>0</v>
      </c>
      <c r="CF64" s="507">
        <v>0</v>
      </c>
      <c r="CG64" s="507">
        <v>0</v>
      </c>
      <c r="CH64" s="507">
        <v>0</v>
      </c>
      <c r="CI64" s="507">
        <v>0</v>
      </c>
      <c r="CJ64" s="507">
        <v>0</v>
      </c>
      <c r="CK64" s="507">
        <v>0</v>
      </c>
      <c r="CL64" s="507">
        <v>0</v>
      </c>
      <c r="CM64" s="507">
        <v>0</v>
      </c>
      <c r="CN64" s="507">
        <v>0</v>
      </c>
      <c r="CO64" s="507">
        <v>0</v>
      </c>
      <c r="CP64" s="507">
        <v>0</v>
      </c>
      <c r="CQ64" s="507">
        <v>0</v>
      </c>
      <c r="CR64" s="507">
        <v>0</v>
      </c>
      <c r="CS64" s="507">
        <v>0</v>
      </c>
      <c r="CT64" s="507">
        <v>0</v>
      </c>
      <c r="CU64" s="507">
        <v>0</v>
      </c>
      <c r="CV64" s="507">
        <v>0</v>
      </c>
      <c r="CW64" s="507">
        <v>0</v>
      </c>
      <c r="CX64" s="507">
        <v>0</v>
      </c>
      <c r="CY64" s="507">
        <v>0</v>
      </c>
      <c r="CZ64" s="507">
        <v>0</v>
      </c>
      <c r="DA64" s="507">
        <v>0</v>
      </c>
      <c r="DB64" s="507">
        <v>0</v>
      </c>
      <c r="DC64" s="507">
        <v>0</v>
      </c>
      <c r="DD64" s="507">
        <v>0</v>
      </c>
      <c r="DE64" s="507">
        <v>0</v>
      </c>
      <c r="DF64" s="507">
        <v>0</v>
      </c>
      <c r="DG64" s="507">
        <v>0</v>
      </c>
      <c r="DH64" s="507">
        <v>0</v>
      </c>
      <c r="DI64" s="507" t="s">
        <v>668</v>
      </c>
      <c r="DJ64" s="507">
        <v>0</v>
      </c>
      <c r="DK64" s="507">
        <v>0</v>
      </c>
      <c r="DL64" s="507">
        <v>0</v>
      </c>
      <c r="DM64" s="507">
        <v>0</v>
      </c>
      <c r="DN64" s="507">
        <v>0</v>
      </c>
      <c r="DO64" s="507">
        <v>0</v>
      </c>
      <c r="DP64" s="507">
        <v>0</v>
      </c>
      <c r="DQ64" s="507">
        <v>0</v>
      </c>
      <c r="DR64" s="507">
        <v>0</v>
      </c>
      <c r="DS64" s="507">
        <v>0</v>
      </c>
      <c r="DT64" s="507">
        <v>0</v>
      </c>
      <c r="DU64" s="507">
        <v>0</v>
      </c>
      <c r="DV64" s="507">
        <v>0</v>
      </c>
      <c r="DW64" s="507">
        <v>0</v>
      </c>
      <c r="DX64" s="507">
        <v>0</v>
      </c>
      <c r="DY64" s="507">
        <v>0</v>
      </c>
      <c r="DZ64" s="507">
        <v>0</v>
      </c>
      <c r="EA64" s="507">
        <v>0</v>
      </c>
      <c r="EB64" s="507">
        <v>0</v>
      </c>
      <c r="EC64" s="507">
        <v>0</v>
      </c>
      <c r="ED64" s="507">
        <v>0</v>
      </c>
      <c r="EE64" s="507">
        <v>0</v>
      </c>
      <c r="EF64" s="507">
        <v>0</v>
      </c>
      <c r="EG64" s="507">
        <v>0</v>
      </c>
      <c r="EH64" s="507">
        <v>0</v>
      </c>
      <c r="EI64" s="507">
        <v>0</v>
      </c>
      <c r="EJ64" s="507">
        <v>0</v>
      </c>
      <c r="EK64" s="507">
        <v>0</v>
      </c>
      <c r="EL64" s="507">
        <v>0</v>
      </c>
      <c r="EM64" s="507">
        <v>0</v>
      </c>
      <c r="EN64" s="507">
        <v>0</v>
      </c>
      <c r="EO64" s="507">
        <v>0</v>
      </c>
      <c r="EP64" s="507">
        <v>0</v>
      </c>
      <c r="EQ64" s="507">
        <v>0</v>
      </c>
      <c r="ER64" s="507">
        <v>0</v>
      </c>
      <c r="ES64" s="507">
        <v>0</v>
      </c>
      <c r="ET64" s="507">
        <v>0</v>
      </c>
      <c r="EU64" s="507">
        <v>0</v>
      </c>
      <c r="EV64" s="507">
        <v>0</v>
      </c>
      <c r="EW64" s="507">
        <v>0</v>
      </c>
      <c r="EX64" s="507">
        <v>0</v>
      </c>
      <c r="EY64" s="507">
        <v>0</v>
      </c>
      <c r="EZ64" s="507">
        <v>0</v>
      </c>
      <c r="FA64" s="507">
        <v>0</v>
      </c>
      <c r="FB64" s="507">
        <v>0</v>
      </c>
      <c r="FC64" s="507">
        <v>0</v>
      </c>
      <c r="FD64" s="507">
        <v>0</v>
      </c>
      <c r="FE64" s="507">
        <v>0</v>
      </c>
      <c r="FF64" s="507">
        <v>0</v>
      </c>
      <c r="FG64" s="507">
        <v>0</v>
      </c>
      <c r="FH64" s="507">
        <v>0</v>
      </c>
      <c r="FI64" s="507">
        <v>0</v>
      </c>
      <c r="FJ64" s="507">
        <v>0</v>
      </c>
      <c r="FK64" s="507">
        <v>0</v>
      </c>
      <c r="FL64" s="507">
        <v>0</v>
      </c>
      <c r="FM64" s="507">
        <v>0</v>
      </c>
      <c r="FN64" s="507">
        <v>0</v>
      </c>
      <c r="FO64" s="507">
        <v>0</v>
      </c>
      <c r="FP64" s="507">
        <v>0</v>
      </c>
      <c r="FQ64" s="507">
        <v>0</v>
      </c>
      <c r="FR64" s="507">
        <v>0</v>
      </c>
      <c r="FS64" s="507">
        <v>0</v>
      </c>
      <c r="FT64" s="507">
        <v>0</v>
      </c>
      <c r="FU64" s="507">
        <v>0</v>
      </c>
      <c r="FV64" s="507">
        <v>0</v>
      </c>
      <c r="FW64" s="507">
        <v>0</v>
      </c>
      <c r="FX64" s="507" t="s">
        <v>668</v>
      </c>
      <c r="FY64" s="507">
        <v>0</v>
      </c>
      <c r="FZ64" s="507">
        <v>0</v>
      </c>
      <c r="GA64" s="507">
        <v>0</v>
      </c>
      <c r="GB64" s="507">
        <v>0</v>
      </c>
      <c r="GC64" s="507">
        <v>0</v>
      </c>
      <c r="GD64" s="507" t="s">
        <v>668</v>
      </c>
      <c r="GE64" s="507">
        <v>0</v>
      </c>
      <c r="GF64" s="507">
        <v>0</v>
      </c>
      <c r="GG64" s="507" t="s">
        <v>668</v>
      </c>
      <c r="GH64" s="507">
        <v>0</v>
      </c>
      <c r="GI64" s="507">
        <v>0</v>
      </c>
      <c r="GJ64" s="507">
        <v>0</v>
      </c>
      <c r="GK64" s="507">
        <v>0</v>
      </c>
      <c r="GL64" s="507">
        <v>0</v>
      </c>
      <c r="GM64" s="507">
        <v>0</v>
      </c>
      <c r="GN64" s="507">
        <v>0</v>
      </c>
      <c r="GO64" s="507">
        <v>0</v>
      </c>
      <c r="GP64" s="507">
        <v>0</v>
      </c>
      <c r="GQ64" s="507">
        <v>0</v>
      </c>
      <c r="GR64" s="507">
        <v>0</v>
      </c>
      <c r="GS64" s="507">
        <v>0</v>
      </c>
      <c r="GT64" s="507">
        <v>0</v>
      </c>
      <c r="GU64" s="507">
        <v>0</v>
      </c>
      <c r="GV64" s="507">
        <v>0</v>
      </c>
      <c r="GW64" s="507">
        <v>0</v>
      </c>
      <c r="GX64" s="507">
        <v>0</v>
      </c>
      <c r="GY64" s="507">
        <v>0</v>
      </c>
      <c r="GZ64" s="507">
        <v>0</v>
      </c>
      <c r="HA64" s="507">
        <v>0</v>
      </c>
      <c r="HB64" s="507">
        <v>0</v>
      </c>
      <c r="HC64" s="507">
        <v>0</v>
      </c>
      <c r="HD64" s="507">
        <v>0</v>
      </c>
      <c r="HE64" s="507">
        <v>0</v>
      </c>
      <c r="HF64" s="507">
        <v>0</v>
      </c>
      <c r="HG64" s="507">
        <v>0</v>
      </c>
      <c r="HH64" s="507">
        <v>0</v>
      </c>
      <c r="HI64" s="507">
        <v>0</v>
      </c>
      <c r="HJ64" s="507">
        <v>0</v>
      </c>
      <c r="HK64" s="507">
        <v>0</v>
      </c>
      <c r="HL64" s="507">
        <v>0</v>
      </c>
      <c r="HM64" s="507">
        <v>0</v>
      </c>
      <c r="HN64" s="507">
        <v>0</v>
      </c>
      <c r="HO64" s="507">
        <v>0</v>
      </c>
      <c r="HP64" s="507">
        <v>0</v>
      </c>
      <c r="HQ64" s="507">
        <v>0</v>
      </c>
      <c r="HR64" s="507">
        <v>0</v>
      </c>
      <c r="HS64" s="507">
        <v>0</v>
      </c>
      <c r="HT64" s="507">
        <v>0</v>
      </c>
      <c r="HU64" s="507">
        <v>0</v>
      </c>
      <c r="HV64" s="507">
        <v>0</v>
      </c>
      <c r="HW64" s="507">
        <v>0</v>
      </c>
      <c r="HX64" s="507">
        <v>0</v>
      </c>
      <c r="HY64" s="507">
        <v>0</v>
      </c>
      <c r="HZ64" s="507">
        <v>0</v>
      </c>
      <c r="IA64" s="507">
        <v>0</v>
      </c>
      <c r="IB64" s="507">
        <v>0</v>
      </c>
      <c r="IC64" s="507">
        <v>0</v>
      </c>
      <c r="ID64" s="507">
        <v>0</v>
      </c>
      <c r="IE64" s="507">
        <v>0</v>
      </c>
      <c r="IF64" s="507">
        <v>0</v>
      </c>
      <c r="IG64" s="507">
        <v>0</v>
      </c>
      <c r="IH64" s="571">
        <v>0</v>
      </c>
    </row>
    <row r="65" spans="1:242" s="503" customFormat="1" ht="15.95" customHeight="1" x14ac:dyDescent="0.2">
      <c r="A65" s="530" t="s">
        <v>559</v>
      </c>
      <c r="B65" s="527">
        <v>42</v>
      </c>
      <c r="D65" s="590" t="s">
        <v>561</v>
      </c>
      <c r="E65" s="528" t="s">
        <v>561</v>
      </c>
      <c r="F65" s="508">
        <v>39.097749999999998</v>
      </c>
      <c r="G65" s="505">
        <v>155.75000299999999</v>
      </c>
      <c r="H65" s="507">
        <v>0</v>
      </c>
      <c r="I65" s="507">
        <v>0</v>
      </c>
      <c r="J65" s="507">
        <v>0</v>
      </c>
      <c r="K65" s="507">
        <v>0</v>
      </c>
      <c r="L65" s="507">
        <v>0</v>
      </c>
      <c r="M65" s="507">
        <v>0</v>
      </c>
      <c r="N65" s="507">
        <v>0</v>
      </c>
      <c r="O65" s="507">
        <v>24673.843263831259</v>
      </c>
      <c r="P65" s="507">
        <v>0</v>
      </c>
      <c r="Q65" s="507">
        <v>0</v>
      </c>
      <c r="R65" s="507">
        <v>24673.843263831259</v>
      </c>
      <c r="S65" s="507">
        <v>24673.843263831259</v>
      </c>
      <c r="T65" s="507">
        <v>0</v>
      </c>
      <c r="U65" s="507">
        <v>24673.843263831259</v>
      </c>
      <c r="V65" s="507">
        <v>0</v>
      </c>
      <c r="W65" s="507">
        <v>25614.083716185069</v>
      </c>
      <c r="X65" s="507">
        <v>940.24045235381368</v>
      </c>
      <c r="Y65" s="507">
        <v>0</v>
      </c>
      <c r="Z65" s="507">
        <v>0</v>
      </c>
      <c r="AA65" s="507">
        <v>0</v>
      </c>
      <c r="AB65" s="507">
        <v>0</v>
      </c>
      <c r="AC65" s="507">
        <v>0</v>
      </c>
      <c r="AD65" s="507">
        <v>0</v>
      </c>
      <c r="AE65" s="507">
        <v>0</v>
      </c>
      <c r="AF65" s="507">
        <v>0</v>
      </c>
      <c r="AG65" s="507">
        <v>0</v>
      </c>
      <c r="AH65" s="507">
        <v>0</v>
      </c>
      <c r="AI65" s="507">
        <v>0</v>
      </c>
      <c r="AJ65" s="507">
        <v>0</v>
      </c>
      <c r="AK65" s="507">
        <v>0</v>
      </c>
      <c r="AL65" s="507">
        <v>0</v>
      </c>
      <c r="AM65" s="507">
        <v>0</v>
      </c>
      <c r="AN65" s="507">
        <v>0</v>
      </c>
      <c r="AO65" s="507">
        <v>0</v>
      </c>
      <c r="AP65" s="507">
        <v>0</v>
      </c>
      <c r="AQ65" s="507">
        <v>0</v>
      </c>
      <c r="AR65" s="507">
        <v>0</v>
      </c>
      <c r="AS65" s="507">
        <v>0</v>
      </c>
      <c r="AT65" s="507">
        <v>0</v>
      </c>
      <c r="AU65" s="507">
        <v>0</v>
      </c>
      <c r="AV65" s="507">
        <v>0</v>
      </c>
      <c r="AW65" s="507">
        <v>0</v>
      </c>
      <c r="AX65" s="507">
        <v>0</v>
      </c>
      <c r="AY65" s="507">
        <v>0</v>
      </c>
      <c r="AZ65" s="507">
        <v>0</v>
      </c>
      <c r="BA65" s="507">
        <v>0</v>
      </c>
      <c r="BB65" s="507">
        <v>0</v>
      </c>
      <c r="BC65" s="507">
        <v>0</v>
      </c>
      <c r="BD65" s="507">
        <v>0</v>
      </c>
      <c r="BE65" s="507">
        <v>0</v>
      </c>
      <c r="BF65" s="507">
        <v>0</v>
      </c>
      <c r="BG65" s="507">
        <v>0</v>
      </c>
      <c r="BH65" s="507">
        <v>0</v>
      </c>
      <c r="BI65" s="507">
        <v>0</v>
      </c>
      <c r="BJ65" s="507">
        <v>0</v>
      </c>
      <c r="BK65" s="507">
        <v>0</v>
      </c>
      <c r="BL65" s="507">
        <v>0</v>
      </c>
      <c r="BM65" s="507">
        <v>0</v>
      </c>
      <c r="BN65" s="507">
        <v>0</v>
      </c>
      <c r="BO65" s="507">
        <v>0</v>
      </c>
      <c r="BP65" s="507">
        <v>0</v>
      </c>
      <c r="BQ65" s="507">
        <v>0</v>
      </c>
      <c r="BR65" s="507">
        <v>0</v>
      </c>
      <c r="BS65" s="507">
        <v>0</v>
      </c>
      <c r="BT65" s="507">
        <v>0</v>
      </c>
      <c r="BU65" s="507">
        <v>0</v>
      </c>
      <c r="BV65" s="507">
        <v>0</v>
      </c>
      <c r="BW65" s="507">
        <v>0</v>
      </c>
      <c r="BX65" s="507">
        <v>0</v>
      </c>
      <c r="BY65" s="507">
        <v>0</v>
      </c>
      <c r="BZ65" s="507">
        <v>0</v>
      </c>
      <c r="CA65" s="507">
        <v>0</v>
      </c>
      <c r="CB65" s="507">
        <v>0</v>
      </c>
      <c r="CC65" s="507">
        <v>0</v>
      </c>
      <c r="CD65" s="507">
        <v>0</v>
      </c>
      <c r="CE65" s="507">
        <v>0</v>
      </c>
      <c r="CF65" s="507">
        <v>0</v>
      </c>
      <c r="CG65" s="507">
        <v>0</v>
      </c>
      <c r="CH65" s="507">
        <v>0</v>
      </c>
      <c r="CI65" s="507">
        <v>0</v>
      </c>
      <c r="CJ65" s="507">
        <v>0</v>
      </c>
      <c r="CK65" s="507">
        <v>0</v>
      </c>
      <c r="CL65" s="507">
        <v>0</v>
      </c>
      <c r="CM65" s="507">
        <v>0</v>
      </c>
      <c r="CN65" s="507">
        <v>0</v>
      </c>
      <c r="CO65" s="507">
        <v>0</v>
      </c>
      <c r="CP65" s="507">
        <v>0</v>
      </c>
      <c r="CQ65" s="507">
        <v>0</v>
      </c>
      <c r="CR65" s="507">
        <v>0</v>
      </c>
      <c r="CS65" s="507">
        <v>0</v>
      </c>
      <c r="CT65" s="507">
        <v>0</v>
      </c>
      <c r="CU65" s="507">
        <v>0</v>
      </c>
      <c r="CV65" s="507">
        <v>0</v>
      </c>
      <c r="CW65" s="507">
        <v>0</v>
      </c>
      <c r="CX65" s="507">
        <v>0</v>
      </c>
      <c r="CY65" s="507">
        <v>0</v>
      </c>
      <c r="CZ65" s="507">
        <v>0</v>
      </c>
      <c r="DA65" s="507">
        <v>0</v>
      </c>
      <c r="DB65" s="507">
        <v>0</v>
      </c>
      <c r="DC65" s="507">
        <v>0</v>
      </c>
      <c r="DD65" s="507">
        <v>0</v>
      </c>
      <c r="DE65" s="507">
        <v>0</v>
      </c>
      <c r="DF65" s="507">
        <v>0</v>
      </c>
      <c r="DG65" s="507">
        <v>0</v>
      </c>
      <c r="DH65" s="507">
        <v>0</v>
      </c>
      <c r="DI65" s="507" t="s">
        <v>668</v>
      </c>
      <c r="DJ65" s="507">
        <v>0</v>
      </c>
      <c r="DK65" s="507">
        <v>0</v>
      </c>
      <c r="DL65" s="507">
        <v>0</v>
      </c>
      <c r="DM65" s="507">
        <v>0</v>
      </c>
      <c r="DN65" s="507">
        <v>0</v>
      </c>
      <c r="DO65" s="507">
        <v>0</v>
      </c>
      <c r="DP65" s="507">
        <v>0</v>
      </c>
      <c r="DQ65" s="507">
        <v>0</v>
      </c>
      <c r="DR65" s="507">
        <v>0</v>
      </c>
      <c r="DS65" s="507">
        <v>0</v>
      </c>
      <c r="DT65" s="507">
        <v>0</v>
      </c>
      <c r="DU65" s="507">
        <v>0</v>
      </c>
      <c r="DV65" s="507">
        <v>0</v>
      </c>
      <c r="DW65" s="507">
        <v>0</v>
      </c>
      <c r="DX65" s="507">
        <v>0</v>
      </c>
      <c r="DY65" s="507">
        <v>0</v>
      </c>
      <c r="DZ65" s="507">
        <v>0</v>
      </c>
      <c r="EA65" s="507">
        <v>0</v>
      </c>
      <c r="EB65" s="507">
        <v>0</v>
      </c>
      <c r="EC65" s="507">
        <v>0</v>
      </c>
      <c r="ED65" s="507">
        <v>0</v>
      </c>
      <c r="EE65" s="507">
        <v>0</v>
      </c>
      <c r="EF65" s="507">
        <v>0</v>
      </c>
      <c r="EG65" s="507">
        <v>0</v>
      </c>
      <c r="EH65" s="507">
        <v>0</v>
      </c>
      <c r="EI65" s="507">
        <v>0</v>
      </c>
      <c r="EJ65" s="507">
        <v>0</v>
      </c>
      <c r="EK65" s="507">
        <v>0</v>
      </c>
      <c r="EL65" s="507">
        <v>0</v>
      </c>
      <c r="EM65" s="507">
        <v>0</v>
      </c>
      <c r="EN65" s="507">
        <v>0</v>
      </c>
      <c r="EO65" s="507">
        <v>0</v>
      </c>
      <c r="EP65" s="507">
        <v>0</v>
      </c>
      <c r="EQ65" s="507">
        <v>0</v>
      </c>
      <c r="ER65" s="507">
        <v>0</v>
      </c>
      <c r="ES65" s="507">
        <v>0</v>
      </c>
      <c r="ET65" s="507">
        <v>0</v>
      </c>
      <c r="EU65" s="507">
        <v>0</v>
      </c>
      <c r="EV65" s="507">
        <v>0</v>
      </c>
      <c r="EW65" s="507">
        <v>0</v>
      </c>
      <c r="EX65" s="507">
        <v>0</v>
      </c>
      <c r="EY65" s="507">
        <v>0</v>
      </c>
      <c r="EZ65" s="507">
        <v>0</v>
      </c>
      <c r="FA65" s="507">
        <v>0</v>
      </c>
      <c r="FB65" s="507">
        <v>0</v>
      </c>
      <c r="FC65" s="507">
        <v>0</v>
      </c>
      <c r="FD65" s="507">
        <v>0</v>
      </c>
      <c r="FE65" s="507">
        <v>0</v>
      </c>
      <c r="FF65" s="507">
        <v>0</v>
      </c>
      <c r="FG65" s="507">
        <v>0</v>
      </c>
      <c r="FH65" s="507">
        <v>0</v>
      </c>
      <c r="FI65" s="507">
        <v>0</v>
      </c>
      <c r="FJ65" s="507">
        <v>0</v>
      </c>
      <c r="FK65" s="507">
        <v>0</v>
      </c>
      <c r="FL65" s="507">
        <v>0</v>
      </c>
      <c r="FM65" s="507">
        <v>0</v>
      </c>
      <c r="FN65" s="507">
        <v>0</v>
      </c>
      <c r="FO65" s="507">
        <v>0</v>
      </c>
      <c r="FP65" s="507">
        <v>0</v>
      </c>
      <c r="FQ65" s="507">
        <v>0</v>
      </c>
      <c r="FR65" s="507">
        <v>0</v>
      </c>
      <c r="FS65" s="507">
        <v>0</v>
      </c>
      <c r="FT65" s="507">
        <v>0</v>
      </c>
      <c r="FU65" s="507">
        <v>0</v>
      </c>
      <c r="FV65" s="507">
        <v>0</v>
      </c>
      <c r="FW65" s="507">
        <v>0</v>
      </c>
      <c r="FX65" s="507" t="s">
        <v>668</v>
      </c>
      <c r="FY65" s="507">
        <v>0</v>
      </c>
      <c r="FZ65" s="507">
        <v>0</v>
      </c>
      <c r="GA65" s="507">
        <v>0</v>
      </c>
      <c r="GB65" s="507">
        <v>0</v>
      </c>
      <c r="GC65" s="507">
        <v>0</v>
      </c>
      <c r="GD65" s="507" t="s">
        <v>668</v>
      </c>
      <c r="GE65" s="507">
        <v>0</v>
      </c>
      <c r="GF65" s="507">
        <v>0</v>
      </c>
      <c r="GG65" s="507" t="s">
        <v>668</v>
      </c>
      <c r="GH65" s="507">
        <v>0</v>
      </c>
      <c r="GI65" s="507">
        <v>0</v>
      </c>
      <c r="GJ65" s="507">
        <v>0</v>
      </c>
      <c r="GK65" s="507">
        <v>0</v>
      </c>
      <c r="GL65" s="507">
        <v>0</v>
      </c>
      <c r="GM65" s="507">
        <v>0</v>
      </c>
      <c r="GN65" s="507">
        <v>0</v>
      </c>
      <c r="GO65" s="507">
        <v>0</v>
      </c>
      <c r="GP65" s="507">
        <v>0</v>
      </c>
      <c r="GQ65" s="507">
        <v>0</v>
      </c>
      <c r="GR65" s="507">
        <v>0</v>
      </c>
      <c r="GS65" s="507">
        <v>0</v>
      </c>
      <c r="GT65" s="507">
        <v>0</v>
      </c>
      <c r="GU65" s="507">
        <v>0</v>
      </c>
      <c r="GV65" s="507">
        <v>0</v>
      </c>
      <c r="GW65" s="507">
        <v>0</v>
      </c>
      <c r="GX65" s="507">
        <v>0</v>
      </c>
      <c r="GY65" s="507">
        <v>0</v>
      </c>
      <c r="GZ65" s="507">
        <v>0</v>
      </c>
      <c r="HA65" s="507">
        <v>0</v>
      </c>
      <c r="HB65" s="507">
        <v>0</v>
      </c>
      <c r="HC65" s="507">
        <v>0</v>
      </c>
      <c r="HD65" s="507">
        <v>0</v>
      </c>
      <c r="HE65" s="507">
        <v>0</v>
      </c>
      <c r="HF65" s="507">
        <v>0</v>
      </c>
      <c r="HG65" s="507">
        <v>0</v>
      </c>
      <c r="HH65" s="507">
        <v>0</v>
      </c>
      <c r="HI65" s="507">
        <v>0</v>
      </c>
      <c r="HJ65" s="507">
        <v>0</v>
      </c>
      <c r="HK65" s="507">
        <v>0</v>
      </c>
      <c r="HL65" s="507">
        <v>0</v>
      </c>
      <c r="HM65" s="507">
        <v>0</v>
      </c>
      <c r="HN65" s="507">
        <v>0</v>
      </c>
      <c r="HO65" s="507">
        <v>0</v>
      </c>
      <c r="HP65" s="507">
        <v>0</v>
      </c>
      <c r="HQ65" s="507">
        <v>0</v>
      </c>
      <c r="HR65" s="507">
        <v>0</v>
      </c>
      <c r="HS65" s="507">
        <v>0</v>
      </c>
      <c r="HT65" s="507">
        <v>0</v>
      </c>
      <c r="HU65" s="507">
        <v>0</v>
      </c>
      <c r="HV65" s="507">
        <v>0</v>
      </c>
      <c r="HW65" s="507">
        <v>0</v>
      </c>
      <c r="HX65" s="507">
        <v>0</v>
      </c>
      <c r="HY65" s="507">
        <v>0</v>
      </c>
      <c r="HZ65" s="507">
        <v>0</v>
      </c>
      <c r="IA65" s="507">
        <v>0</v>
      </c>
      <c r="IB65" s="507">
        <v>0</v>
      </c>
      <c r="IC65" s="507">
        <v>0</v>
      </c>
      <c r="ID65" s="507">
        <v>0</v>
      </c>
      <c r="IE65" s="507">
        <v>0</v>
      </c>
      <c r="IF65" s="507">
        <v>0</v>
      </c>
      <c r="IG65" s="507">
        <v>0</v>
      </c>
      <c r="IH65" s="571">
        <v>0</v>
      </c>
    </row>
    <row r="66" spans="1:242" s="503" customFormat="1" ht="15.95" customHeight="1" x14ac:dyDescent="0.2">
      <c r="A66" s="530" t="s">
        <v>560</v>
      </c>
      <c r="B66" s="527">
        <v>43</v>
      </c>
      <c r="D66" s="590" t="s">
        <v>562</v>
      </c>
      <c r="E66" s="528" t="s">
        <v>562</v>
      </c>
      <c r="F66" s="508">
        <v>17.00789</v>
      </c>
      <c r="G66" s="505">
        <v>155.75000299999999</v>
      </c>
      <c r="H66" s="507">
        <v>0</v>
      </c>
      <c r="I66" s="507">
        <v>0</v>
      </c>
      <c r="J66" s="507" t="s">
        <v>668</v>
      </c>
      <c r="K66" s="507">
        <v>0</v>
      </c>
      <c r="L66" s="507">
        <v>0</v>
      </c>
      <c r="M66" s="507">
        <v>0</v>
      </c>
      <c r="N66" s="507" t="s">
        <v>668</v>
      </c>
      <c r="O66" s="507" t="s">
        <v>668</v>
      </c>
      <c r="P66" s="507" t="s">
        <v>668</v>
      </c>
      <c r="Q66" s="507" t="s">
        <v>668</v>
      </c>
      <c r="R66" s="507" t="s">
        <v>668</v>
      </c>
      <c r="S66" s="507" t="s">
        <v>668</v>
      </c>
      <c r="T66" s="507" t="s">
        <v>668</v>
      </c>
      <c r="U66" s="507" t="s">
        <v>668</v>
      </c>
      <c r="V66" s="507" t="s">
        <v>668</v>
      </c>
      <c r="W66" s="507" t="s">
        <v>668</v>
      </c>
      <c r="X66" s="507" t="s">
        <v>668</v>
      </c>
      <c r="Y66" s="507" t="s">
        <v>668</v>
      </c>
      <c r="Z66" s="507" t="s">
        <v>668</v>
      </c>
      <c r="AA66" s="507" t="s">
        <v>668</v>
      </c>
      <c r="AB66" s="507" t="s">
        <v>668</v>
      </c>
      <c r="AC66" s="507" t="s">
        <v>668</v>
      </c>
      <c r="AD66" s="507" t="s">
        <v>668</v>
      </c>
      <c r="AE66" s="507" t="s">
        <v>668</v>
      </c>
      <c r="AF66" s="507">
        <v>0</v>
      </c>
      <c r="AG66" s="507">
        <v>0</v>
      </c>
      <c r="AH66" s="507">
        <v>0</v>
      </c>
      <c r="AI66" s="507">
        <v>0</v>
      </c>
      <c r="AJ66" s="507">
        <v>0</v>
      </c>
      <c r="AK66" s="507">
        <v>0</v>
      </c>
      <c r="AL66" s="507">
        <v>0</v>
      </c>
      <c r="AM66" s="507">
        <v>0</v>
      </c>
      <c r="AN66" s="507">
        <v>0</v>
      </c>
      <c r="AO66" s="507">
        <v>0</v>
      </c>
      <c r="AP66" s="507">
        <v>0</v>
      </c>
      <c r="AQ66" s="507">
        <v>0</v>
      </c>
      <c r="AR66" s="507">
        <v>0</v>
      </c>
      <c r="AS66" s="507">
        <v>0</v>
      </c>
      <c r="AT66" s="507">
        <v>0</v>
      </c>
      <c r="AU66" s="507">
        <v>0</v>
      </c>
      <c r="AV66" s="507">
        <v>0</v>
      </c>
      <c r="AW66" s="507">
        <v>0</v>
      </c>
      <c r="AX66" s="507">
        <v>0</v>
      </c>
      <c r="AY66" s="507">
        <v>0</v>
      </c>
      <c r="AZ66" s="507">
        <v>0</v>
      </c>
      <c r="BA66" s="507">
        <v>0</v>
      </c>
      <c r="BB66" s="507">
        <v>0</v>
      </c>
      <c r="BC66" s="507">
        <v>0</v>
      </c>
      <c r="BD66" s="507">
        <v>0</v>
      </c>
      <c r="BE66" s="507">
        <v>0</v>
      </c>
      <c r="BF66" s="507">
        <v>0</v>
      </c>
      <c r="BG66" s="507">
        <v>0</v>
      </c>
      <c r="BH66" s="507">
        <v>0</v>
      </c>
      <c r="BI66" s="507">
        <v>0</v>
      </c>
      <c r="BJ66" s="507">
        <v>0</v>
      </c>
      <c r="BK66" s="507">
        <v>0</v>
      </c>
      <c r="BL66" s="507">
        <v>0</v>
      </c>
      <c r="BM66" s="507">
        <v>0</v>
      </c>
      <c r="BN66" s="507">
        <v>0</v>
      </c>
      <c r="BO66" s="507">
        <v>0</v>
      </c>
      <c r="BP66" s="507">
        <v>0</v>
      </c>
      <c r="BQ66" s="507">
        <v>0</v>
      </c>
      <c r="BR66" s="507">
        <v>0</v>
      </c>
      <c r="BS66" s="507">
        <v>0</v>
      </c>
      <c r="BT66" s="507">
        <v>0</v>
      </c>
      <c r="BU66" s="507">
        <v>0</v>
      </c>
      <c r="BV66" s="507">
        <v>0</v>
      </c>
      <c r="BW66" s="507">
        <v>0</v>
      </c>
      <c r="BX66" s="507">
        <v>0</v>
      </c>
      <c r="BY66" s="507">
        <v>0</v>
      </c>
      <c r="BZ66" s="507">
        <v>0</v>
      </c>
      <c r="CA66" s="507">
        <v>0</v>
      </c>
      <c r="CB66" s="507">
        <v>0</v>
      </c>
      <c r="CC66" s="507">
        <v>0</v>
      </c>
      <c r="CD66" s="507">
        <v>0</v>
      </c>
      <c r="CE66" s="507">
        <v>0</v>
      </c>
      <c r="CF66" s="507">
        <v>0</v>
      </c>
      <c r="CG66" s="507">
        <v>0</v>
      </c>
      <c r="CH66" s="507">
        <v>0</v>
      </c>
      <c r="CI66" s="507">
        <v>0</v>
      </c>
      <c r="CJ66" s="507">
        <v>0</v>
      </c>
      <c r="CK66" s="507">
        <v>0</v>
      </c>
      <c r="CL66" s="507">
        <v>0</v>
      </c>
      <c r="CM66" s="507">
        <v>0</v>
      </c>
      <c r="CN66" s="507">
        <v>0</v>
      </c>
      <c r="CO66" s="507">
        <v>0</v>
      </c>
      <c r="CP66" s="507">
        <v>0</v>
      </c>
      <c r="CQ66" s="507">
        <v>0</v>
      </c>
      <c r="CR66" s="507">
        <v>0</v>
      </c>
      <c r="CS66" s="507">
        <v>0</v>
      </c>
      <c r="CT66" s="507">
        <v>0</v>
      </c>
      <c r="CU66" s="507">
        <v>0</v>
      </c>
      <c r="CV66" s="507">
        <v>0</v>
      </c>
      <c r="CW66" s="507">
        <v>0</v>
      </c>
      <c r="CX66" s="507">
        <v>0</v>
      </c>
      <c r="CY66" s="507">
        <v>0</v>
      </c>
      <c r="CZ66" s="507">
        <v>0</v>
      </c>
      <c r="DA66" s="507">
        <v>0</v>
      </c>
      <c r="DB66" s="507">
        <v>0</v>
      </c>
      <c r="DC66" s="507">
        <v>0</v>
      </c>
      <c r="DD66" s="507">
        <v>0</v>
      </c>
      <c r="DE66" s="507">
        <v>0</v>
      </c>
      <c r="DF66" s="507">
        <v>0</v>
      </c>
      <c r="DG66" s="507">
        <v>0</v>
      </c>
      <c r="DH66" s="507">
        <v>0</v>
      </c>
      <c r="DI66" s="507" t="s">
        <v>668</v>
      </c>
      <c r="DJ66" s="507">
        <v>0</v>
      </c>
      <c r="DK66" s="507">
        <v>0</v>
      </c>
      <c r="DL66" s="507">
        <v>0</v>
      </c>
      <c r="DM66" s="507">
        <v>0</v>
      </c>
      <c r="DN66" s="507">
        <v>0</v>
      </c>
      <c r="DO66" s="507">
        <v>0</v>
      </c>
      <c r="DP66" s="507">
        <v>0</v>
      </c>
      <c r="DQ66" s="507">
        <v>0</v>
      </c>
      <c r="DR66" s="507">
        <v>0</v>
      </c>
      <c r="DS66" s="507">
        <v>0</v>
      </c>
      <c r="DT66" s="507">
        <v>0</v>
      </c>
      <c r="DU66" s="507">
        <v>0</v>
      </c>
      <c r="DV66" s="507">
        <v>0</v>
      </c>
      <c r="DW66" s="507">
        <v>0</v>
      </c>
      <c r="DX66" s="507">
        <v>0</v>
      </c>
      <c r="DY66" s="507">
        <v>0</v>
      </c>
      <c r="DZ66" s="507">
        <v>0</v>
      </c>
      <c r="EA66" s="507">
        <v>0</v>
      </c>
      <c r="EB66" s="507">
        <v>0</v>
      </c>
      <c r="EC66" s="507">
        <v>0</v>
      </c>
      <c r="ED66" s="507">
        <v>0</v>
      </c>
      <c r="EE66" s="507">
        <v>0</v>
      </c>
      <c r="EF66" s="507">
        <v>0</v>
      </c>
      <c r="EG66" s="507">
        <v>0</v>
      </c>
      <c r="EH66" s="507">
        <v>0</v>
      </c>
      <c r="EI66" s="507">
        <v>0</v>
      </c>
      <c r="EJ66" s="507">
        <v>0</v>
      </c>
      <c r="EK66" s="507">
        <v>0</v>
      </c>
      <c r="EL66" s="507">
        <v>0</v>
      </c>
      <c r="EM66" s="507">
        <v>0</v>
      </c>
      <c r="EN66" s="507">
        <v>0</v>
      </c>
      <c r="EO66" s="507">
        <v>0</v>
      </c>
      <c r="EP66" s="507">
        <v>0</v>
      </c>
      <c r="EQ66" s="507">
        <v>0</v>
      </c>
      <c r="ER66" s="507">
        <v>0</v>
      </c>
      <c r="ES66" s="507">
        <v>0</v>
      </c>
      <c r="ET66" s="507">
        <v>0</v>
      </c>
      <c r="EU66" s="507">
        <v>0</v>
      </c>
      <c r="EV66" s="507">
        <v>0</v>
      </c>
      <c r="EW66" s="507">
        <v>0</v>
      </c>
      <c r="EX66" s="507">
        <v>0</v>
      </c>
      <c r="EY66" s="507">
        <v>0</v>
      </c>
      <c r="EZ66" s="507">
        <v>0</v>
      </c>
      <c r="FA66" s="507">
        <v>0</v>
      </c>
      <c r="FB66" s="507">
        <v>0</v>
      </c>
      <c r="FC66" s="507">
        <v>0</v>
      </c>
      <c r="FD66" s="507">
        <v>0</v>
      </c>
      <c r="FE66" s="507">
        <v>0</v>
      </c>
      <c r="FF66" s="507">
        <v>0</v>
      </c>
      <c r="FG66" s="507">
        <v>0</v>
      </c>
      <c r="FH66" s="507">
        <v>0</v>
      </c>
      <c r="FI66" s="507">
        <v>0</v>
      </c>
      <c r="FJ66" s="507">
        <v>0</v>
      </c>
      <c r="FK66" s="507">
        <v>0</v>
      </c>
      <c r="FL66" s="507">
        <v>0</v>
      </c>
      <c r="FM66" s="507">
        <v>0</v>
      </c>
      <c r="FN66" s="507">
        <v>0</v>
      </c>
      <c r="FO66" s="507">
        <v>0</v>
      </c>
      <c r="FP66" s="507">
        <v>0</v>
      </c>
      <c r="FQ66" s="507">
        <v>0</v>
      </c>
      <c r="FR66" s="507">
        <v>0</v>
      </c>
      <c r="FS66" s="507">
        <v>0</v>
      </c>
      <c r="FT66" s="507">
        <v>0</v>
      </c>
      <c r="FU66" s="507">
        <v>0</v>
      </c>
      <c r="FV66" s="507">
        <v>0</v>
      </c>
      <c r="FW66" s="507">
        <v>0</v>
      </c>
      <c r="FX66" s="507" t="s">
        <v>668</v>
      </c>
      <c r="FY66" s="507">
        <v>0</v>
      </c>
      <c r="FZ66" s="507">
        <v>0</v>
      </c>
      <c r="GA66" s="507">
        <v>0</v>
      </c>
      <c r="GB66" s="507">
        <v>0</v>
      </c>
      <c r="GC66" s="507">
        <v>0</v>
      </c>
      <c r="GD66" s="507" t="s">
        <v>668</v>
      </c>
      <c r="GE66" s="507">
        <v>0</v>
      </c>
      <c r="GF66" s="507">
        <v>0</v>
      </c>
      <c r="GG66" s="507" t="s">
        <v>668</v>
      </c>
      <c r="GH66" s="507">
        <v>0</v>
      </c>
      <c r="GI66" s="507">
        <v>0</v>
      </c>
      <c r="GJ66" s="507">
        <v>0</v>
      </c>
      <c r="GK66" s="507">
        <v>0</v>
      </c>
      <c r="GL66" s="507">
        <v>0</v>
      </c>
      <c r="GM66" s="507">
        <v>0</v>
      </c>
      <c r="GN66" s="507">
        <v>0</v>
      </c>
      <c r="GO66" s="507">
        <v>0</v>
      </c>
      <c r="GP66" s="507">
        <v>0</v>
      </c>
      <c r="GQ66" s="507">
        <v>0</v>
      </c>
      <c r="GR66" s="507">
        <v>0</v>
      </c>
      <c r="GS66" s="507">
        <v>0</v>
      </c>
      <c r="GT66" s="507">
        <v>0</v>
      </c>
      <c r="GU66" s="507">
        <v>0</v>
      </c>
      <c r="GV66" s="507">
        <v>0</v>
      </c>
      <c r="GW66" s="507">
        <v>0</v>
      </c>
      <c r="GX66" s="507">
        <v>0</v>
      </c>
      <c r="GY66" s="507">
        <v>0</v>
      </c>
      <c r="GZ66" s="507">
        <v>0</v>
      </c>
      <c r="HA66" s="507">
        <v>0</v>
      </c>
      <c r="HB66" s="507">
        <v>0</v>
      </c>
      <c r="HC66" s="507">
        <v>0</v>
      </c>
      <c r="HD66" s="507">
        <v>0</v>
      </c>
      <c r="HE66" s="507">
        <v>0</v>
      </c>
      <c r="HF66" s="507">
        <v>0</v>
      </c>
      <c r="HG66" s="507">
        <v>0</v>
      </c>
      <c r="HH66" s="507">
        <v>0</v>
      </c>
      <c r="HI66" s="507">
        <v>0</v>
      </c>
      <c r="HJ66" s="507">
        <v>0</v>
      </c>
      <c r="HK66" s="507">
        <v>0</v>
      </c>
      <c r="HL66" s="507">
        <v>0</v>
      </c>
      <c r="HM66" s="507">
        <v>0</v>
      </c>
      <c r="HN66" s="507">
        <v>0</v>
      </c>
      <c r="HO66" s="507">
        <v>0</v>
      </c>
      <c r="HP66" s="507">
        <v>0</v>
      </c>
      <c r="HQ66" s="507">
        <v>0</v>
      </c>
      <c r="HR66" s="507">
        <v>0</v>
      </c>
      <c r="HS66" s="507">
        <v>0</v>
      </c>
      <c r="HT66" s="507">
        <v>0</v>
      </c>
      <c r="HU66" s="507">
        <v>0</v>
      </c>
      <c r="HV66" s="507">
        <v>0</v>
      </c>
      <c r="HW66" s="507">
        <v>0</v>
      </c>
      <c r="HX66" s="507">
        <v>0</v>
      </c>
      <c r="HY66" s="507">
        <v>0</v>
      </c>
      <c r="HZ66" s="507">
        <v>0</v>
      </c>
      <c r="IA66" s="507">
        <v>0</v>
      </c>
      <c r="IB66" s="507">
        <v>0</v>
      </c>
      <c r="IC66" s="507">
        <v>0</v>
      </c>
      <c r="ID66" s="507">
        <v>0</v>
      </c>
      <c r="IE66" s="507">
        <v>0</v>
      </c>
      <c r="IF66" s="507">
        <v>0</v>
      </c>
      <c r="IG66" s="507">
        <v>0</v>
      </c>
      <c r="IH66" s="571">
        <v>0</v>
      </c>
    </row>
    <row r="67" spans="1:242" s="503" customFormat="1" ht="15.95" customHeight="1" x14ac:dyDescent="0.2">
      <c r="A67" s="530" t="s">
        <v>561</v>
      </c>
      <c r="B67" s="527">
        <v>44</v>
      </c>
      <c r="D67" s="590" t="s">
        <v>563</v>
      </c>
      <c r="E67" s="528" t="s">
        <v>564</v>
      </c>
      <c r="F67" s="508">
        <v>60.010300000000001</v>
      </c>
      <c r="G67" s="505">
        <v>155.75000299999999</v>
      </c>
      <c r="H67" s="507">
        <v>0</v>
      </c>
      <c r="I67" s="507">
        <v>0</v>
      </c>
      <c r="J67" s="507" t="s">
        <v>668</v>
      </c>
      <c r="K67" s="507">
        <v>0</v>
      </c>
      <c r="L67" s="507">
        <v>0</v>
      </c>
      <c r="M67" s="507">
        <v>0</v>
      </c>
      <c r="N67" s="507" t="s">
        <v>668</v>
      </c>
      <c r="O67" s="507" t="s">
        <v>668</v>
      </c>
      <c r="P67" s="507" t="s">
        <v>668</v>
      </c>
      <c r="Q67" s="507" t="s">
        <v>668</v>
      </c>
      <c r="R67" s="507" t="s">
        <v>668</v>
      </c>
      <c r="S67" s="507" t="s">
        <v>668</v>
      </c>
      <c r="T67" s="507" t="s">
        <v>668</v>
      </c>
      <c r="U67" s="507" t="s">
        <v>668</v>
      </c>
      <c r="V67" s="507" t="s">
        <v>668</v>
      </c>
      <c r="W67" s="507" t="s">
        <v>668</v>
      </c>
      <c r="X67" s="507" t="s">
        <v>668</v>
      </c>
      <c r="Y67" s="507" t="s">
        <v>668</v>
      </c>
      <c r="Z67" s="507" t="s">
        <v>668</v>
      </c>
      <c r="AA67" s="507" t="s">
        <v>668</v>
      </c>
      <c r="AB67" s="507" t="s">
        <v>668</v>
      </c>
      <c r="AC67" s="507" t="s">
        <v>668</v>
      </c>
      <c r="AD67" s="507" t="s">
        <v>668</v>
      </c>
      <c r="AE67" s="507" t="s">
        <v>668</v>
      </c>
      <c r="AF67" s="507">
        <v>0</v>
      </c>
      <c r="AG67" s="507">
        <v>0</v>
      </c>
      <c r="AH67" s="507">
        <v>0</v>
      </c>
      <c r="AI67" s="507">
        <v>0</v>
      </c>
      <c r="AJ67" s="507">
        <v>0</v>
      </c>
      <c r="AK67" s="507">
        <v>0</v>
      </c>
      <c r="AL67" s="507">
        <v>0</v>
      </c>
      <c r="AM67" s="507">
        <v>0</v>
      </c>
      <c r="AN67" s="507">
        <v>0</v>
      </c>
      <c r="AO67" s="507">
        <v>0</v>
      </c>
      <c r="AP67" s="507">
        <v>0</v>
      </c>
      <c r="AQ67" s="507">
        <v>0</v>
      </c>
      <c r="AR67" s="507">
        <v>0</v>
      </c>
      <c r="AS67" s="507">
        <v>0</v>
      </c>
      <c r="AT67" s="507">
        <v>0</v>
      </c>
      <c r="AU67" s="507">
        <v>0</v>
      </c>
      <c r="AV67" s="507">
        <v>0</v>
      </c>
      <c r="AW67" s="507">
        <v>0</v>
      </c>
      <c r="AX67" s="507">
        <v>0</v>
      </c>
      <c r="AY67" s="507">
        <v>0</v>
      </c>
      <c r="AZ67" s="507">
        <v>0</v>
      </c>
      <c r="BA67" s="507">
        <v>0</v>
      </c>
      <c r="BB67" s="507">
        <v>0</v>
      </c>
      <c r="BC67" s="507">
        <v>0</v>
      </c>
      <c r="BD67" s="507">
        <v>0</v>
      </c>
      <c r="BE67" s="507">
        <v>0</v>
      </c>
      <c r="BF67" s="507">
        <v>0</v>
      </c>
      <c r="BG67" s="507">
        <v>0</v>
      </c>
      <c r="BH67" s="507">
        <v>0</v>
      </c>
      <c r="BI67" s="507">
        <v>0</v>
      </c>
      <c r="BJ67" s="507">
        <v>0</v>
      </c>
      <c r="BK67" s="507">
        <v>0</v>
      </c>
      <c r="BL67" s="507">
        <v>0</v>
      </c>
      <c r="BM67" s="507">
        <v>0</v>
      </c>
      <c r="BN67" s="507">
        <v>0</v>
      </c>
      <c r="BO67" s="507">
        <v>0</v>
      </c>
      <c r="BP67" s="507">
        <v>0</v>
      </c>
      <c r="BQ67" s="507">
        <v>0</v>
      </c>
      <c r="BR67" s="507">
        <v>0</v>
      </c>
      <c r="BS67" s="507">
        <v>0</v>
      </c>
      <c r="BT67" s="507">
        <v>0</v>
      </c>
      <c r="BU67" s="507">
        <v>0</v>
      </c>
      <c r="BV67" s="507">
        <v>0</v>
      </c>
      <c r="BW67" s="507">
        <v>0</v>
      </c>
      <c r="BX67" s="507">
        <v>0</v>
      </c>
      <c r="BY67" s="507">
        <v>0</v>
      </c>
      <c r="BZ67" s="507">
        <v>0</v>
      </c>
      <c r="CA67" s="507">
        <v>0</v>
      </c>
      <c r="CB67" s="507">
        <v>0</v>
      </c>
      <c r="CC67" s="507">
        <v>0</v>
      </c>
      <c r="CD67" s="507">
        <v>0</v>
      </c>
      <c r="CE67" s="507">
        <v>0</v>
      </c>
      <c r="CF67" s="507">
        <v>0</v>
      </c>
      <c r="CG67" s="507">
        <v>0</v>
      </c>
      <c r="CH67" s="507">
        <v>0</v>
      </c>
      <c r="CI67" s="507">
        <v>0</v>
      </c>
      <c r="CJ67" s="507">
        <v>0</v>
      </c>
      <c r="CK67" s="507">
        <v>0</v>
      </c>
      <c r="CL67" s="507">
        <v>0</v>
      </c>
      <c r="CM67" s="507">
        <v>0</v>
      </c>
      <c r="CN67" s="507">
        <v>0</v>
      </c>
      <c r="CO67" s="507">
        <v>0</v>
      </c>
      <c r="CP67" s="507">
        <v>0</v>
      </c>
      <c r="CQ67" s="507">
        <v>0</v>
      </c>
      <c r="CR67" s="507">
        <v>0</v>
      </c>
      <c r="CS67" s="507">
        <v>0</v>
      </c>
      <c r="CT67" s="507">
        <v>0</v>
      </c>
      <c r="CU67" s="507">
        <v>0</v>
      </c>
      <c r="CV67" s="507">
        <v>0</v>
      </c>
      <c r="CW67" s="507">
        <v>0</v>
      </c>
      <c r="CX67" s="507">
        <v>0</v>
      </c>
      <c r="CY67" s="507">
        <v>0</v>
      </c>
      <c r="CZ67" s="507">
        <v>0</v>
      </c>
      <c r="DA67" s="507">
        <v>0</v>
      </c>
      <c r="DB67" s="507">
        <v>0</v>
      </c>
      <c r="DC67" s="507">
        <v>0</v>
      </c>
      <c r="DD67" s="507">
        <v>0</v>
      </c>
      <c r="DE67" s="507">
        <v>0</v>
      </c>
      <c r="DF67" s="507">
        <v>0</v>
      </c>
      <c r="DG67" s="507">
        <v>0</v>
      </c>
      <c r="DH67" s="507">
        <v>0</v>
      </c>
      <c r="DI67" s="507" t="s">
        <v>668</v>
      </c>
      <c r="DJ67" s="507">
        <v>0</v>
      </c>
      <c r="DK67" s="507">
        <v>0</v>
      </c>
      <c r="DL67" s="507">
        <v>0</v>
      </c>
      <c r="DM67" s="507">
        <v>0</v>
      </c>
      <c r="DN67" s="507">
        <v>0</v>
      </c>
      <c r="DO67" s="507">
        <v>0</v>
      </c>
      <c r="DP67" s="507">
        <v>0</v>
      </c>
      <c r="DQ67" s="507">
        <v>0</v>
      </c>
      <c r="DR67" s="507">
        <v>0</v>
      </c>
      <c r="DS67" s="507">
        <v>0</v>
      </c>
      <c r="DT67" s="507">
        <v>0</v>
      </c>
      <c r="DU67" s="507">
        <v>0</v>
      </c>
      <c r="DV67" s="507">
        <v>0</v>
      </c>
      <c r="DW67" s="507">
        <v>0</v>
      </c>
      <c r="DX67" s="507">
        <v>0</v>
      </c>
      <c r="DY67" s="507">
        <v>0</v>
      </c>
      <c r="DZ67" s="507">
        <v>0</v>
      </c>
      <c r="EA67" s="507">
        <v>0</v>
      </c>
      <c r="EB67" s="507">
        <v>0</v>
      </c>
      <c r="EC67" s="507">
        <v>0</v>
      </c>
      <c r="ED67" s="507">
        <v>0</v>
      </c>
      <c r="EE67" s="507">
        <v>0</v>
      </c>
      <c r="EF67" s="507">
        <v>0</v>
      </c>
      <c r="EG67" s="507">
        <v>0</v>
      </c>
      <c r="EH67" s="507">
        <v>0</v>
      </c>
      <c r="EI67" s="507">
        <v>0</v>
      </c>
      <c r="EJ67" s="507">
        <v>0</v>
      </c>
      <c r="EK67" s="507">
        <v>0</v>
      </c>
      <c r="EL67" s="507">
        <v>0</v>
      </c>
      <c r="EM67" s="507">
        <v>0</v>
      </c>
      <c r="EN67" s="507">
        <v>0</v>
      </c>
      <c r="EO67" s="507">
        <v>0</v>
      </c>
      <c r="EP67" s="507">
        <v>0</v>
      </c>
      <c r="EQ67" s="507">
        <v>0</v>
      </c>
      <c r="ER67" s="507">
        <v>0</v>
      </c>
      <c r="ES67" s="507">
        <v>0</v>
      </c>
      <c r="ET67" s="507">
        <v>0</v>
      </c>
      <c r="EU67" s="507">
        <v>0</v>
      </c>
      <c r="EV67" s="507">
        <v>0</v>
      </c>
      <c r="EW67" s="507">
        <v>0</v>
      </c>
      <c r="EX67" s="507">
        <v>0</v>
      </c>
      <c r="EY67" s="507">
        <v>0</v>
      </c>
      <c r="EZ67" s="507">
        <v>0</v>
      </c>
      <c r="FA67" s="507">
        <v>0</v>
      </c>
      <c r="FB67" s="507">
        <v>0</v>
      </c>
      <c r="FC67" s="507">
        <v>0</v>
      </c>
      <c r="FD67" s="507">
        <v>0</v>
      </c>
      <c r="FE67" s="507">
        <v>0</v>
      </c>
      <c r="FF67" s="507">
        <v>0</v>
      </c>
      <c r="FG67" s="507">
        <v>0</v>
      </c>
      <c r="FH67" s="507">
        <v>0</v>
      </c>
      <c r="FI67" s="507">
        <v>0</v>
      </c>
      <c r="FJ67" s="507">
        <v>0</v>
      </c>
      <c r="FK67" s="507">
        <v>0</v>
      </c>
      <c r="FL67" s="507">
        <v>0</v>
      </c>
      <c r="FM67" s="507">
        <v>0</v>
      </c>
      <c r="FN67" s="507">
        <v>0</v>
      </c>
      <c r="FO67" s="507">
        <v>0</v>
      </c>
      <c r="FP67" s="507">
        <v>0</v>
      </c>
      <c r="FQ67" s="507">
        <v>0</v>
      </c>
      <c r="FR67" s="507">
        <v>0</v>
      </c>
      <c r="FS67" s="507">
        <v>0</v>
      </c>
      <c r="FT67" s="507">
        <v>0</v>
      </c>
      <c r="FU67" s="507">
        <v>0</v>
      </c>
      <c r="FV67" s="507">
        <v>0</v>
      </c>
      <c r="FW67" s="507">
        <v>0</v>
      </c>
      <c r="FX67" s="507" t="s">
        <v>668</v>
      </c>
      <c r="FY67" s="507">
        <v>0</v>
      </c>
      <c r="FZ67" s="507">
        <v>0</v>
      </c>
      <c r="GA67" s="507">
        <v>0</v>
      </c>
      <c r="GB67" s="507">
        <v>0</v>
      </c>
      <c r="GC67" s="507">
        <v>0</v>
      </c>
      <c r="GD67" s="507" t="s">
        <v>668</v>
      </c>
      <c r="GE67" s="507">
        <v>0</v>
      </c>
      <c r="GF67" s="507">
        <v>0</v>
      </c>
      <c r="GG67" s="507" t="s">
        <v>668</v>
      </c>
      <c r="GH67" s="507">
        <v>0</v>
      </c>
      <c r="GI67" s="507">
        <v>0</v>
      </c>
      <c r="GJ67" s="507">
        <v>0</v>
      </c>
      <c r="GK67" s="507">
        <v>0</v>
      </c>
      <c r="GL67" s="507">
        <v>0</v>
      </c>
      <c r="GM67" s="507">
        <v>0</v>
      </c>
      <c r="GN67" s="507">
        <v>0</v>
      </c>
      <c r="GO67" s="507">
        <v>0</v>
      </c>
      <c r="GP67" s="507">
        <v>0</v>
      </c>
      <c r="GQ67" s="507">
        <v>0</v>
      </c>
      <c r="GR67" s="507">
        <v>0</v>
      </c>
      <c r="GS67" s="507">
        <v>0</v>
      </c>
      <c r="GT67" s="507">
        <v>0</v>
      </c>
      <c r="GU67" s="507">
        <v>0</v>
      </c>
      <c r="GV67" s="507">
        <v>0</v>
      </c>
      <c r="GW67" s="507">
        <v>0</v>
      </c>
      <c r="GX67" s="507">
        <v>0</v>
      </c>
      <c r="GY67" s="507">
        <v>0</v>
      </c>
      <c r="GZ67" s="507">
        <v>0</v>
      </c>
      <c r="HA67" s="507">
        <v>0</v>
      </c>
      <c r="HB67" s="507">
        <v>0</v>
      </c>
      <c r="HC67" s="507">
        <v>0</v>
      </c>
      <c r="HD67" s="507">
        <v>0</v>
      </c>
      <c r="HE67" s="507">
        <v>0</v>
      </c>
      <c r="HF67" s="507">
        <v>0</v>
      </c>
      <c r="HG67" s="507">
        <v>0</v>
      </c>
      <c r="HH67" s="507">
        <v>0</v>
      </c>
      <c r="HI67" s="507">
        <v>0</v>
      </c>
      <c r="HJ67" s="507">
        <v>0</v>
      </c>
      <c r="HK67" s="507">
        <v>0</v>
      </c>
      <c r="HL67" s="507">
        <v>0</v>
      </c>
      <c r="HM67" s="507">
        <v>0</v>
      </c>
      <c r="HN67" s="507">
        <v>0</v>
      </c>
      <c r="HO67" s="507">
        <v>0</v>
      </c>
      <c r="HP67" s="507">
        <v>0</v>
      </c>
      <c r="HQ67" s="507">
        <v>0</v>
      </c>
      <c r="HR67" s="507">
        <v>0</v>
      </c>
      <c r="HS67" s="507">
        <v>0</v>
      </c>
      <c r="HT67" s="507">
        <v>0</v>
      </c>
      <c r="HU67" s="507">
        <v>0</v>
      </c>
      <c r="HV67" s="507">
        <v>0</v>
      </c>
      <c r="HW67" s="507">
        <v>0</v>
      </c>
      <c r="HX67" s="507">
        <v>0</v>
      </c>
      <c r="HY67" s="507">
        <v>0</v>
      </c>
      <c r="HZ67" s="507">
        <v>0</v>
      </c>
      <c r="IA67" s="507">
        <v>0</v>
      </c>
      <c r="IB67" s="507">
        <v>0</v>
      </c>
      <c r="IC67" s="507">
        <v>0</v>
      </c>
      <c r="ID67" s="507">
        <v>0</v>
      </c>
      <c r="IE67" s="507">
        <v>0</v>
      </c>
      <c r="IF67" s="507">
        <v>0</v>
      </c>
      <c r="IG67" s="507">
        <v>0</v>
      </c>
      <c r="IH67" s="571">
        <v>0</v>
      </c>
    </row>
    <row r="68" spans="1:242" s="510" customFormat="1" ht="15.95" customHeight="1" thickBot="1" x14ac:dyDescent="0.25">
      <c r="A68" s="531" t="s">
        <v>562</v>
      </c>
      <c r="B68" s="532">
        <v>45</v>
      </c>
      <c r="D68" s="593" t="s">
        <v>565</v>
      </c>
      <c r="E68" s="579" t="s">
        <v>565</v>
      </c>
      <c r="F68" s="580">
        <v>61.017690000000002</v>
      </c>
      <c r="G68" s="581">
        <v>155.75000299999999</v>
      </c>
      <c r="H68" s="582">
        <v>0</v>
      </c>
      <c r="I68" s="582">
        <v>0</v>
      </c>
      <c r="J68" s="582" t="s">
        <v>668</v>
      </c>
      <c r="K68" s="582">
        <v>0</v>
      </c>
      <c r="L68" s="582">
        <v>0</v>
      </c>
      <c r="M68" s="582">
        <v>0</v>
      </c>
      <c r="N68" s="582" t="s">
        <v>668</v>
      </c>
      <c r="O68" s="582" t="s">
        <v>668</v>
      </c>
      <c r="P68" s="582" t="s">
        <v>668</v>
      </c>
      <c r="Q68" s="582" t="s">
        <v>668</v>
      </c>
      <c r="R68" s="582" t="s">
        <v>668</v>
      </c>
      <c r="S68" s="582" t="s">
        <v>668</v>
      </c>
      <c r="T68" s="582" t="s">
        <v>668</v>
      </c>
      <c r="U68" s="582" t="s">
        <v>668</v>
      </c>
      <c r="V68" s="582" t="s">
        <v>668</v>
      </c>
      <c r="W68" s="582" t="s">
        <v>668</v>
      </c>
      <c r="X68" s="582" t="s">
        <v>668</v>
      </c>
      <c r="Y68" s="582" t="s">
        <v>668</v>
      </c>
      <c r="Z68" s="582" t="s">
        <v>668</v>
      </c>
      <c r="AA68" s="582" t="s">
        <v>668</v>
      </c>
      <c r="AB68" s="582" t="s">
        <v>668</v>
      </c>
      <c r="AC68" s="582" t="s">
        <v>668</v>
      </c>
      <c r="AD68" s="582" t="s">
        <v>668</v>
      </c>
      <c r="AE68" s="582" t="s">
        <v>668</v>
      </c>
      <c r="AF68" s="582">
        <v>0</v>
      </c>
      <c r="AG68" s="582">
        <v>0</v>
      </c>
      <c r="AH68" s="582">
        <v>0</v>
      </c>
      <c r="AI68" s="582">
        <v>0</v>
      </c>
      <c r="AJ68" s="582">
        <v>0</v>
      </c>
      <c r="AK68" s="582">
        <v>0</v>
      </c>
      <c r="AL68" s="582">
        <v>0</v>
      </c>
      <c r="AM68" s="582">
        <v>0</v>
      </c>
      <c r="AN68" s="582">
        <v>0</v>
      </c>
      <c r="AO68" s="582">
        <v>0</v>
      </c>
      <c r="AP68" s="582">
        <v>0</v>
      </c>
      <c r="AQ68" s="582">
        <v>0</v>
      </c>
      <c r="AR68" s="582">
        <v>0</v>
      </c>
      <c r="AS68" s="582">
        <v>0</v>
      </c>
      <c r="AT68" s="582">
        <v>0</v>
      </c>
      <c r="AU68" s="582">
        <v>0</v>
      </c>
      <c r="AV68" s="582">
        <v>0</v>
      </c>
      <c r="AW68" s="582">
        <v>0</v>
      </c>
      <c r="AX68" s="582">
        <v>0</v>
      </c>
      <c r="AY68" s="582">
        <v>0</v>
      </c>
      <c r="AZ68" s="582">
        <v>0</v>
      </c>
      <c r="BA68" s="582">
        <v>0</v>
      </c>
      <c r="BB68" s="582">
        <v>0</v>
      </c>
      <c r="BC68" s="582">
        <v>0</v>
      </c>
      <c r="BD68" s="582">
        <v>0</v>
      </c>
      <c r="BE68" s="582">
        <v>0</v>
      </c>
      <c r="BF68" s="582">
        <v>0</v>
      </c>
      <c r="BG68" s="582">
        <v>0</v>
      </c>
      <c r="BH68" s="582">
        <v>0</v>
      </c>
      <c r="BI68" s="582">
        <v>0</v>
      </c>
      <c r="BJ68" s="582">
        <v>0</v>
      </c>
      <c r="BK68" s="582">
        <v>0</v>
      </c>
      <c r="BL68" s="582">
        <v>0</v>
      </c>
      <c r="BM68" s="582">
        <v>0</v>
      </c>
      <c r="BN68" s="582">
        <v>0</v>
      </c>
      <c r="BO68" s="582">
        <v>0</v>
      </c>
      <c r="BP68" s="582">
        <v>0</v>
      </c>
      <c r="BQ68" s="582">
        <v>0</v>
      </c>
      <c r="BR68" s="582">
        <v>0</v>
      </c>
      <c r="BS68" s="582">
        <v>0</v>
      </c>
      <c r="BT68" s="582">
        <v>0</v>
      </c>
      <c r="BU68" s="582">
        <v>0</v>
      </c>
      <c r="BV68" s="582">
        <v>0</v>
      </c>
      <c r="BW68" s="582">
        <v>0</v>
      </c>
      <c r="BX68" s="582">
        <v>0</v>
      </c>
      <c r="BY68" s="582">
        <v>0</v>
      </c>
      <c r="BZ68" s="582">
        <v>0</v>
      </c>
      <c r="CA68" s="582">
        <v>0</v>
      </c>
      <c r="CB68" s="582">
        <v>0</v>
      </c>
      <c r="CC68" s="582">
        <v>0</v>
      </c>
      <c r="CD68" s="582">
        <v>0</v>
      </c>
      <c r="CE68" s="582">
        <v>0</v>
      </c>
      <c r="CF68" s="582">
        <v>0</v>
      </c>
      <c r="CG68" s="582">
        <v>0</v>
      </c>
      <c r="CH68" s="582">
        <v>0</v>
      </c>
      <c r="CI68" s="582">
        <v>0</v>
      </c>
      <c r="CJ68" s="582">
        <v>0</v>
      </c>
      <c r="CK68" s="582">
        <v>0</v>
      </c>
      <c r="CL68" s="582">
        <v>0</v>
      </c>
      <c r="CM68" s="582">
        <v>0</v>
      </c>
      <c r="CN68" s="582">
        <v>0</v>
      </c>
      <c r="CO68" s="582">
        <v>0</v>
      </c>
      <c r="CP68" s="582">
        <v>0</v>
      </c>
      <c r="CQ68" s="582">
        <v>0</v>
      </c>
      <c r="CR68" s="582">
        <v>0</v>
      </c>
      <c r="CS68" s="582">
        <v>0</v>
      </c>
      <c r="CT68" s="582">
        <v>0</v>
      </c>
      <c r="CU68" s="582">
        <v>0</v>
      </c>
      <c r="CV68" s="582">
        <v>0</v>
      </c>
      <c r="CW68" s="582">
        <v>0</v>
      </c>
      <c r="CX68" s="582">
        <v>0</v>
      </c>
      <c r="CY68" s="582">
        <v>0</v>
      </c>
      <c r="CZ68" s="582">
        <v>0</v>
      </c>
      <c r="DA68" s="582">
        <v>0</v>
      </c>
      <c r="DB68" s="582">
        <v>0</v>
      </c>
      <c r="DC68" s="582">
        <v>0</v>
      </c>
      <c r="DD68" s="582">
        <v>0</v>
      </c>
      <c r="DE68" s="582">
        <v>0</v>
      </c>
      <c r="DF68" s="582">
        <v>0</v>
      </c>
      <c r="DG68" s="582">
        <v>0</v>
      </c>
      <c r="DH68" s="582">
        <v>0</v>
      </c>
      <c r="DI68" s="582" t="s">
        <v>668</v>
      </c>
      <c r="DJ68" s="582">
        <v>0</v>
      </c>
      <c r="DK68" s="582">
        <v>0</v>
      </c>
      <c r="DL68" s="582">
        <v>0</v>
      </c>
      <c r="DM68" s="582">
        <v>0</v>
      </c>
      <c r="DN68" s="582">
        <v>0</v>
      </c>
      <c r="DO68" s="582">
        <v>0</v>
      </c>
      <c r="DP68" s="582">
        <v>0</v>
      </c>
      <c r="DQ68" s="582">
        <v>0</v>
      </c>
      <c r="DR68" s="582">
        <v>0</v>
      </c>
      <c r="DS68" s="582">
        <v>0</v>
      </c>
      <c r="DT68" s="582">
        <v>0</v>
      </c>
      <c r="DU68" s="582">
        <v>0</v>
      </c>
      <c r="DV68" s="582">
        <v>0</v>
      </c>
      <c r="DW68" s="582">
        <v>0</v>
      </c>
      <c r="DX68" s="582">
        <v>0</v>
      </c>
      <c r="DY68" s="582">
        <v>0</v>
      </c>
      <c r="DZ68" s="582">
        <v>0</v>
      </c>
      <c r="EA68" s="582">
        <v>0</v>
      </c>
      <c r="EB68" s="582">
        <v>0</v>
      </c>
      <c r="EC68" s="582">
        <v>0</v>
      </c>
      <c r="ED68" s="582">
        <v>0</v>
      </c>
      <c r="EE68" s="582">
        <v>0</v>
      </c>
      <c r="EF68" s="582">
        <v>0</v>
      </c>
      <c r="EG68" s="582">
        <v>0</v>
      </c>
      <c r="EH68" s="582">
        <v>0</v>
      </c>
      <c r="EI68" s="582">
        <v>0</v>
      </c>
      <c r="EJ68" s="582">
        <v>0</v>
      </c>
      <c r="EK68" s="582">
        <v>0</v>
      </c>
      <c r="EL68" s="582">
        <v>0</v>
      </c>
      <c r="EM68" s="582">
        <v>0</v>
      </c>
      <c r="EN68" s="582">
        <v>0</v>
      </c>
      <c r="EO68" s="582">
        <v>0</v>
      </c>
      <c r="EP68" s="582">
        <v>0</v>
      </c>
      <c r="EQ68" s="582">
        <v>0</v>
      </c>
      <c r="ER68" s="582">
        <v>0</v>
      </c>
      <c r="ES68" s="582">
        <v>0</v>
      </c>
      <c r="ET68" s="582">
        <v>0</v>
      </c>
      <c r="EU68" s="582">
        <v>0</v>
      </c>
      <c r="EV68" s="582">
        <v>0</v>
      </c>
      <c r="EW68" s="582">
        <v>0</v>
      </c>
      <c r="EX68" s="582">
        <v>0</v>
      </c>
      <c r="EY68" s="582">
        <v>0</v>
      </c>
      <c r="EZ68" s="582">
        <v>0</v>
      </c>
      <c r="FA68" s="582">
        <v>0</v>
      </c>
      <c r="FB68" s="582">
        <v>0</v>
      </c>
      <c r="FC68" s="582">
        <v>0</v>
      </c>
      <c r="FD68" s="582">
        <v>0</v>
      </c>
      <c r="FE68" s="582">
        <v>0</v>
      </c>
      <c r="FF68" s="582">
        <v>0</v>
      </c>
      <c r="FG68" s="582">
        <v>0</v>
      </c>
      <c r="FH68" s="582">
        <v>0</v>
      </c>
      <c r="FI68" s="582">
        <v>0</v>
      </c>
      <c r="FJ68" s="582">
        <v>0</v>
      </c>
      <c r="FK68" s="582">
        <v>0</v>
      </c>
      <c r="FL68" s="582">
        <v>0</v>
      </c>
      <c r="FM68" s="582">
        <v>0</v>
      </c>
      <c r="FN68" s="582">
        <v>0</v>
      </c>
      <c r="FO68" s="582">
        <v>0</v>
      </c>
      <c r="FP68" s="582">
        <v>0</v>
      </c>
      <c r="FQ68" s="582">
        <v>0</v>
      </c>
      <c r="FR68" s="582">
        <v>0</v>
      </c>
      <c r="FS68" s="582">
        <v>0</v>
      </c>
      <c r="FT68" s="582">
        <v>0</v>
      </c>
      <c r="FU68" s="582">
        <v>0</v>
      </c>
      <c r="FV68" s="582">
        <v>0</v>
      </c>
      <c r="FW68" s="582">
        <v>0</v>
      </c>
      <c r="FX68" s="582" t="s">
        <v>668</v>
      </c>
      <c r="FY68" s="582">
        <v>0</v>
      </c>
      <c r="FZ68" s="582">
        <v>0</v>
      </c>
      <c r="GA68" s="582">
        <v>0</v>
      </c>
      <c r="GB68" s="582">
        <v>0</v>
      </c>
      <c r="GC68" s="582">
        <v>0</v>
      </c>
      <c r="GD68" s="582" t="s">
        <v>668</v>
      </c>
      <c r="GE68" s="582">
        <v>0</v>
      </c>
      <c r="GF68" s="582">
        <v>0</v>
      </c>
      <c r="GG68" s="582" t="s">
        <v>668</v>
      </c>
      <c r="GH68" s="582">
        <v>0</v>
      </c>
      <c r="GI68" s="582">
        <v>0</v>
      </c>
      <c r="GJ68" s="582">
        <v>0</v>
      </c>
      <c r="GK68" s="582">
        <v>0</v>
      </c>
      <c r="GL68" s="582">
        <v>0</v>
      </c>
      <c r="GM68" s="582">
        <v>0</v>
      </c>
      <c r="GN68" s="582">
        <v>0</v>
      </c>
      <c r="GO68" s="582">
        <v>0</v>
      </c>
      <c r="GP68" s="582">
        <v>0</v>
      </c>
      <c r="GQ68" s="582">
        <v>0</v>
      </c>
      <c r="GR68" s="582">
        <v>0</v>
      </c>
      <c r="GS68" s="582">
        <v>0</v>
      </c>
      <c r="GT68" s="582">
        <v>0</v>
      </c>
      <c r="GU68" s="582">
        <v>0</v>
      </c>
      <c r="GV68" s="582">
        <v>0</v>
      </c>
      <c r="GW68" s="582">
        <v>0</v>
      </c>
      <c r="GX68" s="582">
        <v>0</v>
      </c>
      <c r="GY68" s="582">
        <v>0</v>
      </c>
      <c r="GZ68" s="582">
        <v>0</v>
      </c>
      <c r="HA68" s="582">
        <v>0</v>
      </c>
      <c r="HB68" s="582">
        <v>0</v>
      </c>
      <c r="HC68" s="582">
        <v>0</v>
      </c>
      <c r="HD68" s="582">
        <v>0</v>
      </c>
      <c r="HE68" s="582">
        <v>0</v>
      </c>
      <c r="HF68" s="582">
        <v>0</v>
      </c>
      <c r="HG68" s="582">
        <v>0</v>
      </c>
      <c r="HH68" s="582">
        <v>0</v>
      </c>
      <c r="HI68" s="582">
        <v>0</v>
      </c>
      <c r="HJ68" s="582">
        <v>0</v>
      </c>
      <c r="HK68" s="582">
        <v>0</v>
      </c>
      <c r="HL68" s="582">
        <v>0</v>
      </c>
      <c r="HM68" s="582">
        <v>0</v>
      </c>
      <c r="HN68" s="582">
        <v>0</v>
      </c>
      <c r="HO68" s="582">
        <v>0</v>
      </c>
      <c r="HP68" s="582">
        <v>0</v>
      </c>
      <c r="HQ68" s="582">
        <v>0</v>
      </c>
      <c r="HR68" s="582">
        <v>0</v>
      </c>
      <c r="HS68" s="582">
        <v>0</v>
      </c>
      <c r="HT68" s="582">
        <v>0</v>
      </c>
      <c r="HU68" s="582">
        <v>0</v>
      </c>
      <c r="HV68" s="582">
        <v>0</v>
      </c>
      <c r="HW68" s="582">
        <v>0</v>
      </c>
      <c r="HX68" s="582">
        <v>0</v>
      </c>
      <c r="HY68" s="582">
        <v>0</v>
      </c>
      <c r="HZ68" s="582">
        <v>0</v>
      </c>
      <c r="IA68" s="582">
        <v>0</v>
      </c>
      <c r="IB68" s="582">
        <v>0</v>
      </c>
      <c r="IC68" s="582">
        <v>0</v>
      </c>
      <c r="ID68" s="582">
        <v>0</v>
      </c>
      <c r="IE68" s="582">
        <v>0</v>
      </c>
      <c r="IF68" s="582">
        <v>0</v>
      </c>
      <c r="IG68" s="582">
        <v>0</v>
      </c>
      <c r="IH68" s="583">
        <v>0</v>
      </c>
    </row>
    <row r="69" spans="1:242" x14ac:dyDescent="0.2">
      <c r="A69" s="123" t="s">
        <v>564</v>
      </c>
      <c r="B69">
        <v>46</v>
      </c>
    </row>
    <row r="70" spans="1:242" hidden="1" x14ac:dyDescent="0.2">
      <c r="A70" s="123" t="s">
        <v>565</v>
      </c>
      <c r="B70">
        <v>47</v>
      </c>
    </row>
    <row r="71" spans="1:242" hidden="1" x14ac:dyDescent="0.2">
      <c r="A71" s="122" t="s">
        <v>523</v>
      </c>
      <c r="B71">
        <v>48</v>
      </c>
      <c r="H71" s="124" t="b">
        <f>H60=H19</f>
        <v>1</v>
      </c>
      <c r="I71" s="124" t="b">
        <f t="shared" ref="I71:BT71" si="10">I60=I19</f>
        <v>1</v>
      </c>
      <c r="J71" s="124" t="b">
        <f t="shared" si="10"/>
        <v>1</v>
      </c>
      <c r="K71" s="124" t="b">
        <f t="shared" si="10"/>
        <v>0</v>
      </c>
      <c r="L71" s="124" t="b">
        <f t="shared" si="10"/>
        <v>1</v>
      </c>
      <c r="M71" s="124" t="b">
        <f t="shared" si="10"/>
        <v>1</v>
      </c>
      <c r="N71" s="124" t="b">
        <f t="shared" si="10"/>
        <v>1</v>
      </c>
      <c r="O71" s="124" t="b">
        <f t="shared" si="10"/>
        <v>0</v>
      </c>
      <c r="P71" s="124" t="b">
        <f t="shared" si="10"/>
        <v>1</v>
      </c>
      <c r="Q71" s="124" t="b">
        <f t="shared" si="10"/>
        <v>1</v>
      </c>
      <c r="R71" s="124" t="b">
        <f t="shared" si="10"/>
        <v>1</v>
      </c>
      <c r="S71" s="124" t="b">
        <f t="shared" si="10"/>
        <v>1</v>
      </c>
      <c r="T71" s="124" t="b">
        <f t="shared" si="10"/>
        <v>1</v>
      </c>
      <c r="U71" s="124" t="b">
        <f t="shared" si="10"/>
        <v>1</v>
      </c>
      <c r="V71" s="124" t="b">
        <f t="shared" si="10"/>
        <v>1</v>
      </c>
      <c r="W71" s="124" t="b">
        <f t="shared" si="10"/>
        <v>1</v>
      </c>
      <c r="X71" s="124" t="b">
        <f t="shared" si="10"/>
        <v>1</v>
      </c>
      <c r="Y71" s="124" t="b">
        <f t="shared" si="10"/>
        <v>1</v>
      </c>
      <c r="Z71" s="124" t="b">
        <f t="shared" si="10"/>
        <v>1</v>
      </c>
      <c r="AA71" s="124" t="b">
        <f t="shared" si="10"/>
        <v>1</v>
      </c>
      <c r="AB71" s="124" t="b">
        <f t="shared" si="10"/>
        <v>1</v>
      </c>
      <c r="AC71" s="124" t="b">
        <f t="shared" si="10"/>
        <v>1</v>
      </c>
      <c r="AD71" s="124" t="b">
        <f t="shared" si="10"/>
        <v>1</v>
      </c>
      <c r="AE71" s="124" t="b">
        <f t="shared" si="10"/>
        <v>1</v>
      </c>
      <c r="AF71" s="124" t="b">
        <f t="shared" si="10"/>
        <v>1</v>
      </c>
      <c r="AG71" s="124" t="b">
        <f t="shared" si="10"/>
        <v>0</v>
      </c>
      <c r="AH71" s="124" t="b">
        <f t="shared" si="10"/>
        <v>0</v>
      </c>
      <c r="AI71" s="124" t="b">
        <f t="shared" si="10"/>
        <v>0</v>
      </c>
      <c r="AJ71" s="124" t="b">
        <f t="shared" si="10"/>
        <v>0</v>
      </c>
      <c r="AK71" s="124" t="b">
        <f t="shared" si="10"/>
        <v>0</v>
      </c>
      <c r="AL71" s="124" t="b">
        <f t="shared" si="10"/>
        <v>0</v>
      </c>
      <c r="AM71" s="124" t="b">
        <f t="shared" si="10"/>
        <v>0</v>
      </c>
      <c r="AN71" s="124" t="b">
        <f t="shared" si="10"/>
        <v>0</v>
      </c>
      <c r="AO71" s="124" t="b">
        <f t="shared" si="10"/>
        <v>0</v>
      </c>
      <c r="AP71" s="124" t="b">
        <f t="shared" si="10"/>
        <v>1</v>
      </c>
      <c r="AQ71" s="124" t="b">
        <f t="shared" si="10"/>
        <v>0</v>
      </c>
      <c r="AR71" s="124" t="b">
        <f t="shared" si="10"/>
        <v>0</v>
      </c>
      <c r="AS71" s="124" t="b">
        <f t="shared" si="10"/>
        <v>0</v>
      </c>
      <c r="AT71" s="124" t="b">
        <f t="shared" si="10"/>
        <v>1</v>
      </c>
      <c r="AU71" s="124" t="b">
        <f t="shared" si="10"/>
        <v>0</v>
      </c>
      <c r="AV71" s="124" t="b">
        <f t="shared" si="10"/>
        <v>0</v>
      </c>
      <c r="AW71" s="124" t="b">
        <f t="shared" si="10"/>
        <v>0</v>
      </c>
      <c r="AX71" s="124" t="b">
        <f t="shared" si="10"/>
        <v>0</v>
      </c>
      <c r="AY71" s="124" t="b">
        <f t="shared" si="10"/>
        <v>1</v>
      </c>
      <c r="AZ71" s="124" t="b">
        <f t="shared" si="10"/>
        <v>0</v>
      </c>
      <c r="BA71" s="124" t="b">
        <f t="shared" si="10"/>
        <v>1</v>
      </c>
      <c r="BB71" s="124" t="b">
        <f t="shared" si="10"/>
        <v>1</v>
      </c>
      <c r="BC71" s="124" t="b">
        <f t="shared" si="10"/>
        <v>1</v>
      </c>
      <c r="BD71" s="124" t="b">
        <f t="shared" si="10"/>
        <v>1</v>
      </c>
      <c r="BE71" s="124" t="b">
        <f t="shared" si="10"/>
        <v>0</v>
      </c>
      <c r="BF71" s="124" t="b">
        <f t="shared" si="10"/>
        <v>0</v>
      </c>
      <c r="BG71" s="124" t="b">
        <f t="shared" si="10"/>
        <v>0</v>
      </c>
      <c r="BH71" s="124" t="b">
        <f t="shared" si="10"/>
        <v>0</v>
      </c>
      <c r="BI71" s="124" t="b">
        <f t="shared" si="10"/>
        <v>1</v>
      </c>
      <c r="BJ71" s="124" t="b">
        <f t="shared" si="10"/>
        <v>0</v>
      </c>
      <c r="BK71" s="124" t="b">
        <f t="shared" si="10"/>
        <v>1</v>
      </c>
      <c r="BL71" s="124" t="b">
        <f t="shared" si="10"/>
        <v>1</v>
      </c>
      <c r="BM71" s="124" t="b">
        <f t="shared" si="10"/>
        <v>1</v>
      </c>
      <c r="BN71" s="124" t="b">
        <f t="shared" si="10"/>
        <v>1</v>
      </c>
      <c r="BO71" s="124" t="b">
        <f t="shared" si="10"/>
        <v>1</v>
      </c>
      <c r="BP71" s="124" t="b">
        <f t="shared" si="10"/>
        <v>1</v>
      </c>
      <c r="BQ71" s="124" t="b">
        <f t="shared" si="10"/>
        <v>1</v>
      </c>
      <c r="BR71" s="124" t="b">
        <f t="shared" si="10"/>
        <v>0</v>
      </c>
      <c r="BS71" s="124" t="b">
        <f t="shared" si="10"/>
        <v>0</v>
      </c>
      <c r="BT71" s="124" t="b">
        <f t="shared" si="10"/>
        <v>0</v>
      </c>
      <c r="BU71" s="124" t="b">
        <f t="shared" ref="BU71:EF71" si="11">BU60=BU19</f>
        <v>0</v>
      </c>
      <c r="BV71" s="124" t="b">
        <f t="shared" si="11"/>
        <v>0</v>
      </c>
      <c r="BW71" s="124" t="b">
        <f t="shared" si="11"/>
        <v>0</v>
      </c>
      <c r="BX71" s="124" t="b">
        <f t="shared" si="11"/>
        <v>0</v>
      </c>
      <c r="BY71" s="124" t="b">
        <f t="shared" si="11"/>
        <v>0</v>
      </c>
      <c r="BZ71" s="124" t="b">
        <f t="shared" si="11"/>
        <v>0</v>
      </c>
      <c r="CA71" s="124" t="b">
        <f t="shared" si="11"/>
        <v>0</v>
      </c>
      <c r="CB71" s="124" t="b">
        <f t="shared" si="11"/>
        <v>0</v>
      </c>
      <c r="CC71" s="124" t="b">
        <f t="shared" si="11"/>
        <v>0</v>
      </c>
      <c r="CD71" s="124" t="b">
        <f t="shared" si="11"/>
        <v>0</v>
      </c>
      <c r="CE71" s="124" t="b">
        <f t="shared" si="11"/>
        <v>0</v>
      </c>
      <c r="CF71" s="124" t="b">
        <f t="shared" si="11"/>
        <v>1</v>
      </c>
      <c r="CG71" s="124" t="b">
        <f t="shared" si="11"/>
        <v>0</v>
      </c>
      <c r="CH71" s="124" t="b">
        <f t="shared" si="11"/>
        <v>0</v>
      </c>
      <c r="CI71" s="124" t="b">
        <f t="shared" si="11"/>
        <v>0</v>
      </c>
      <c r="CJ71" s="124" t="b">
        <f t="shared" si="11"/>
        <v>1</v>
      </c>
      <c r="CK71" s="124" t="b">
        <f t="shared" si="11"/>
        <v>0</v>
      </c>
      <c r="CL71" s="124" t="b">
        <f t="shared" si="11"/>
        <v>0</v>
      </c>
      <c r="CM71" s="124" t="b">
        <f t="shared" si="11"/>
        <v>1</v>
      </c>
      <c r="CN71" s="124" t="b">
        <f t="shared" si="11"/>
        <v>1</v>
      </c>
      <c r="CO71" s="124" t="b">
        <f t="shared" si="11"/>
        <v>0</v>
      </c>
      <c r="CP71" s="124" t="b">
        <f t="shared" si="11"/>
        <v>1</v>
      </c>
      <c r="CQ71" s="124" t="b">
        <f t="shared" si="11"/>
        <v>0</v>
      </c>
      <c r="CR71" s="124" t="b">
        <f t="shared" si="11"/>
        <v>0</v>
      </c>
      <c r="CS71" s="124" t="b">
        <f t="shared" si="11"/>
        <v>1</v>
      </c>
      <c r="CT71" s="124" t="b">
        <f t="shared" si="11"/>
        <v>0</v>
      </c>
      <c r="CU71" s="124" t="b">
        <f t="shared" si="11"/>
        <v>0</v>
      </c>
      <c r="CV71" s="124" t="b">
        <f t="shared" si="11"/>
        <v>1</v>
      </c>
      <c r="CW71" s="124" t="b">
        <f t="shared" si="11"/>
        <v>1</v>
      </c>
      <c r="CX71" s="124" t="b">
        <f t="shared" si="11"/>
        <v>1</v>
      </c>
      <c r="CY71" s="124" t="b">
        <f t="shared" si="11"/>
        <v>0</v>
      </c>
      <c r="CZ71" s="124" t="b">
        <f t="shared" si="11"/>
        <v>0</v>
      </c>
      <c r="DA71" s="124" t="b">
        <f t="shared" si="11"/>
        <v>1</v>
      </c>
      <c r="DB71" s="124" t="b">
        <f t="shared" si="11"/>
        <v>1</v>
      </c>
      <c r="DC71" s="124" t="b">
        <f t="shared" si="11"/>
        <v>0</v>
      </c>
      <c r="DD71" s="124" t="b">
        <f t="shared" si="11"/>
        <v>0</v>
      </c>
      <c r="DE71" s="124" t="b">
        <f t="shared" si="11"/>
        <v>0</v>
      </c>
      <c r="DF71" s="124" t="b">
        <f t="shared" si="11"/>
        <v>0</v>
      </c>
      <c r="DG71" s="124" t="b">
        <f t="shared" si="11"/>
        <v>1</v>
      </c>
      <c r="DH71" s="124" t="b">
        <f t="shared" si="11"/>
        <v>1</v>
      </c>
      <c r="DI71" s="124" t="b">
        <f t="shared" si="11"/>
        <v>0</v>
      </c>
      <c r="DJ71" s="124" t="b">
        <f t="shared" si="11"/>
        <v>1</v>
      </c>
      <c r="DK71" s="124" t="b">
        <f t="shared" si="11"/>
        <v>0</v>
      </c>
      <c r="DL71" s="124" t="b">
        <f t="shared" si="11"/>
        <v>0</v>
      </c>
      <c r="DM71" s="124" t="b">
        <f t="shared" si="11"/>
        <v>1</v>
      </c>
      <c r="DN71" s="124" t="b">
        <f t="shared" si="11"/>
        <v>1</v>
      </c>
      <c r="DO71" s="124" t="b">
        <f t="shared" si="11"/>
        <v>1</v>
      </c>
      <c r="DP71" s="124" t="b">
        <f t="shared" si="11"/>
        <v>1</v>
      </c>
      <c r="DQ71" s="124" t="b">
        <f t="shared" si="11"/>
        <v>0</v>
      </c>
      <c r="DR71" s="124" t="b">
        <f t="shared" si="11"/>
        <v>0</v>
      </c>
      <c r="DS71" s="124" t="b">
        <f t="shared" si="11"/>
        <v>0</v>
      </c>
      <c r="DT71" s="124" t="b">
        <f t="shared" si="11"/>
        <v>0</v>
      </c>
      <c r="DU71" s="124" t="b">
        <f t="shared" si="11"/>
        <v>1</v>
      </c>
      <c r="DV71" s="124" t="b">
        <f t="shared" si="11"/>
        <v>1</v>
      </c>
      <c r="DW71" s="124" t="b">
        <f t="shared" si="11"/>
        <v>0</v>
      </c>
      <c r="DX71" s="124" t="b">
        <f t="shared" si="11"/>
        <v>1</v>
      </c>
      <c r="DY71" s="124" t="b">
        <f t="shared" si="11"/>
        <v>0</v>
      </c>
      <c r="DZ71" s="124" t="b">
        <f t="shared" si="11"/>
        <v>0</v>
      </c>
      <c r="EA71" s="124" t="b">
        <f t="shared" si="11"/>
        <v>0</v>
      </c>
      <c r="EB71" s="124" t="b">
        <f t="shared" si="11"/>
        <v>1</v>
      </c>
      <c r="EC71" s="124" t="b">
        <f t="shared" si="11"/>
        <v>1</v>
      </c>
      <c r="ED71" s="124" t="b">
        <f t="shared" si="11"/>
        <v>1</v>
      </c>
      <c r="EE71" s="124" t="b">
        <f t="shared" si="11"/>
        <v>0</v>
      </c>
      <c r="EF71" s="124" t="b">
        <f t="shared" si="11"/>
        <v>1</v>
      </c>
      <c r="EG71" s="124" t="b">
        <f t="shared" ref="EG71:GR71" si="12">EG60=EG19</f>
        <v>0</v>
      </c>
      <c r="EH71" s="124" t="b">
        <f t="shared" si="12"/>
        <v>1</v>
      </c>
      <c r="EI71" s="124" t="b">
        <f t="shared" si="12"/>
        <v>1</v>
      </c>
      <c r="EJ71" s="124" t="b">
        <f t="shared" si="12"/>
        <v>1</v>
      </c>
      <c r="EK71" s="124" t="b">
        <f t="shared" si="12"/>
        <v>1</v>
      </c>
      <c r="EL71" s="124" t="b">
        <f t="shared" si="12"/>
        <v>1</v>
      </c>
      <c r="EM71" s="124" t="b">
        <f t="shared" si="12"/>
        <v>1</v>
      </c>
      <c r="EN71" s="124" t="b">
        <f t="shared" si="12"/>
        <v>1</v>
      </c>
      <c r="EO71" s="124" t="b">
        <f t="shared" si="12"/>
        <v>1</v>
      </c>
      <c r="EP71" s="124" t="b">
        <f t="shared" si="12"/>
        <v>1</v>
      </c>
      <c r="EQ71" s="124" t="b">
        <f t="shared" si="12"/>
        <v>0</v>
      </c>
      <c r="ER71" s="124" t="b">
        <f t="shared" si="12"/>
        <v>1</v>
      </c>
      <c r="ES71" s="124" t="b">
        <f t="shared" si="12"/>
        <v>1</v>
      </c>
      <c r="ET71" s="124" t="b">
        <f t="shared" si="12"/>
        <v>0</v>
      </c>
      <c r="EU71" s="124" t="b">
        <f t="shared" si="12"/>
        <v>1</v>
      </c>
      <c r="EV71" s="124" t="b">
        <f t="shared" si="12"/>
        <v>0</v>
      </c>
      <c r="EW71" s="124" t="b">
        <f t="shared" si="12"/>
        <v>0</v>
      </c>
      <c r="EX71" s="124" t="b">
        <f t="shared" si="12"/>
        <v>0</v>
      </c>
      <c r="EY71" s="124" t="b">
        <f t="shared" si="12"/>
        <v>0</v>
      </c>
      <c r="EZ71" s="124" t="b">
        <f t="shared" si="12"/>
        <v>0</v>
      </c>
      <c r="FA71" s="124" t="b">
        <f t="shared" si="12"/>
        <v>0</v>
      </c>
      <c r="FB71" s="124" t="b">
        <f t="shared" si="12"/>
        <v>0</v>
      </c>
      <c r="FC71" s="124" t="b">
        <f t="shared" si="12"/>
        <v>0</v>
      </c>
      <c r="FD71" s="124" t="b">
        <f t="shared" si="12"/>
        <v>0</v>
      </c>
      <c r="FE71" s="124" t="b">
        <f t="shared" si="12"/>
        <v>0</v>
      </c>
      <c r="FF71" s="124" t="b">
        <f t="shared" si="12"/>
        <v>0</v>
      </c>
      <c r="FG71" s="124" t="b">
        <f t="shared" si="12"/>
        <v>0</v>
      </c>
      <c r="FH71" s="124" t="b">
        <f t="shared" si="12"/>
        <v>0</v>
      </c>
      <c r="FI71" s="124" t="b">
        <f t="shared" si="12"/>
        <v>1</v>
      </c>
      <c r="FJ71" s="124" t="b">
        <f t="shared" si="12"/>
        <v>1</v>
      </c>
      <c r="FK71" s="124" t="b">
        <f t="shared" si="12"/>
        <v>1</v>
      </c>
      <c r="FL71" s="124" t="b">
        <f t="shared" si="12"/>
        <v>1</v>
      </c>
      <c r="FM71" s="124" t="b">
        <f t="shared" si="12"/>
        <v>1</v>
      </c>
      <c r="FN71" s="124" t="b">
        <f t="shared" si="12"/>
        <v>1</v>
      </c>
      <c r="FO71" s="124" t="b">
        <f t="shared" si="12"/>
        <v>0</v>
      </c>
      <c r="FP71" s="124" t="b">
        <f t="shared" si="12"/>
        <v>0</v>
      </c>
      <c r="FQ71" s="124" t="b">
        <f t="shared" si="12"/>
        <v>0</v>
      </c>
      <c r="FR71" s="124" t="b">
        <f t="shared" si="12"/>
        <v>0</v>
      </c>
      <c r="FS71" s="124" t="b">
        <f t="shared" si="12"/>
        <v>0</v>
      </c>
      <c r="FT71" s="124" t="b">
        <f t="shared" si="12"/>
        <v>0</v>
      </c>
      <c r="FU71" s="124" t="b">
        <f t="shared" si="12"/>
        <v>0</v>
      </c>
      <c r="FV71" s="124" t="b">
        <f t="shared" si="12"/>
        <v>0</v>
      </c>
      <c r="FW71" s="124" t="b">
        <f t="shared" si="12"/>
        <v>1</v>
      </c>
      <c r="FX71" s="124" t="b">
        <f t="shared" si="12"/>
        <v>0</v>
      </c>
      <c r="FY71" s="124" t="b">
        <f t="shared" si="12"/>
        <v>1</v>
      </c>
      <c r="FZ71" s="124" t="b">
        <f t="shared" si="12"/>
        <v>0</v>
      </c>
      <c r="GA71" s="124" t="b">
        <f t="shared" si="12"/>
        <v>0</v>
      </c>
      <c r="GB71" s="124" t="b">
        <f t="shared" si="12"/>
        <v>0</v>
      </c>
      <c r="GC71" s="124" t="b">
        <f t="shared" si="12"/>
        <v>1</v>
      </c>
      <c r="GD71" s="124" t="b">
        <f t="shared" si="12"/>
        <v>0</v>
      </c>
      <c r="GE71" s="124" t="b">
        <f t="shared" si="12"/>
        <v>1</v>
      </c>
      <c r="GF71" s="124" t="b">
        <f t="shared" si="12"/>
        <v>1</v>
      </c>
      <c r="GG71" s="124" t="b">
        <f t="shared" si="12"/>
        <v>0</v>
      </c>
      <c r="GH71" s="124" t="b">
        <f t="shared" si="12"/>
        <v>1</v>
      </c>
      <c r="GI71" s="124" t="b">
        <f t="shared" si="12"/>
        <v>0</v>
      </c>
      <c r="GJ71" s="124" t="b">
        <f t="shared" si="12"/>
        <v>0</v>
      </c>
      <c r="GK71" s="124" t="b">
        <f t="shared" si="12"/>
        <v>0</v>
      </c>
      <c r="GL71" s="124" t="b">
        <f t="shared" si="12"/>
        <v>1</v>
      </c>
      <c r="GM71" s="124" t="b">
        <f t="shared" si="12"/>
        <v>1</v>
      </c>
      <c r="GN71" s="124" t="b">
        <f t="shared" si="12"/>
        <v>0</v>
      </c>
      <c r="GO71" s="124" t="b">
        <f t="shared" si="12"/>
        <v>0</v>
      </c>
      <c r="GP71" s="124" t="b">
        <f t="shared" si="12"/>
        <v>0</v>
      </c>
      <c r="GQ71" s="124" t="b">
        <f t="shared" si="12"/>
        <v>1</v>
      </c>
      <c r="GR71" s="124" t="b">
        <f t="shared" si="12"/>
        <v>0</v>
      </c>
      <c r="GS71" s="124" t="b">
        <f t="shared" ref="GS71:HV71" si="13">GS60=GS19</f>
        <v>0</v>
      </c>
      <c r="GT71" s="124" t="b">
        <f t="shared" si="13"/>
        <v>0</v>
      </c>
      <c r="GU71" s="124" t="b">
        <f t="shared" si="13"/>
        <v>0</v>
      </c>
      <c r="GV71" s="124" t="b">
        <f t="shared" si="13"/>
        <v>1</v>
      </c>
      <c r="GW71" s="124" t="b">
        <f t="shared" si="13"/>
        <v>1</v>
      </c>
      <c r="GX71" s="124" t="b">
        <f t="shared" si="13"/>
        <v>1</v>
      </c>
      <c r="GY71" s="124" t="b">
        <f t="shared" si="13"/>
        <v>0</v>
      </c>
      <c r="GZ71" s="124" t="b">
        <f t="shared" si="13"/>
        <v>1</v>
      </c>
      <c r="HA71" s="124" t="b">
        <f t="shared" si="13"/>
        <v>1</v>
      </c>
      <c r="HB71" s="124" t="b">
        <f t="shared" si="13"/>
        <v>1</v>
      </c>
      <c r="HC71" s="124" t="b">
        <f t="shared" si="13"/>
        <v>0</v>
      </c>
      <c r="HD71" s="124" t="b">
        <f t="shared" si="13"/>
        <v>1</v>
      </c>
      <c r="HE71" s="124" t="b">
        <f t="shared" si="13"/>
        <v>0</v>
      </c>
      <c r="HF71" s="124" t="b">
        <f t="shared" si="13"/>
        <v>1</v>
      </c>
      <c r="HG71" s="124" t="b">
        <f t="shared" si="13"/>
        <v>0</v>
      </c>
      <c r="HH71" s="124" t="b">
        <f t="shared" si="13"/>
        <v>1</v>
      </c>
      <c r="HI71" s="124" t="b">
        <f t="shared" si="13"/>
        <v>0</v>
      </c>
      <c r="HJ71" s="124" t="b">
        <f t="shared" si="13"/>
        <v>0</v>
      </c>
      <c r="HK71" s="124" t="b">
        <f t="shared" si="13"/>
        <v>1</v>
      </c>
      <c r="HL71" s="124" t="b">
        <f t="shared" si="13"/>
        <v>0</v>
      </c>
      <c r="HM71" s="124" t="b">
        <f t="shared" si="13"/>
        <v>1</v>
      </c>
      <c r="HN71" s="124" t="b">
        <f t="shared" si="13"/>
        <v>0</v>
      </c>
      <c r="HO71" s="124" t="b">
        <f t="shared" si="13"/>
        <v>1</v>
      </c>
      <c r="HP71" s="124" t="b">
        <f t="shared" si="13"/>
        <v>0</v>
      </c>
      <c r="HQ71" s="124" t="b">
        <f t="shared" si="13"/>
        <v>1</v>
      </c>
      <c r="HR71" s="124" t="b">
        <f t="shared" si="13"/>
        <v>1</v>
      </c>
      <c r="HS71" s="124" t="b">
        <f t="shared" si="13"/>
        <v>1</v>
      </c>
      <c r="HT71" s="124" t="b">
        <f t="shared" si="13"/>
        <v>1</v>
      </c>
      <c r="HU71" s="124" t="b">
        <f t="shared" si="13"/>
        <v>0</v>
      </c>
      <c r="HV71" s="124" t="b">
        <f t="shared" si="13"/>
        <v>0</v>
      </c>
      <c r="HW71" s="124" t="b">
        <f>HW60=HW19</f>
        <v>0</v>
      </c>
      <c r="HX71" s="124" t="b">
        <f>HX60=HX19</f>
        <v>0</v>
      </c>
      <c r="HY71" s="124" t="b">
        <f t="shared" ref="HY71:IF71" si="14">HY60=HY19</f>
        <v>0</v>
      </c>
      <c r="HZ71" s="124" t="b">
        <f t="shared" si="14"/>
        <v>0</v>
      </c>
      <c r="IA71" s="124" t="b">
        <f t="shared" si="14"/>
        <v>1</v>
      </c>
      <c r="IB71" s="124" t="b">
        <f t="shared" si="14"/>
        <v>1</v>
      </c>
      <c r="IC71" s="124" t="b">
        <f t="shared" si="14"/>
        <v>1</v>
      </c>
      <c r="ID71" s="124" t="b">
        <f t="shared" si="14"/>
        <v>1</v>
      </c>
      <c r="IE71" s="124" t="b">
        <f t="shared" si="14"/>
        <v>1</v>
      </c>
      <c r="IF71" s="124" t="b">
        <f t="shared" si="14"/>
        <v>1</v>
      </c>
      <c r="IG71" s="124" t="b">
        <f>IG60=IG19</f>
        <v>0</v>
      </c>
      <c r="IH71" s="124" t="b">
        <f>IH60=IH19</f>
        <v>0</v>
      </c>
    </row>
    <row r="72" spans="1:242" ht="15" hidden="1" x14ac:dyDescent="0.2">
      <c r="H72" s="125">
        <f>(H19-H60)/H19</f>
        <v>-1.6153990463369628E-16</v>
      </c>
      <c r="I72" s="125">
        <f t="shared" ref="I72:BT72" si="15">(I19-I60)/I19</f>
        <v>0</v>
      </c>
      <c r="J72" s="125">
        <f t="shared" si="15"/>
        <v>0</v>
      </c>
      <c r="K72" s="125">
        <f t="shared" si="15"/>
        <v>5.555658044690763E-8</v>
      </c>
      <c r="L72" s="125">
        <f t="shared" si="15"/>
        <v>1.2318760995950244E-16</v>
      </c>
      <c r="M72" s="125">
        <f t="shared" si="15"/>
        <v>1.2318856155007406E-16</v>
      </c>
      <c r="N72" s="125">
        <f t="shared" si="15"/>
        <v>0</v>
      </c>
      <c r="O72" s="125">
        <f t="shared" si="15"/>
        <v>-1.2443206197377989E-16</v>
      </c>
      <c r="P72" s="125">
        <f t="shared" si="15"/>
        <v>-2.0043900155371556E-16</v>
      </c>
      <c r="Q72" s="125">
        <f t="shared" si="15"/>
        <v>0</v>
      </c>
      <c r="R72" s="125">
        <f t="shared" si="15"/>
        <v>-2.4407884219540239E-16</v>
      </c>
      <c r="S72" s="125">
        <f t="shared" si="15"/>
        <v>-2.4407884219540239E-16</v>
      </c>
      <c r="T72" s="125">
        <f t="shared" si="15"/>
        <v>0</v>
      </c>
      <c r="U72" s="125">
        <f t="shared" si="15"/>
        <v>0</v>
      </c>
      <c r="V72" s="125">
        <f t="shared" si="15"/>
        <v>0</v>
      </c>
      <c r="W72" s="125">
        <f t="shared" si="15"/>
        <v>0</v>
      </c>
      <c r="X72" s="125">
        <f t="shared" si="15"/>
        <v>0</v>
      </c>
      <c r="Y72" s="125">
        <f t="shared" si="15"/>
        <v>0</v>
      </c>
      <c r="Z72" s="125">
        <f t="shared" si="15"/>
        <v>0</v>
      </c>
      <c r="AA72" s="125">
        <f t="shared" si="15"/>
        <v>0</v>
      </c>
      <c r="AB72" s="125">
        <f t="shared" si="15"/>
        <v>0</v>
      </c>
      <c r="AC72" s="125">
        <f t="shared" si="15"/>
        <v>0</v>
      </c>
      <c r="AD72" s="125">
        <f t="shared" si="15"/>
        <v>0</v>
      </c>
      <c r="AE72" s="125">
        <f t="shared" si="15"/>
        <v>0</v>
      </c>
      <c r="AF72" s="125">
        <f t="shared" si="15"/>
        <v>0</v>
      </c>
      <c r="AG72" s="125">
        <f t="shared" si="15"/>
        <v>1.1348830019962848E-7</v>
      </c>
      <c r="AH72" s="125">
        <f t="shared" si="15"/>
        <v>-2.3326139709395693E-8</v>
      </c>
      <c r="AI72" s="125">
        <f t="shared" si="15"/>
        <v>3.1636706155274427E-8</v>
      </c>
      <c r="AJ72" s="125">
        <f t="shared" si="15"/>
        <v>-3.3576811868717755E-7</v>
      </c>
      <c r="AK72" s="125">
        <f t="shared" si="15"/>
        <v>-7.9282928757109759E-8</v>
      </c>
      <c r="AL72" s="125">
        <f t="shared" si="15"/>
        <v>-3.7852210265437363E-8</v>
      </c>
      <c r="AM72" s="125">
        <f t="shared" si="15"/>
        <v>3.9676882220922787E-7</v>
      </c>
      <c r="AN72" s="125">
        <f t="shared" si="15"/>
        <v>-1.2550027548725825E-6</v>
      </c>
      <c r="AO72" s="125">
        <f t="shared" si="15"/>
        <v>-2.9671446762323744E-7</v>
      </c>
      <c r="AP72" s="125">
        <f t="shared" si="15"/>
        <v>0</v>
      </c>
      <c r="AQ72" s="125">
        <f t="shared" si="15"/>
        <v>-1.0577742525909276E-7</v>
      </c>
      <c r="AR72" s="125">
        <f t="shared" si="15"/>
        <v>-6.4600399853761374E-9</v>
      </c>
      <c r="AS72" s="125">
        <f t="shared" si="15"/>
        <v>1.6621381715578022E-7</v>
      </c>
      <c r="AT72" s="125">
        <f t="shared" si="15"/>
        <v>0</v>
      </c>
      <c r="AU72" s="125">
        <f t="shared" si="15"/>
        <v>-1.5244808761829253E-6</v>
      </c>
      <c r="AV72" s="125">
        <f t="shared" si="15"/>
        <v>2.2382100070622746E-7</v>
      </c>
      <c r="AW72" s="125">
        <f t="shared" si="15"/>
        <v>1.7095092468656679E-7</v>
      </c>
      <c r="AX72" s="125">
        <f t="shared" si="15"/>
        <v>7.2535778274216272E-6</v>
      </c>
      <c r="AY72" s="125">
        <f t="shared" si="15"/>
        <v>1.4941987772765103E-16</v>
      </c>
      <c r="AZ72" s="125">
        <f t="shared" si="15"/>
        <v>5.3323095298987425E-6</v>
      </c>
      <c r="BA72" s="125">
        <f t="shared" si="15"/>
        <v>1.14943420749137E-16</v>
      </c>
      <c r="BB72" s="125">
        <f t="shared" si="15"/>
        <v>0</v>
      </c>
      <c r="BC72" s="125">
        <f t="shared" si="15"/>
        <v>0</v>
      </c>
      <c r="BD72" s="125">
        <f t="shared" si="15"/>
        <v>0</v>
      </c>
      <c r="BE72" s="125">
        <f t="shared" si="15"/>
        <v>-1.1294866029786018E-6</v>
      </c>
      <c r="BF72" s="125">
        <f t="shared" si="15"/>
        <v>3.6456434560692708E-4</v>
      </c>
      <c r="BG72" s="125">
        <f t="shared" si="15"/>
        <v>1.2593379913468081E-6</v>
      </c>
      <c r="BH72" s="125">
        <f t="shared" si="15"/>
        <v>1.2593379911177359E-6</v>
      </c>
      <c r="BI72" s="125">
        <f t="shared" si="15"/>
        <v>-1.4575142174936832E-16</v>
      </c>
      <c r="BJ72" s="125">
        <f t="shared" si="15"/>
        <v>-1.9644204174429292E-6</v>
      </c>
      <c r="BK72" s="125">
        <f t="shared" si="15"/>
        <v>-1.5994209021048965E-16</v>
      </c>
      <c r="BL72" s="125">
        <f t="shared" si="15"/>
        <v>2.2996538533596842E-16</v>
      </c>
      <c r="BM72" s="125">
        <f t="shared" si="15"/>
        <v>1.2318760995950244E-16</v>
      </c>
      <c r="BN72" s="125">
        <f t="shared" si="15"/>
        <v>1.2318777941976119E-16</v>
      </c>
      <c r="BO72" s="125">
        <f t="shared" si="15"/>
        <v>1.2318856155007406E-16</v>
      </c>
      <c r="BP72" s="125">
        <f t="shared" si="15"/>
        <v>1.2318856155007406E-16</v>
      </c>
      <c r="BQ72" s="125">
        <f t="shared" si="15"/>
        <v>1.2318856155007406E-16</v>
      </c>
      <c r="BR72" s="125">
        <f t="shared" si="15"/>
        <v>-2.3866163706333181E-7</v>
      </c>
      <c r="BS72" s="125">
        <f t="shared" si="15"/>
        <v>-2.3866163706333181E-7</v>
      </c>
      <c r="BT72" s="125">
        <f t="shared" si="15"/>
        <v>3.1636706155274427E-8</v>
      </c>
      <c r="BU72" s="125">
        <f t="shared" ref="BU72:EF72" si="16">(BU19-BU60)/BU19</f>
        <v>-4.0327621478927282E-8</v>
      </c>
      <c r="BV72" s="125">
        <f t="shared" si="16"/>
        <v>-4.0327621478927282E-8</v>
      </c>
      <c r="BW72" s="125">
        <f t="shared" si="16"/>
        <v>-2.3866163706333181E-7</v>
      </c>
      <c r="BX72" s="125">
        <f t="shared" si="16"/>
        <v>-5.5957438824184389E-8</v>
      </c>
      <c r="BY72" s="125">
        <f t="shared" si="16"/>
        <v>2.5491280582795844E-8</v>
      </c>
      <c r="BZ72" s="125">
        <f t="shared" si="16"/>
        <v>2.5491280582795844E-8</v>
      </c>
      <c r="CA72" s="125">
        <f t="shared" si="16"/>
        <v>-5.3762103927305007E-8</v>
      </c>
      <c r="CB72" s="125">
        <f t="shared" si="16"/>
        <v>2.2847082466800772E-7</v>
      </c>
      <c r="CC72" s="125">
        <f t="shared" si="16"/>
        <v>1.0425705561045415E-7</v>
      </c>
      <c r="CD72" s="125">
        <f t="shared" si="16"/>
        <v>1.0425705561045415E-7</v>
      </c>
      <c r="CE72" s="125">
        <f t="shared" si="16"/>
        <v>3.2364753377910108E-7</v>
      </c>
      <c r="CF72" s="125">
        <f t="shared" si="16"/>
        <v>-2.989522891465399E-16</v>
      </c>
      <c r="CG72" s="125">
        <f t="shared" si="16"/>
        <v>-2.5375495435887942E-7</v>
      </c>
      <c r="CH72" s="125">
        <f t="shared" si="16"/>
        <v>-2.5375495435887942E-7</v>
      </c>
      <c r="CI72" s="125">
        <f t="shared" si="16"/>
        <v>1.7095092468656679E-7</v>
      </c>
      <c r="CJ72" s="125">
        <f t="shared" si="16"/>
        <v>0</v>
      </c>
      <c r="CK72" s="125">
        <f t="shared" si="16"/>
        <v>-3.6628829085354442E-6</v>
      </c>
      <c r="CL72" s="125">
        <f t="shared" si="16"/>
        <v>-3.6628829085354442E-6</v>
      </c>
      <c r="CM72" s="125">
        <f t="shared" si="16"/>
        <v>0</v>
      </c>
      <c r="CN72" s="125">
        <f t="shared" si="16"/>
        <v>0</v>
      </c>
      <c r="CO72" s="125">
        <f t="shared" si="16"/>
        <v>-1.2550027548725825E-6</v>
      </c>
      <c r="CP72" s="125">
        <f t="shared" si="16"/>
        <v>-1.4575142174936832E-16</v>
      </c>
      <c r="CQ72" s="125">
        <f t="shared" si="16"/>
        <v>1.2593379913468081E-6</v>
      </c>
      <c r="CR72" s="125">
        <f t="shared" si="16"/>
        <v>1.2593379913468081E-6</v>
      </c>
      <c r="CS72" s="125">
        <f t="shared" si="16"/>
        <v>-1.4575142174936832E-16</v>
      </c>
      <c r="CT72" s="125">
        <f t="shared" si="16"/>
        <v>6.0135256186783178E-7</v>
      </c>
      <c r="CU72" s="125">
        <f t="shared" si="16"/>
        <v>6.0135256186783178E-7</v>
      </c>
      <c r="CV72" s="125">
        <f t="shared" si="16"/>
        <v>0</v>
      </c>
      <c r="CW72" s="125">
        <f t="shared" si="16"/>
        <v>0</v>
      </c>
      <c r="CX72" s="125">
        <f t="shared" si="16"/>
        <v>-1.4575142174936832E-16</v>
      </c>
      <c r="CY72" s="125">
        <f t="shared" si="16"/>
        <v>-1.187086635281666E-7</v>
      </c>
      <c r="CZ72" s="125">
        <f t="shared" si="16"/>
        <v>-1.187086635281666E-7</v>
      </c>
      <c r="DA72" s="125">
        <f t="shared" si="16"/>
        <v>3.2872416304666299E-16</v>
      </c>
      <c r="DB72" s="125">
        <f t="shared" si="16"/>
        <v>1.6436185874970919E-16</v>
      </c>
      <c r="DC72" s="125">
        <f t="shared" si="16"/>
        <v>6.4147796512921226E-7</v>
      </c>
      <c r="DD72" s="125">
        <f t="shared" si="16"/>
        <v>6.4147796512921226E-7</v>
      </c>
      <c r="DE72" s="125">
        <f t="shared" si="16"/>
        <v>-1.3442540388647915E-8</v>
      </c>
      <c r="DF72" s="125">
        <f t="shared" si="16"/>
        <v>-4.0327621478927282E-8</v>
      </c>
      <c r="DG72" s="125">
        <f t="shared" si="16"/>
        <v>0</v>
      </c>
      <c r="DH72" s="125">
        <f t="shared" si="16"/>
        <v>0</v>
      </c>
      <c r="DI72" s="125" t="e">
        <f t="shared" si="16"/>
        <v>#VALUE!</v>
      </c>
      <c r="DJ72" s="125">
        <f t="shared" si="16"/>
        <v>0</v>
      </c>
      <c r="DK72" s="125">
        <f t="shared" si="16"/>
        <v>-2.8351903815489527E-7</v>
      </c>
      <c r="DL72" s="125">
        <f t="shared" si="16"/>
        <v>1.1348830019962848E-7</v>
      </c>
      <c r="DM72" s="125">
        <f t="shared" si="16"/>
        <v>0</v>
      </c>
      <c r="DN72" s="125">
        <f t="shared" si="16"/>
        <v>0</v>
      </c>
      <c r="DO72" s="125">
        <f t="shared" si="16"/>
        <v>0</v>
      </c>
      <c r="DP72" s="125" t="e">
        <f t="shared" si="16"/>
        <v>#DIV/0!</v>
      </c>
      <c r="DQ72" s="125">
        <f t="shared" si="16"/>
        <v>-1.274554274714615E-8</v>
      </c>
      <c r="DR72" s="125">
        <f t="shared" si="16"/>
        <v>-1.274554274714615E-8</v>
      </c>
      <c r="DS72" s="125">
        <f t="shared" si="16"/>
        <v>1.1191046294409727E-7</v>
      </c>
      <c r="DT72" s="125">
        <f t="shared" si="16"/>
        <v>-6.4600399853761374E-9</v>
      </c>
      <c r="DU72" s="125">
        <f t="shared" si="16"/>
        <v>1.4941987772765103E-16</v>
      </c>
      <c r="DV72" s="125">
        <f t="shared" si="16"/>
        <v>1.14943420749137E-16</v>
      </c>
      <c r="DW72" s="125">
        <f t="shared" si="16"/>
        <v>1.2593379913468081E-6</v>
      </c>
      <c r="DX72" s="125">
        <f t="shared" si="16"/>
        <v>0</v>
      </c>
      <c r="DY72" s="125">
        <f t="shared" si="16"/>
        <v>1.1843065047914559E-8</v>
      </c>
      <c r="DZ72" s="125">
        <f t="shared" si="16"/>
        <v>1.1843065047914559E-8</v>
      </c>
      <c r="EA72" s="125">
        <f t="shared" si="16"/>
        <v>1.6621381715578022E-7</v>
      </c>
      <c r="EB72" s="125">
        <f t="shared" si="16"/>
        <v>3.2872416304666299E-16</v>
      </c>
      <c r="EC72" s="125" t="e">
        <f t="shared" si="16"/>
        <v>#DIV/0!</v>
      </c>
      <c r="ED72" s="125">
        <f t="shared" si="16"/>
        <v>-1.9710585410461045E-16</v>
      </c>
      <c r="EE72" s="125">
        <f t="shared" si="16"/>
        <v>3.4452064521734106E-7</v>
      </c>
      <c r="EF72" s="125">
        <f t="shared" si="16"/>
        <v>0</v>
      </c>
      <c r="EG72" s="125">
        <f t="shared" ref="EG72:GR72" si="17">(EG19-EG60)/EG19</f>
        <v>2.6413083481358573E-8</v>
      </c>
      <c r="EH72" s="125">
        <f t="shared" si="17"/>
        <v>0</v>
      </c>
      <c r="EI72" s="125">
        <f t="shared" si="17"/>
        <v>0</v>
      </c>
      <c r="EJ72" s="125">
        <f t="shared" si="17"/>
        <v>-1.630821544404043E-16</v>
      </c>
      <c r="EK72" s="125">
        <f t="shared" si="17"/>
        <v>-1.630821544404043E-16</v>
      </c>
      <c r="EL72" s="125">
        <f t="shared" si="17"/>
        <v>0</v>
      </c>
      <c r="EM72" s="125">
        <f t="shared" si="17"/>
        <v>0</v>
      </c>
      <c r="EN72" s="125">
        <f t="shared" si="17"/>
        <v>0</v>
      </c>
      <c r="EO72" s="125">
        <f t="shared" si="17"/>
        <v>0</v>
      </c>
      <c r="EP72" s="125" t="e">
        <f t="shared" si="17"/>
        <v>#DIV/0!</v>
      </c>
      <c r="EQ72" s="125">
        <f t="shared" si="17"/>
        <v>-1.3189132155110942E-4</v>
      </c>
      <c r="ER72" s="125">
        <f t="shared" si="17"/>
        <v>0</v>
      </c>
      <c r="ES72" s="125">
        <f t="shared" si="17"/>
        <v>0</v>
      </c>
      <c r="ET72" s="125">
        <f t="shared" si="17"/>
        <v>-1.2550027548725825E-6</v>
      </c>
      <c r="EU72" s="125">
        <f t="shared" si="17"/>
        <v>0</v>
      </c>
      <c r="EV72" s="125">
        <f t="shared" si="17"/>
        <v>2.3494534823569598E-7</v>
      </c>
      <c r="EW72" s="125">
        <f t="shared" si="17"/>
        <v>9.3978161339821167E-7</v>
      </c>
      <c r="EX72" s="125">
        <f t="shared" si="17"/>
        <v>9.3978161339821167E-7</v>
      </c>
      <c r="EY72" s="125">
        <f t="shared" si="17"/>
        <v>9.3978161339821167E-7</v>
      </c>
      <c r="EZ72" s="125">
        <f t="shared" si="17"/>
        <v>9.3978161339821167E-7</v>
      </c>
      <c r="FA72" s="125">
        <f t="shared" si="17"/>
        <v>9.3978161339821167E-7</v>
      </c>
      <c r="FB72" s="125">
        <f t="shared" si="17"/>
        <v>9.3978161339821167E-7</v>
      </c>
      <c r="FC72" s="125">
        <f t="shared" si="17"/>
        <v>-4.6989080669910584E-7</v>
      </c>
      <c r="FD72" s="125">
        <f t="shared" si="17"/>
        <v>-4.6989080669910584E-7</v>
      </c>
      <c r="FE72" s="125">
        <f t="shared" si="17"/>
        <v>1.4435430320164715E-5</v>
      </c>
      <c r="FF72" s="125">
        <f t="shared" si="17"/>
        <v>1.4435430320164715E-5</v>
      </c>
      <c r="FG72" s="125">
        <f t="shared" si="17"/>
        <v>7.9664154209308889E-8</v>
      </c>
      <c r="FH72" s="125">
        <f t="shared" si="17"/>
        <v>7.9664154209308889E-8</v>
      </c>
      <c r="FI72" s="125">
        <f t="shared" si="17"/>
        <v>1.2318760995950244E-16</v>
      </c>
      <c r="FJ72" s="125">
        <f t="shared" si="17"/>
        <v>1.2318760995950244E-16</v>
      </c>
      <c r="FK72" s="125">
        <f t="shared" si="17"/>
        <v>1.2318760995950244E-16</v>
      </c>
      <c r="FL72" s="125">
        <f t="shared" si="17"/>
        <v>1.2318760995950244E-16</v>
      </c>
      <c r="FM72" s="125">
        <f t="shared" si="17"/>
        <v>1.2318760995950244E-16</v>
      </c>
      <c r="FN72" s="125">
        <f t="shared" si="17"/>
        <v>1.2318760995950244E-16</v>
      </c>
      <c r="FO72" s="125">
        <f t="shared" si="17"/>
        <v>1.1348830019962848E-7</v>
      </c>
      <c r="FP72" s="125">
        <f t="shared" si="17"/>
        <v>-4.5395325231689688E-8</v>
      </c>
      <c r="FQ72" s="125">
        <f t="shared" si="17"/>
        <v>-4.5395325231689688E-8</v>
      </c>
      <c r="FR72" s="125">
        <f t="shared" si="17"/>
        <v>1.664495004866078E-7</v>
      </c>
      <c r="FS72" s="125">
        <f t="shared" si="17"/>
        <v>1.664495004866078E-7</v>
      </c>
      <c r="FT72" s="125">
        <f t="shared" si="17"/>
        <v>-2.3326139709395693E-8</v>
      </c>
      <c r="FU72" s="125">
        <f t="shared" si="17"/>
        <v>4.1914251700006224E-8</v>
      </c>
      <c r="FV72" s="125">
        <f t="shared" si="17"/>
        <v>-2.2379964377557749E-7</v>
      </c>
      <c r="FW72" s="125">
        <f t="shared" si="17"/>
        <v>1.6198189011845555E-16</v>
      </c>
      <c r="FX72" s="125" t="e">
        <f t="shared" si="17"/>
        <v>#VALUE!</v>
      </c>
      <c r="FY72" s="125">
        <f t="shared" si="17"/>
        <v>1.6198189011845555E-16</v>
      </c>
      <c r="FZ72" s="125">
        <f t="shared" si="17"/>
        <v>-1.7068277526583592E-7</v>
      </c>
      <c r="GA72" s="125">
        <f t="shared" si="17"/>
        <v>2.3396191100200616E-5</v>
      </c>
      <c r="GB72" s="125">
        <f t="shared" si="17"/>
        <v>-1.7193711206663857E-7</v>
      </c>
      <c r="GC72" s="125">
        <f t="shared" si="17"/>
        <v>0</v>
      </c>
      <c r="GD72" s="125" t="e">
        <f t="shared" si="17"/>
        <v>#VALUE!</v>
      </c>
      <c r="GE72" s="125">
        <f t="shared" si="17"/>
        <v>0</v>
      </c>
      <c r="GF72" s="125">
        <f t="shared" si="17"/>
        <v>0</v>
      </c>
      <c r="GG72" s="125" t="e">
        <f t="shared" si="17"/>
        <v>#VALUE!</v>
      </c>
      <c r="GH72" s="125">
        <f t="shared" si="17"/>
        <v>0</v>
      </c>
      <c r="GI72" s="125">
        <f t="shared" si="17"/>
        <v>-1.0426807430255729E-7</v>
      </c>
      <c r="GJ72" s="125">
        <f t="shared" si="17"/>
        <v>-7.4072718102824758E-8</v>
      </c>
      <c r="GK72" s="125">
        <f t="shared" si="17"/>
        <v>-7.4072718102824758E-8</v>
      </c>
      <c r="GL72" s="125">
        <f t="shared" si="17"/>
        <v>1.2318856155007406E-16</v>
      </c>
      <c r="GM72" s="125">
        <f t="shared" si="17"/>
        <v>1.2318856155007406E-16</v>
      </c>
      <c r="GN72" s="125">
        <f t="shared" si="17"/>
        <v>3.1636706155274427E-8</v>
      </c>
      <c r="GO72" s="125">
        <f t="shared" si="17"/>
        <v>-2.1279055663055972E-7</v>
      </c>
      <c r="GP72" s="125">
        <f t="shared" si="17"/>
        <v>1.0544725903275494E-8</v>
      </c>
      <c r="GQ72" s="125">
        <f t="shared" si="17"/>
        <v>0</v>
      </c>
      <c r="GR72" s="125">
        <f t="shared" si="17"/>
        <v>-7.9282928757109759E-8</v>
      </c>
      <c r="GS72" s="125">
        <f t="shared" ref="GS72:HV72" si="18">(GS19-GS60)/GS19</f>
        <v>1.1191046294409727E-7</v>
      </c>
      <c r="GT72" s="125">
        <f t="shared" si="18"/>
        <v>-1.3442540388647915E-8</v>
      </c>
      <c r="GU72" s="125">
        <f t="shared" si="18"/>
        <v>1.5181994155263641E-6</v>
      </c>
      <c r="GV72" s="125">
        <f t="shared" si="18"/>
        <v>3.2872416304666299E-16</v>
      </c>
      <c r="GW72" s="125">
        <f t="shared" si="18"/>
        <v>3.2872416304666299E-16</v>
      </c>
      <c r="GX72" s="125">
        <f t="shared" si="18"/>
        <v>1.6436185874970919E-16</v>
      </c>
      <c r="GY72" s="125">
        <f t="shared" si="18"/>
        <v>5.3323095298987425E-6</v>
      </c>
      <c r="GZ72" s="125">
        <f t="shared" si="18"/>
        <v>0</v>
      </c>
      <c r="HA72" s="125">
        <f t="shared" si="18"/>
        <v>1.6009524829833835E-16</v>
      </c>
      <c r="HB72" s="125">
        <f t="shared" si="18"/>
        <v>-1.4663971432465177E-16</v>
      </c>
      <c r="HC72" s="125">
        <f t="shared" si="18"/>
        <v>-9.2357423227807936E-6</v>
      </c>
      <c r="HD72" s="125">
        <f t="shared" si="18"/>
        <v>2.2996538533596842E-16</v>
      </c>
      <c r="HE72" s="125">
        <f t="shared" si="18"/>
        <v>-1.9644204174429292E-6</v>
      </c>
      <c r="HF72" s="125">
        <f t="shared" si="18"/>
        <v>2.2996538533596842E-16</v>
      </c>
      <c r="HG72" s="125">
        <f t="shared" si="18"/>
        <v>6.309327394290866E-7</v>
      </c>
      <c r="HH72" s="125" t="e">
        <f t="shared" si="18"/>
        <v>#DIV/0!</v>
      </c>
      <c r="HI72" s="125">
        <f t="shared" si="18"/>
        <v>6.309327394290866E-7</v>
      </c>
      <c r="HJ72" s="125">
        <f t="shared" si="18"/>
        <v>3.705075954053689E-5</v>
      </c>
      <c r="HK72" s="125">
        <f t="shared" si="18"/>
        <v>0</v>
      </c>
      <c r="HL72" s="125">
        <f t="shared" si="18"/>
        <v>1.0425705561045415E-7</v>
      </c>
      <c r="HM72" s="125">
        <f t="shared" si="18"/>
        <v>0</v>
      </c>
      <c r="HN72" s="125">
        <f t="shared" si="18"/>
        <v>7.8575427515443158E-7</v>
      </c>
      <c r="HO72" s="125">
        <f t="shared" si="18"/>
        <v>0</v>
      </c>
      <c r="HP72" s="125">
        <f t="shared" si="18"/>
        <v>-2.5375495435887942E-7</v>
      </c>
      <c r="HQ72" s="125">
        <f t="shared" si="18"/>
        <v>-1.630821544404043E-16</v>
      </c>
      <c r="HR72" s="125">
        <f t="shared" si="18"/>
        <v>2.1816702690772601E-16</v>
      </c>
      <c r="HS72" s="125">
        <f t="shared" si="18"/>
        <v>0</v>
      </c>
      <c r="HT72" s="125">
        <f t="shared" si="18"/>
        <v>0</v>
      </c>
      <c r="HU72" s="125">
        <f t="shared" si="18"/>
        <v>-1.3442540388647915E-8</v>
      </c>
      <c r="HV72" s="125">
        <f t="shared" si="18"/>
        <v>2.2388531703083894E-7</v>
      </c>
      <c r="HW72" s="125">
        <f>(HW19-HW60)/HW19</f>
        <v>-2.3866163706333181E-7</v>
      </c>
      <c r="HX72" s="125">
        <f>(HX19-HX60)/HX19</f>
        <v>-2.3866163706333181E-7</v>
      </c>
      <c r="HY72" s="125">
        <f t="shared" ref="HY72:IF72" si="19">(HY19-HY60)/HY19</f>
        <v>-2.9671446762323744E-7</v>
      </c>
      <c r="HZ72" s="125">
        <f t="shared" si="19"/>
        <v>-2.9671446762323744E-7</v>
      </c>
      <c r="IA72" s="125">
        <f t="shared" si="19"/>
        <v>0</v>
      </c>
      <c r="IB72" s="125">
        <f t="shared" si="19"/>
        <v>0</v>
      </c>
      <c r="IC72" s="125">
        <f t="shared" si="19"/>
        <v>0</v>
      </c>
      <c r="ID72" s="125">
        <f t="shared" si="19"/>
        <v>0</v>
      </c>
      <c r="IE72" s="125">
        <f t="shared" si="19"/>
        <v>0</v>
      </c>
      <c r="IF72" s="125">
        <f t="shared" si="19"/>
        <v>0</v>
      </c>
      <c r="IG72" s="125">
        <f>(IG19-IG60)/IG19</f>
        <v>1.2593379911177359E-6</v>
      </c>
      <c r="IH72" s="125">
        <f>(IH19-IH60)/IH19</f>
        <v>-1.9644204174429292E-6</v>
      </c>
    </row>
    <row r="87" ht="15.95" customHeight="1" x14ac:dyDescent="0.2"/>
    <row r="88" ht="15.95" customHeight="1" x14ac:dyDescent="0.2"/>
    <row r="89" ht="15.95" customHeight="1" x14ac:dyDescent="0.2"/>
    <row r="90" ht="15.95" customHeight="1" x14ac:dyDescent="0.2"/>
    <row r="91" ht="15.95" customHeight="1" x14ac:dyDescent="0.2"/>
    <row r="92" ht="15.95" customHeight="1" x14ac:dyDescent="0.2"/>
    <row r="93" ht="15.95" customHeight="1" x14ac:dyDescent="0.2"/>
    <row r="94" ht="15.95" customHeight="1" x14ac:dyDescent="0.2"/>
    <row r="95" ht="15.95" customHeight="1" x14ac:dyDescent="0.2"/>
    <row r="96" ht="15.95" customHeight="1" x14ac:dyDescent="0.2"/>
    <row r="97" ht="15.95" customHeight="1" x14ac:dyDescent="0.2"/>
    <row r="98" ht="15.95" customHeight="1" x14ac:dyDescent="0.2"/>
    <row r="99" ht="15.95" customHeight="1" x14ac:dyDescent="0.2"/>
    <row r="100" ht="15.95" customHeight="1" x14ac:dyDescent="0.2"/>
    <row r="101" ht="15.95" customHeight="1" x14ac:dyDescent="0.2"/>
    <row r="102" ht="15.95" customHeight="1" x14ac:dyDescent="0.2"/>
    <row r="103" ht="15.95" customHeight="1" x14ac:dyDescent="0.2"/>
    <row r="104" ht="15.95" customHeight="1" x14ac:dyDescent="0.2"/>
    <row r="105" ht="15.95" customHeight="1" x14ac:dyDescent="0.2"/>
    <row r="106" ht="15.95" customHeight="1" x14ac:dyDescent="0.2"/>
    <row r="107" ht="15.95" customHeight="1" x14ac:dyDescent="0.2"/>
    <row r="108" ht="15.95" customHeight="1" x14ac:dyDescent="0.2"/>
    <row r="109" ht="15.95" customHeight="1" x14ac:dyDescent="0.2"/>
    <row r="110" ht="15.95" customHeight="1" x14ac:dyDescent="0.2"/>
    <row r="111" ht="15.95" customHeight="1" x14ac:dyDescent="0.2"/>
    <row r="112" ht="15.95" customHeight="1" x14ac:dyDescent="0.2"/>
    <row r="113" ht="15.95" customHeight="1" x14ac:dyDescent="0.2"/>
    <row r="114" ht="15.95" customHeight="1" x14ac:dyDescent="0.2"/>
    <row r="115" ht="15.95" customHeight="1" x14ac:dyDescent="0.2"/>
    <row r="116" ht="15.95" customHeight="1" x14ac:dyDescent="0.2"/>
    <row r="117" ht="15.95" customHeight="1" x14ac:dyDescent="0.2"/>
    <row r="118" ht="15.95" customHeight="1" x14ac:dyDescent="0.2"/>
    <row r="119" ht="15.95" customHeight="1" x14ac:dyDescent="0.2"/>
    <row r="120" ht="15.95" customHeight="1" x14ac:dyDescent="0.2"/>
    <row r="121" ht="15.95" customHeight="1" x14ac:dyDescent="0.2"/>
    <row r="122" ht="15.95" customHeight="1" x14ac:dyDescent="0.2"/>
    <row r="123" ht="15.95" customHeight="1" x14ac:dyDescent="0.2"/>
    <row r="124" ht="15.95" customHeight="1" x14ac:dyDescent="0.2"/>
    <row r="125" ht="15.95" customHeight="1" x14ac:dyDescent="0.2"/>
    <row r="126" ht="15.95" customHeight="1" x14ac:dyDescent="0.2"/>
    <row r="127" ht="15.95" customHeight="1" x14ac:dyDescent="0.2"/>
    <row r="128" ht="15.95" customHeight="1" x14ac:dyDescent="0.2"/>
    <row r="129" ht="15.95" customHeight="1" x14ac:dyDescent="0.2"/>
    <row r="130" ht="15.95" customHeight="1" x14ac:dyDescent="0.2"/>
    <row r="131" ht="15.95" customHeight="1" x14ac:dyDescent="0.2"/>
    <row r="132" ht="15.95" customHeight="1" x14ac:dyDescent="0.2"/>
    <row r="133" ht="15.95" customHeight="1" x14ac:dyDescent="0.2"/>
    <row r="134" ht="15.95" customHeight="1" x14ac:dyDescent="0.2"/>
    <row r="135" ht="15.95" customHeight="1" x14ac:dyDescent="0.2"/>
    <row r="136" ht="15.95" customHeight="1" x14ac:dyDescent="0.2"/>
    <row r="137" ht="15.95" customHeight="1" x14ac:dyDescent="0.2"/>
    <row r="138" ht="15.95" customHeight="1" x14ac:dyDescent="0.2"/>
    <row r="139" ht="15.95" customHeight="1" x14ac:dyDescent="0.2"/>
    <row r="140" ht="15.95" customHeight="1" x14ac:dyDescent="0.2"/>
    <row r="141" ht="15.95" customHeight="1" x14ac:dyDescent="0.2"/>
    <row r="142" ht="15.95" customHeight="1" x14ac:dyDescent="0.2"/>
    <row r="143" ht="15.95" customHeight="1" x14ac:dyDescent="0.2"/>
    <row r="144" ht="15.95" customHeight="1" x14ac:dyDescent="0.2"/>
    <row r="145" ht="15.95" customHeight="1" x14ac:dyDescent="0.2"/>
    <row r="146" ht="15.95" customHeight="1" x14ac:dyDescent="0.2"/>
    <row r="147" ht="15.95" customHeight="1" x14ac:dyDescent="0.2"/>
    <row r="148" ht="15.95" customHeight="1" x14ac:dyDescent="0.2"/>
    <row r="149" ht="15.95" customHeight="1" x14ac:dyDescent="0.2"/>
    <row r="150" ht="15.95" customHeight="1" x14ac:dyDescent="0.2"/>
    <row r="151" ht="15.95" customHeight="1" x14ac:dyDescent="0.2"/>
    <row r="152" ht="15.95" customHeight="1" x14ac:dyDescent="0.2"/>
    <row r="153" ht="15.95" customHeight="1" x14ac:dyDescent="0.2"/>
    <row r="154" ht="15.95" customHeight="1" x14ac:dyDescent="0.2"/>
    <row r="155" ht="15.95" customHeight="1" x14ac:dyDescent="0.2"/>
    <row r="156" ht="15.95" customHeight="1" x14ac:dyDescent="0.2"/>
    <row r="157" ht="15.95" customHeight="1" x14ac:dyDescent="0.2"/>
    <row r="158" ht="15.95" customHeight="1" x14ac:dyDescent="0.2"/>
    <row r="159" ht="15.95" customHeight="1" x14ac:dyDescent="0.2"/>
    <row r="160" ht="15.95" customHeight="1" x14ac:dyDescent="0.2"/>
    <row r="161" ht="15.95" customHeight="1" x14ac:dyDescent="0.2"/>
    <row r="162" ht="15.95" customHeight="1" x14ac:dyDescent="0.2"/>
    <row r="163" ht="15.95" customHeight="1" x14ac:dyDescent="0.2"/>
    <row r="164" ht="15.95" customHeight="1" x14ac:dyDescent="0.2"/>
    <row r="165" ht="15.95" customHeight="1" x14ac:dyDescent="0.2"/>
    <row r="166" ht="15.95" customHeight="1" x14ac:dyDescent="0.2"/>
    <row r="167" ht="15.95" customHeight="1" x14ac:dyDescent="0.2"/>
    <row r="168" ht="15.95" customHeight="1" x14ac:dyDescent="0.2"/>
    <row r="169" ht="15.95" customHeight="1" x14ac:dyDescent="0.2"/>
    <row r="170" ht="15.95" customHeight="1" x14ac:dyDescent="0.2"/>
    <row r="171" ht="15.95" customHeight="1" x14ac:dyDescent="0.2"/>
    <row r="172" ht="15.95" customHeight="1" x14ac:dyDescent="0.2"/>
    <row r="173" ht="15.95" customHeight="1" x14ac:dyDescent="0.2"/>
    <row r="174" ht="15.95" customHeight="1" x14ac:dyDescent="0.2"/>
    <row r="175" ht="15.95" customHeight="1" x14ac:dyDescent="0.2"/>
    <row r="176" ht="15.95" customHeight="1" x14ac:dyDescent="0.2"/>
    <row r="177" ht="15.95" customHeight="1" x14ac:dyDescent="0.2"/>
    <row r="178" ht="15.95" customHeight="1" x14ac:dyDescent="0.2"/>
    <row r="179" ht="15.95" customHeight="1" x14ac:dyDescent="0.2"/>
    <row r="180" ht="15.95" customHeight="1" x14ac:dyDescent="0.2"/>
    <row r="181" ht="15.95" customHeight="1" x14ac:dyDescent="0.2"/>
    <row r="182" ht="15.95" customHeight="1" x14ac:dyDescent="0.2"/>
    <row r="183" ht="15.95" customHeight="1" x14ac:dyDescent="0.2"/>
    <row r="184" ht="15.95" customHeight="1" x14ac:dyDescent="0.2"/>
    <row r="185" ht="15.95" customHeight="1" x14ac:dyDescent="0.2"/>
    <row r="186" ht="15.95" customHeight="1" x14ac:dyDescent="0.2"/>
    <row r="187" ht="15.95" customHeight="1" x14ac:dyDescent="0.2"/>
    <row r="188" ht="15.95" customHeight="1" x14ac:dyDescent="0.2"/>
    <row r="189" ht="15.95" customHeight="1" x14ac:dyDescent="0.2"/>
    <row r="190" ht="15.95" customHeight="1" x14ac:dyDescent="0.2"/>
    <row r="191" ht="15.95" customHeight="1" x14ac:dyDescent="0.2"/>
    <row r="192" ht="15.95" customHeight="1" x14ac:dyDescent="0.2"/>
    <row r="193" ht="15.95" customHeight="1" x14ac:dyDescent="0.2"/>
    <row r="194" ht="15.95" customHeight="1" x14ac:dyDescent="0.2"/>
    <row r="195" ht="15.95" customHeight="1" x14ac:dyDescent="0.2"/>
    <row r="196" ht="15.95" customHeight="1" x14ac:dyDescent="0.2"/>
    <row r="197" ht="15.95" customHeight="1" x14ac:dyDescent="0.2"/>
    <row r="198" ht="15.95" customHeight="1" x14ac:dyDescent="0.2"/>
    <row r="199" ht="15.95" customHeight="1" x14ac:dyDescent="0.2"/>
    <row r="200" ht="15.95" customHeight="1" x14ac:dyDescent="0.2"/>
    <row r="201" ht="15.95" customHeight="1" x14ac:dyDescent="0.2"/>
    <row r="202" ht="15.95" customHeight="1" x14ac:dyDescent="0.2"/>
    <row r="203" ht="15.95" customHeight="1" x14ac:dyDescent="0.2"/>
    <row r="204" ht="15.95" customHeight="1" x14ac:dyDescent="0.2"/>
    <row r="205" ht="15.95" customHeight="1" x14ac:dyDescent="0.2"/>
    <row r="206" ht="15.95" customHeight="1" x14ac:dyDescent="0.2"/>
    <row r="207" ht="15.95" customHeight="1" x14ac:dyDescent="0.2"/>
    <row r="208" ht="15.95" customHeight="1" x14ac:dyDescent="0.2"/>
    <row r="209" ht="15.95" customHeight="1" x14ac:dyDescent="0.2"/>
    <row r="210" ht="15.95" customHeight="1" x14ac:dyDescent="0.2"/>
    <row r="211" ht="15.95" customHeight="1" x14ac:dyDescent="0.2"/>
    <row r="212" ht="15.95" customHeight="1" x14ac:dyDescent="0.2"/>
    <row r="213" ht="15.95" customHeight="1" x14ac:dyDescent="0.2"/>
    <row r="214" ht="15.95" customHeight="1" x14ac:dyDescent="0.2"/>
    <row r="215" ht="15.95" customHeight="1" x14ac:dyDescent="0.2"/>
    <row r="216" ht="15.95" customHeight="1" x14ac:dyDescent="0.2"/>
    <row r="217" ht="15.95" customHeight="1" x14ac:dyDescent="0.2"/>
    <row r="218" ht="15.95" customHeight="1" x14ac:dyDescent="0.2"/>
    <row r="219" ht="15.95" customHeight="1" x14ac:dyDescent="0.2"/>
    <row r="220" ht="15.95" customHeight="1" x14ac:dyDescent="0.2"/>
    <row r="221" ht="15.95" customHeight="1" x14ac:dyDescent="0.2"/>
    <row r="222" ht="15.95" customHeight="1" x14ac:dyDescent="0.2"/>
    <row r="223" ht="15.95" customHeight="1" x14ac:dyDescent="0.2"/>
    <row r="224" ht="15.95" customHeight="1" x14ac:dyDescent="0.2"/>
    <row r="225" ht="15.95" customHeight="1" x14ac:dyDescent="0.2"/>
    <row r="226" ht="15.95" customHeight="1" x14ac:dyDescent="0.2"/>
    <row r="227" ht="15.95" customHeight="1" x14ac:dyDescent="0.2"/>
    <row r="228" ht="15.95" customHeight="1" x14ac:dyDescent="0.2"/>
    <row r="229" ht="15.95" customHeight="1" x14ac:dyDescent="0.2"/>
    <row r="230" ht="15.95" customHeight="1" x14ac:dyDescent="0.2"/>
    <row r="231" ht="15.95" customHeight="1" x14ac:dyDescent="0.2"/>
    <row r="232" ht="15.95" customHeight="1" x14ac:dyDescent="0.2"/>
    <row r="233" ht="15.95" customHeight="1" x14ac:dyDescent="0.2"/>
    <row r="234" ht="15.95" customHeight="1" x14ac:dyDescent="0.2"/>
    <row r="235" ht="15.95" customHeight="1" x14ac:dyDescent="0.2"/>
    <row r="236" ht="15.95" customHeight="1" x14ac:dyDescent="0.2"/>
    <row r="237" ht="15.95" customHeight="1" x14ac:dyDescent="0.2"/>
    <row r="238" ht="15.95" customHeight="1" x14ac:dyDescent="0.2"/>
    <row r="239" ht="15.95" customHeight="1" x14ac:dyDescent="0.2"/>
    <row r="240" ht="15.95" customHeight="1" x14ac:dyDescent="0.2"/>
    <row r="241" ht="15.95" customHeight="1" x14ac:dyDescent="0.2"/>
    <row r="242" ht="15.95" customHeight="1" x14ac:dyDescent="0.2"/>
    <row r="243" ht="15.95" customHeight="1" x14ac:dyDescent="0.2"/>
    <row r="244" ht="15.95" customHeight="1" x14ac:dyDescent="0.2"/>
    <row r="245" ht="15.95" customHeight="1" x14ac:dyDescent="0.2"/>
    <row r="246" ht="15.95" customHeight="1" x14ac:dyDescent="0.2"/>
    <row r="247" ht="15.95" customHeight="1" x14ac:dyDescent="0.2"/>
    <row r="248" ht="15.95" customHeight="1" x14ac:dyDescent="0.2"/>
    <row r="249" ht="15.95" customHeight="1" x14ac:dyDescent="0.2"/>
    <row r="250" ht="15.95" customHeight="1" x14ac:dyDescent="0.2"/>
    <row r="251" ht="15.95" customHeight="1" x14ac:dyDescent="0.2"/>
    <row r="252" ht="15.95" customHeight="1" x14ac:dyDescent="0.2"/>
    <row r="253" ht="15.95" customHeight="1" x14ac:dyDescent="0.2"/>
    <row r="254" ht="15.95" customHeight="1" x14ac:dyDescent="0.2"/>
    <row r="255" ht="15.95" customHeight="1" x14ac:dyDescent="0.2"/>
    <row r="256" ht="15.95" customHeight="1" x14ac:dyDescent="0.2"/>
    <row r="257" ht="15.95" customHeight="1" x14ac:dyDescent="0.2"/>
    <row r="258" ht="15.95" customHeight="1" x14ac:dyDescent="0.2"/>
    <row r="259" ht="15.95" customHeight="1" x14ac:dyDescent="0.2"/>
    <row r="260" ht="15.95" customHeight="1" x14ac:dyDescent="0.2"/>
    <row r="261" ht="15.95" customHeight="1" x14ac:dyDescent="0.2"/>
    <row r="262" ht="15.95" customHeight="1" x14ac:dyDescent="0.2"/>
    <row r="263" ht="15.95" customHeight="1" x14ac:dyDescent="0.2"/>
    <row r="264" ht="15.95" customHeight="1" x14ac:dyDescent="0.2"/>
    <row r="265" ht="15.95" customHeight="1" x14ac:dyDescent="0.2"/>
    <row r="266" ht="15.95" customHeight="1" x14ac:dyDescent="0.2"/>
    <row r="267" ht="15.95" customHeight="1" x14ac:dyDescent="0.2"/>
    <row r="268" ht="15.95" customHeight="1" x14ac:dyDescent="0.2"/>
    <row r="269" ht="15.95" customHeight="1" x14ac:dyDescent="0.2"/>
    <row r="270" ht="15.95" customHeight="1" x14ac:dyDescent="0.2"/>
    <row r="1000" spans="1:16381"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c r="ET1000"/>
      <c r="EU1000"/>
      <c r="EV1000"/>
      <c r="EW1000"/>
      <c r="EX1000"/>
      <c r="EY1000"/>
      <c r="EZ1000"/>
      <c r="FA1000"/>
      <c r="FB1000"/>
      <c r="FC1000"/>
      <c r="FD1000"/>
      <c r="FE1000"/>
      <c r="FF1000"/>
      <c r="FG1000"/>
      <c r="FH1000"/>
      <c r="FI1000"/>
      <c r="FJ1000"/>
      <c r="FK1000"/>
      <c r="FL1000"/>
      <c r="FM1000"/>
      <c r="FN1000"/>
      <c r="FO1000"/>
      <c r="FP1000"/>
      <c r="FQ1000"/>
      <c r="FR1000"/>
      <c r="FS1000"/>
      <c r="FT1000"/>
      <c r="FU1000"/>
      <c r="FV1000"/>
      <c r="FW1000"/>
      <c r="FX1000"/>
      <c r="FY1000"/>
      <c r="FZ1000"/>
      <c r="GA1000"/>
      <c r="GB1000"/>
      <c r="GC1000"/>
      <c r="GD1000"/>
      <c r="GE1000"/>
      <c r="GF1000"/>
      <c r="GG1000"/>
      <c r="GH1000"/>
      <c r="GI1000"/>
      <c r="GJ1000"/>
      <c r="GK1000"/>
      <c r="GL1000"/>
      <c r="GM1000"/>
      <c r="GN1000"/>
      <c r="GO1000"/>
      <c r="GP1000"/>
      <c r="GQ1000"/>
      <c r="GR1000"/>
      <c r="GS1000"/>
      <c r="GT1000"/>
      <c r="GU1000"/>
      <c r="GV1000"/>
      <c r="GW1000"/>
      <c r="GX1000"/>
      <c r="GY1000"/>
      <c r="GZ1000"/>
      <c r="HA1000"/>
      <c r="HB1000"/>
      <c r="HC1000"/>
      <c r="HD1000"/>
      <c r="HE1000"/>
      <c r="HF1000"/>
      <c r="HG1000"/>
      <c r="HH1000"/>
      <c r="HI1000"/>
      <c r="HJ1000"/>
      <c r="HK1000"/>
      <c r="HL1000"/>
      <c r="HM1000"/>
      <c r="HN1000"/>
      <c r="HO1000"/>
      <c r="HP1000"/>
      <c r="HQ1000"/>
      <c r="HR1000"/>
      <c r="HS1000"/>
      <c r="HT1000"/>
      <c r="HU1000"/>
      <c r="HV1000"/>
      <c r="HW1000"/>
      <c r="HX1000"/>
      <c r="HY1000"/>
      <c r="HZ1000"/>
      <c r="IA1000"/>
      <c r="IB1000"/>
      <c r="IC1000"/>
      <c r="ID1000"/>
      <c r="IE1000"/>
      <c r="IF1000"/>
      <c r="IG1000"/>
      <c r="IH1000"/>
      <c r="II1000"/>
      <c r="IJ1000"/>
      <c r="IK1000"/>
      <c r="IL1000"/>
      <c r="IM1000"/>
      <c r="IN1000"/>
      <c r="IO1000"/>
      <c r="IP1000"/>
      <c r="IQ1000"/>
      <c r="IR1000"/>
      <c r="IS1000"/>
      <c r="IT1000"/>
      <c r="IU1000"/>
      <c r="IV1000"/>
      <c r="IW1000"/>
      <c r="IX1000"/>
      <c r="IY1000"/>
      <c r="IZ1000"/>
      <c r="JA1000"/>
      <c r="JB1000"/>
      <c r="JC1000"/>
      <c r="JD1000"/>
      <c r="JE1000"/>
      <c r="JF1000"/>
      <c r="JG1000"/>
      <c r="JH1000"/>
      <c r="JI1000"/>
      <c r="JJ1000"/>
      <c r="JK1000"/>
      <c r="JL1000"/>
      <c r="JM1000"/>
      <c r="JN1000"/>
      <c r="JO1000"/>
      <c r="JP1000"/>
      <c r="JQ1000"/>
      <c r="JR1000"/>
      <c r="JS1000"/>
      <c r="JT1000"/>
      <c r="JU1000"/>
      <c r="JV1000"/>
      <c r="JW1000"/>
      <c r="JX1000"/>
      <c r="JY1000"/>
      <c r="JZ1000"/>
      <c r="KA1000"/>
      <c r="KB1000"/>
      <c r="KC1000"/>
      <c r="KD1000"/>
      <c r="KE1000"/>
      <c r="KF1000"/>
      <c r="KG1000"/>
      <c r="KH1000"/>
      <c r="KI1000"/>
      <c r="KJ1000"/>
      <c r="KK1000"/>
      <c r="KL1000"/>
      <c r="KM1000"/>
      <c r="KN1000"/>
      <c r="KO1000"/>
      <c r="KP1000"/>
      <c r="KQ1000"/>
      <c r="KR1000"/>
      <c r="KS1000"/>
      <c r="KT1000"/>
      <c r="KU1000"/>
      <c r="KV1000"/>
      <c r="KW1000"/>
      <c r="KX1000"/>
      <c r="KY1000"/>
      <c r="KZ1000"/>
      <c r="LA1000"/>
      <c r="LB1000"/>
      <c r="LC1000"/>
      <c r="LD1000"/>
      <c r="LE1000"/>
      <c r="LF1000"/>
      <c r="LG1000"/>
      <c r="LH1000"/>
      <c r="LI1000"/>
      <c r="LJ1000"/>
      <c r="LK1000"/>
      <c r="LL1000"/>
      <c r="LM1000"/>
      <c r="LN1000"/>
      <c r="LO1000"/>
      <c r="LP1000"/>
      <c r="LQ1000"/>
      <c r="LR1000"/>
      <c r="LS1000"/>
      <c r="LT1000"/>
      <c r="LU1000"/>
      <c r="LV1000"/>
      <c r="LW1000"/>
      <c r="LX1000"/>
      <c r="LY1000"/>
      <c r="LZ1000"/>
      <c r="MA1000"/>
      <c r="MB1000"/>
      <c r="MC1000"/>
      <c r="MD1000"/>
      <c r="ME1000"/>
      <c r="MF1000"/>
      <c r="MG1000"/>
      <c r="MH1000"/>
      <c r="MI1000"/>
      <c r="MJ1000"/>
      <c r="MK1000"/>
      <c r="ML1000"/>
      <c r="MM1000"/>
      <c r="MN1000"/>
      <c r="MO1000"/>
      <c r="MP1000"/>
      <c r="MQ1000"/>
      <c r="MR1000"/>
      <c r="MS1000"/>
      <c r="MT1000"/>
      <c r="MU1000"/>
      <c r="MV1000"/>
      <c r="MW1000"/>
      <c r="MX1000"/>
      <c r="MY1000"/>
      <c r="MZ1000"/>
      <c r="NA1000"/>
      <c r="NB1000"/>
      <c r="NC1000"/>
      <c r="ND1000"/>
      <c r="NE1000"/>
      <c r="NF1000"/>
      <c r="NG1000"/>
      <c r="NH1000"/>
      <c r="NI1000"/>
      <c r="NJ1000"/>
      <c r="NK1000"/>
      <c r="NL1000"/>
      <c r="NM1000"/>
      <c r="NN1000"/>
      <c r="NO1000"/>
      <c r="NP1000"/>
      <c r="NQ1000"/>
      <c r="NR1000"/>
      <c r="NS1000"/>
      <c r="NT1000"/>
      <c r="NU1000"/>
      <c r="NV1000"/>
      <c r="NW1000"/>
      <c r="NX1000"/>
      <c r="NY1000"/>
      <c r="NZ1000"/>
      <c r="OA1000"/>
      <c r="OB1000"/>
      <c r="OC1000"/>
      <c r="OD1000"/>
      <c r="OE1000"/>
      <c r="OF1000"/>
      <c r="OG1000"/>
      <c r="OH1000"/>
      <c r="OI1000"/>
      <c r="OJ1000"/>
      <c r="OK1000"/>
      <c r="OL1000"/>
      <c r="OM1000"/>
      <c r="ON1000"/>
      <c r="OO1000"/>
      <c r="OP1000"/>
      <c r="OQ1000"/>
      <c r="OR1000"/>
      <c r="OS1000"/>
      <c r="OT1000"/>
      <c r="OU1000"/>
      <c r="OV1000"/>
      <c r="OW1000"/>
      <c r="OX1000"/>
      <c r="OY1000"/>
      <c r="OZ1000"/>
      <c r="PA1000"/>
      <c r="PB1000"/>
      <c r="PC1000"/>
      <c r="PD1000"/>
      <c r="PE1000"/>
      <c r="PF1000"/>
      <c r="PG1000"/>
      <c r="PH1000"/>
      <c r="PI1000"/>
      <c r="PJ1000"/>
      <c r="PK1000"/>
      <c r="PL1000"/>
      <c r="PM1000"/>
      <c r="PN1000"/>
      <c r="PO1000"/>
      <c r="PP1000"/>
      <c r="PQ1000"/>
      <c r="PR1000"/>
      <c r="PS1000"/>
      <c r="PT1000"/>
      <c r="PU1000"/>
      <c r="PV1000"/>
      <c r="PW1000"/>
      <c r="PX1000"/>
      <c r="PY1000"/>
      <c r="PZ1000"/>
      <c r="QA1000"/>
      <c r="QB1000"/>
      <c r="QC1000"/>
      <c r="QD1000"/>
      <c r="QE1000"/>
      <c r="QF1000"/>
      <c r="QG1000"/>
      <c r="QH1000"/>
      <c r="QI1000"/>
      <c r="QJ1000"/>
      <c r="QK1000"/>
      <c r="QL1000"/>
      <c r="QM1000"/>
      <c r="QN1000"/>
      <c r="QO1000"/>
      <c r="QP1000"/>
      <c r="QQ1000"/>
      <c r="QR1000"/>
      <c r="QS1000"/>
      <c r="QT1000"/>
      <c r="QU1000"/>
      <c r="QV1000"/>
      <c r="QW1000"/>
      <c r="QX1000"/>
      <c r="QY1000"/>
      <c r="QZ1000"/>
      <c r="RA1000"/>
      <c r="RB1000"/>
      <c r="RC1000"/>
      <c r="RD1000"/>
      <c r="RE1000"/>
      <c r="RF1000"/>
      <c r="RG1000"/>
      <c r="RH1000"/>
      <c r="RI1000"/>
      <c r="RJ1000"/>
      <c r="RK1000"/>
      <c r="RL1000"/>
      <c r="RM1000"/>
      <c r="RN1000"/>
      <c r="RO1000"/>
      <c r="RP1000"/>
      <c r="RQ1000"/>
      <c r="RR1000"/>
      <c r="RS1000"/>
      <c r="RT1000"/>
      <c r="RU1000"/>
      <c r="RV1000"/>
      <c r="RW1000"/>
      <c r="RX1000"/>
      <c r="RY1000"/>
      <c r="RZ1000"/>
      <c r="SA1000"/>
      <c r="SB1000"/>
      <c r="SC1000"/>
      <c r="SD1000"/>
      <c r="SE1000"/>
      <c r="SF1000"/>
      <c r="SG1000"/>
      <c r="SH1000"/>
      <c r="SI1000"/>
      <c r="SJ1000"/>
      <c r="SK1000"/>
      <c r="SL1000"/>
      <c r="SM1000"/>
      <c r="SN1000"/>
      <c r="SO1000"/>
      <c r="SP1000"/>
      <c r="SQ1000"/>
      <c r="SR1000"/>
      <c r="SS1000"/>
      <c r="ST1000"/>
      <c r="SU1000"/>
      <c r="SV1000"/>
      <c r="SW1000"/>
      <c r="SX1000"/>
      <c r="SY1000"/>
      <c r="SZ1000"/>
      <c r="TA1000"/>
      <c r="TB1000"/>
      <c r="TC1000"/>
      <c r="TD1000"/>
      <c r="TE1000"/>
      <c r="TF1000"/>
      <c r="TG1000"/>
      <c r="TH1000"/>
      <c r="TI1000"/>
      <c r="TJ1000"/>
      <c r="TK1000"/>
      <c r="TL1000"/>
      <c r="TM1000"/>
      <c r="TN1000"/>
      <c r="TO1000"/>
      <c r="TP1000"/>
      <c r="TQ1000"/>
      <c r="TR1000"/>
      <c r="TS1000"/>
      <c r="TT1000"/>
      <c r="TU1000"/>
      <c r="TV1000"/>
      <c r="TW1000"/>
      <c r="TX1000"/>
      <c r="TY1000"/>
      <c r="TZ1000"/>
      <c r="UA1000"/>
      <c r="UB1000"/>
      <c r="UC1000"/>
      <c r="UD1000"/>
      <c r="UE1000"/>
      <c r="UF1000"/>
      <c r="UG1000"/>
      <c r="UH1000"/>
      <c r="UI1000"/>
      <c r="UJ1000"/>
      <c r="UK1000"/>
      <c r="UL1000"/>
      <c r="UM1000"/>
      <c r="UN1000"/>
      <c r="UO1000"/>
      <c r="UP1000"/>
      <c r="UQ1000"/>
      <c r="UR1000"/>
      <c r="US1000"/>
      <c r="UT1000"/>
      <c r="UU1000"/>
      <c r="UV1000"/>
      <c r="UW1000"/>
      <c r="UX1000"/>
      <c r="UY1000"/>
      <c r="UZ1000"/>
      <c r="VA1000"/>
      <c r="VB1000"/>
      <c r="VC1000"/>
      <c r="VD1000"/>
      <c r="VE1000"/>
      <c r="VF1000"/>
      <c r="VG1000"/>
      <c r="VH1000"/>
      <c r="VI1000"/>
      <c r="VJ1000"/>
      <c r="VK1000"/>
      <c r="VL1000"/>
      <c r="VM1000"/>
      <c r="VN1000"/>
      <c r="VO1000"/>
      <c r="VP1000"/>
      <c r="VQ1000"/>
      <c r="VR1000"/>
      <c r="VS1000"/>
      <c r="VT1000"/>
      <c r="VU1000"/>
      <c r="VV1000"/>
      <c r="VW1000"/>
      <c r="VX1000"/>
      <c r="VY1000"/>
      <c r="VZ1000"/>
      <c r="WA1000"/>
      <c r="WB1000"/>
      <c r="WC1000"/>
      <c r="WD1000"/>
      <c r="WE1000"/>
      <c r="WF1000"/>
      <c r="WG1000"/>
      <c r="WH1000"/>
      <c r="WI1000"/>
      <c r="WJ1000"/>
      <c r="WK1000"/>
      <c r="WL1000"/>
      <c r="WM1000"/>
      <c r="WN1000"/>
      <c r="WO1000"/>
      <c r="WP1000"/>
      <c r="WQ1000"/>
      <c r="WR1000"/>
      <c r="WS1000"/>
      <c r="WT1000"/>
      <c r="WU1000"/>
      <c r="WV1000"/>
      <c r="WW1000"/>
      <c r="WX1000"/>
      <c r="WY1000"/>
      <c r="WZ1000"/>
      <c r="XA1000"/>
      <c r="XB1000"/>
      <c r="XC1000"/>
      <c r="XD1000"/>
      <c r="XE1000"/>
      <c r="XF1000"/>
      <c r="XG1000"/>
      <c r="XH1000"/>
      <c r="XI1000"/>
      <c r="XJ1000"/>
      <c r="XK1000"/>
      <c r="XL1000"/>
      <c r="XM1000"/>
      <c r="XN1000"/>
      <c r="XO1000"/>
      <c r="XP1000"/>
      <c r="XQ1000"/>
      <c r="XR1000"/>
      <c r="XS1000"/>
      <c r="XT1000"/>
      <c r="XU1000"/>
      <c r="XV1000"/>
      <c r="XW1000"/>
      <c r="XX1000"/>
      <c r="XY1000"/>
      <c r="XZ1000"/>
      <c r="YA1000"/>
      <c r="YB1000"/>
      <c r="YC1000"/>
      <c r="YD1000"/>
      <c r="YE1000"/>
      <c r="YF1000"/>
      <c r="YG1000"/>
      <c r="YH1000"/>
      <c r="YI1000"/>
      <c r="YJ1000"/>
      <c r="YK1000"/>
      <c r="YL1000"/>
      <c r="YM1000"/>
      <c r="YN1000"/>
      <c r="YO1000"/>
      <c r="YP1000"/>
      <c r="YQ1000"/>
      <c r="YR1000"/>
      <c r="YS1000"/>
      <c r="YT1000"/>
      <c r="YU1000"/>
      <c r="YV1000"/>
      <c r="YW1000"/>
      <c r="YX1000"/>
      <c r="YY1000"/>
      <c r="YZ1000"/>
      <c r="ZA1000"/>
      <c r="ZB1000"/>
      <c r="ZC1000"/>
      <c r="ZD1000"/>
      <c r="ZE1000"/>
      <c r="ZF1000"/>
      <c r="ZG1000"/>
      <c r="ZH1000"/>
      <c r="ZI1000"/>
      <c r="ZJ1000"/>
      <c r="ZK1000"/>
      <c r="ZL1000"/>
      <c r="ZM1000"/>
      <c r="ZN1000"/>
      <c r="ZO1000"/>
      <c r="ZP1000"/>
      <c r="ZQ1000"/>
      <c r="ZR1000"/>
      <c r="ZS1000"/>
      <c r="ZT1000"/>
      <c r="ZU1000"/>
      <c r="ZV1000"/>
      <c r="ZW1000"/>
      <c r="ZX1000"/>
      <c r="ZY1000"/>
      <c r="ZZ1000"/>
      <c r="AAA1000"/>
      <c r="AAB1000"/>
      <c r="AAC1000"/>
      <c r="AAD1000"/>
      <c r="AAE1000"/>
      <c r="AAF1000"/>
      <c r="AAG1000"/>
      <c r="AAH1000"/>
      <c r="AAI1000"/>
      <c r="AAJ1000"/>
      <c r="AAK1000"/>
      <c r="AAL1000"/>
      <c r="AAM1000"/>
      <c r="AAN1000"/>
      <c r="AAO1000"/>
      <c r="AAP1000"/>
      <c r="AAQ1000"/>
      <c r="AAR1000"/>
      <c r="AAS1000"/>
      <c r="AAT1000"/>
      <c r="AAU1000"/>
      <c r="AAV1000"/>
      <c r="AAW1000"/>
      <c r="AAX1000"/>
      <c r="AAY1000"/>
      <c r="AAZ1000"/>
      <c r="ABA1000"/>
      <c r="ABB1000"/>
      <c r="ABC1000"/>
      <c r="ABD1000"/>
      <c r="ABE1000"/>
      <c r="ABF1000"/>
      <c r="ABG1000"/>
      <c r="ABH1000"/>
      <c r="ABI1000"/>
      <c r="ABJ1000"/>
      <c r="ABK1000"/>
      <c r="ABL1000"/>
      <c r="ABM1000"/>
      <c r="ABN1000"/>
      <c r="ABO1000"/>
      <c r="ABP1000"/>
      <c r="ABQ1000"/>
      <c r="ABR1000"/>
      <c r="ABS1000"/>
      <c r="ABT1000"/>
      <c r="ABU1000"/>
      <c r="ABV1000"/>
      <c r="ABW1000"/>
      <c r="ABX1000"/>
      <c r="ABY1000"/>
      <c r="ABZ1000"/>
      <c r="ACA1000"/>
      <c r="ACB1000"/>
      <c r="ACC1000"/>
      <c r="ACD1000"/>
      <c r="ACE1000"/>
      <c r="ACF1000"/>
      <c r="ACG1000"/>
      <c r="ACH1000"/>
      <c r="ACI1000"/>
      <c r="ACJ1000"/>
      <c r="ACK1000"/>
      <c r="ACL1000"/>
      <c r="ACM1000"/>
      <c r="ACN1000"/>
      <c r="ACO1000"/>
      <c r="ACP1000"/>
      <c r="ACQ1000"/>
      <c r="ACR1000"/>
      <c r="ACS1000"/>
      <c r="ACT1000"/>
      <c r="ACU1000"/>
      <c r="ACV1000"/>
      <c r="ACW1000"/>
      <c r="ACX1000"/>
      <c r="ACY1000"/>
      <c r="ACZ1000"/>
      <c r="ADA1000"/>
      <c r="ADB1000"/>
      <c r="ADC1000"/>
      <c r="ADD1000"/>
      <c r="ADE1000"/>
      <c r="ADF1000"/>
      <c r="ADG1000"/>
      <c r="ADH1000"/>
      <c r="ADI1000"/>
      <c r="ADJ1000"/>
      <c r="ADK1000"/>
      <c r="ADL1000"/>
      <c r="ADM1000"/>
      <c r="ADN1000"/>
      <c r="ADO1000"/>
      <c r="ADP1000"/>
      <c r="ADQ1000"/>
      <c r="ADR1000"/>
      <c r="ADS1000"/>
      <c r="ADT1000"/>
      <c r="ADU1000"/>
      <c r="ADV1000"/>
      <c r="ADW1000"/>
      <c r="ADX1000"/>
      <c r="ADY1000"/>
      <c r="ADZ1000"/>
      <c r="AEA1000"/>
      <c r="AEB1000"/>
      <c r="AEC1000"/>
      <c r="AED1000"/>
      <c r="AEE1000"/>
      <c r="AEF1000"/>
      <c r="AEG1000"/>
      <c r="AEH1000"/>
      <c r="AEI1000"/>
      <c r="AEJ1000"/>
      <c r="AEK1000"/>
      <c r="AEL1000"/>
      <c r="AEM1000"/>
      <c r="AEN1000"/>
      <c r="AEO1000"/>
      <c r="AEP1000"/>
      <c r="AEQ1000"/>
      <c r="AER1000"/>
      <c r="AES1000"/>
      <c r="AET1000"/>
      <c r="AEU1000"/>
      <c r="AEV1000"/>
      <c r="AEW1000"/>
      <c r="AEX1000"/>
      <c r="AEY1000"/>
      <c r="AEZ1000"/>
      <c r="AFA1000"/>
      <c r="AFB1000"/>
      <c r="AFC1000"/>
      <c r="AFD1000"/>
      <c r="AFE1000"/>
      <c r="AFF1000"/>
      <c r="AFG1000"/>
      <c r="AFH1000"/>
      <c r="AFI1000"/>
      <c r="AFJ1000"/>
      <c r="AFK1000"/>
      <c r="AFL1000"/>
      <c r="AFM1000"/>
      <c r="AFN1000"/>
      <c r="AFO1000"/>
      <c r="AFP1000"/>
      <c r="AFQ1000"/>
      <c r="AFR1000"/>
      <c r="AFS1000"/>
      <c r="AFT1000"/>
      <c r="AFU1000"/>
      <c r="AFV1000"/>
      <c r="AFW1000"/>
      <c r="AFX1000"/>
      <c r="AFY1000"/>
      <c r="AFZ1000"/>
      <c r="AGA1000"/>
      <c r="AGB1000"/>
      <c r="AGC1000"/>
      <c r="AGD1000"/>
      <c r="AGE1000"/>
      <c r="AGF1000"/>
      <c r="AGG1000"/>
      <c r="AGH1000"/>
      <c r="AGI1000"/>
      <c r="AGJ1000"/>
      <c r="AGK1000"/>
      <c r="AGL1000"/>
      <c r="AGM1000"/>
      <c r="AGN1000"/>
      <c r="AGO1000"/>
      <c r="AGP1000"/>
      <c r="AGQ1000"/>
      <c r="AGR1000"/>
      <c r="AGS1000"/>
      <c r="AGT1000"/>
      <c r="AGU1000"/>
      <c r="AGV1000"/>
      <c r="AGW1000"/>
      <c r="AGX1000"/>
      <c r="AGY1000"/>
      <c r="AGZ1000"/>
      <c r="AHA1000"/>
      <c r="AHB1000"/>
      <c r="AHC1000"/>
      <c r="AHD1000"/>
      <c r="AHE1000"/>
      <c r="AHF1000"/>
      <c r="AHG1000"/>
      <c r="AHH1000"/>
      <c r="AHI1000"/>
      <c r="AHJ1000"/>
      <c r="AHK1000"/>
      <c r="AHL1000"/>
      <c r="AHM1000"/>
      <c r="AHN1000"/>
      <c r="AHO1000"/>
      <c r="AHP1000"/>
      <c r="AHQ1000"/>
      <c r="AHR1000"/>
      <c r="AHS1000"/>
      <c r="AHT1000"/>
      <c r="AHU1000"/>
      <c r="AHV1000"/>
      <c r="AHW1000"/>
      <c r="AHX1000"/>
      <c r="AHY1000"/>
      <c r="AHZ1000"/>
      <c r="AIA1000"/>
      <c r="AIB1000"/>
      <c r="AIC1000"/>
      <c r="AID1000"/>
      <c r="AIE1000"/>
      <c r="AIF1000"/>
      <c r="AIG1000"/>
      <c r="AIH1000"/>
      <c r="AII1000"/>
      <c r="AIJ1000"/>
      <c r="AIK1000"/>
      <c r="AIL1000"/>
      <c r="AIM1000"/>
      <c r="AIN1000"/>
      <c r="AIO1000"/>
      <c r="AIP1000"/>
      <c r="AIQ1000"/>
      <c r="AIR1000"/>
      <c r="AIS1000"/>
      <c r="AIT1000"/>
      <c r="AIU1000"/>
      <c r="AIV1000"/>
      <c r="AIW1000"/>
      <c r="AIX1000"/>
      <c r="AIY1000"/>
      <c r="AIZ1000"/>
      <c r="AJA1000"/>
      <c r="AJB1000"/>
      <c r="AJC1000"/>
      <c r="AJD1000"/>
      <c r="AJE1000"/>
      <c r="AJF1000"/>
      <c r="AJG1000"/>
      <c r="AJH1000"/>
      <c r="AJI1000"/>
      <c r="AJJ1000"/>
      <c r="AJK1000"/>
      <c r="AJL1000"/>
      <c r="AJM1000"/>
      <c r="AJN1000"/>
      <c r="AJO1000"/>
      <c r="AJP1000"/>
      <c r="AJQ1000"/>
      <c r="AJR1000"/>
      <c r="AJS1000"/>
      <c r="AJT1000"/>
      <c r="AJU1000"/>
      <c r="AJV1000"/>
      <c r="AJW1000"/>
      <c r="AJX1000"/>
      <c r="AJY1000"/>
      <c r="AJZ1000"/>
      <c r="AKA1000"/>
      <c r="AKB1000"/>
      <c r="AKC1000"/>
      <c r="AKD1000"/>
      <c r="AKE1000"/>
      <c r="AKF1000"/>
      <c r="AKG1000"/>
      <c r="AKH1000"/>
      <c r="AKI1000"/>
      <c r="AKJ1000"/>
      <c r="AKK1000"/>
      <c r="AKL1000"/>
      <c r="AKM1000"/>
      <c r="AKN1000"/>
      <c r="AKO1000"/>
      <c r="AKP1000"/>
      <c r="AKQ1000"/>
      <c r="AKR1000"/>
      <c r="AKS1000"/>
      <c r="AKT1000"/>
      <c r="AKU1000"/>
      <c r="AKV1000"/>
      <c r="AKW1000"/>
      <c r="AKX1000"/>
      <c r="AKY1000"/>
      <c r="AKZ1000"/>
      <c r="ALA1000"/>
      <c r="ALB1000"/>
      <c r="ALC1000"/>
      <c r="ALD1000"/>
      <c r="ALE1000"/>
      <c r="ALF1000"/>
      <c r="ALG1000"/>
      <c r="ALH1000"/>
      <c r="ALI1000"/>
      <c r="ALJ1000"/>
      <c r="ALK1000"/>
      <c r="ALL1000"/>
      <c r="ALM1000"/>
      <c r="ALN1000"/>
      <c r="ALO1000"/>
      <c r="ALP1000"/>
      <c r="ALQ1000"/>
      <c r="ALR1000"/>
      <c r="ALS1000"/>
      <c r="ALT1000"/>
      <c r="ALU1000"/>
      <c r="ALV1000"/>
      <c r="ALW1000"/>
      <c r="ALX1000"/>
      <c r="ALY1000"/>
      <c r="ALZ1000"/>
      <c r="AMA1000"/>
      <c r="AMB1000"/>
      <c r="AMC1000"/>
      <c r="AMD1000"/>
      <c r="AME1000"/>
      <c r="AMF1000"/>
      <c r="AMG1000"/>
      <c r="AMH1000"/>
      <c r="AMI1000"/>
      <c r="AMJ1000"/>
      <c r="AMK1000"/>
      <c r="AML1000"/>
      <c r="AMM1000"/>
      <c r="AMN1000"/>
      <c r="AMO1000"/>
      <c r="AMP1000"/>
      <c r="AMQ1000"/>
      <c r="AMR1000"/>
      <c r="AMS1000"/>
      <c r="AMT1000"/>
      <c r="AMU1000"/>
      <c r="AMV1000"/>
      <c r="AMW1000"/>
      <c r="AMX1000"/>
      <c r="AMY1000"/>
      <c r="AMZ1000"/>
      <c r="ANA1000"/>
      <c r="ANB1000"/>
      <c r="ANC1000"/>
      <c r="AND1000"/>
      <c r="ANE1000"/>
      <c r="ANF1000"/>
      <c r="ANG1000"/>
      <c r="ANH1000"/>
      <c r="ANI1000"/>
      <c r="ANJ1000"/>
      <c r="ANK1000"/>
      <c r="ANL1000"/>
      <c r="ANM1000"/>
      <c r="ANN1000"/>
      <c r="ANO1000"/>
      <c r="ANP1000"/>
      <c r="ANQ1000"/>
      <c r="ANR1000"/>
      <c r="ANS1000"/>
      <c r="ANT1000"/>
      <c r="ANU1000"/>
      <c r="ANV1000"/>
      <c r="ANW1000"/>
      <c r="ANX1000"/>
      <c r="ANY1000"/>
      <c r="ANZ1000"/>
      <c r="AOA1000"/>
      <c r="AOB1000"/>
      <c r="AOC1000"/>
      <c r="AOD1000"/>
      <c r="AOE1000"/>
      <c r="AOF1000"/>
      <c r="AOG1000"/>
      <c r="AOH1000"/>
      <c r="AOI1000"/>
      <c r="AOJ1000"/>
      <c r="AOK1000"/>
      <c r="AOL1000"/>
      <c r="AOM1000"/>
      <c r="AON1000"/>
      <c r="AOO1000"/>
      <c r="AOP1000"/>
      <c r="AOQ1000"/>
      <c r="AOR1000"/>
      <c r="AOS1000"/>
      <c r="AOT1000"/>
      <c r="AOU1000"/>
      <c r="AOV1000"/>
      <c r="AOW1000"/>
      <c r="AOX1000"/>
      <c r="AOY1000"/>
      <c r="AOZ1000"/>
      <c r="APA1000"/>
      <c r="APB1000"/>
      <c r="APC1000"/>
      <c r="APD1000"/>
      <c r="APE1000"/>
      <c r="APF1000"/>
      <c r="APG1000"/>
      <c r="APH1000"/>
      <c r="API1000"/>
      <c r="APJ1000"/>
      <c r="APK1000"/>
      <c r="APL1000"/>
      <c r="APM1000"/>
      <c r="APN1000"/>
      <c r="APO1000"/>
      <c r="APP1000"/>
      <c r="APQ1000"/>
      <c r="APR1000"/>
      <c r="APS1000"/>
      <c r="APT1000"/>
      <c r="APU1000"/>
      <c r="APV1000"/>
      <c r="APW1000"/>
      <c r="APX1000"/>
      <c r="APY1000"/>
      <c r="APZ1000"/>
      <c r="AQA1000"/>
      <c r="AQB1000"/>
      <c r="AQC1000"/>
      <c r="AQD1000"/>
      <c r="AQE1000"/>
      <c r="AQF1000"/>
      <c r="AQG1000"/>
      <c r="AQH1000"/>
      <c r="AQI1000"/>
      <c r="AQJ1000"/>
      <c r="AQK1000"/>
      <c r="AQL1000"/>
      <c r="AQM1000"/>
      <c r="AQN1000"/>
      <c r="AQO1000"/>
      <c r="AQP1000"/>
      <c r="AQQ1000"/>
      <c r="AQR1000"/>
      <c r="AQS1000"/>
      <c r="AQT1000"/>
      <c r="AQU1000"/>
      <c r="AQV1000"/>
      <c r="AQW1000"/>
      <c r="AQX1000"/>
      <c r="AQY1000"/>
      <c r="AQZ1000"/>
      <c r="ARA1000"/>
      <c r="ARB1000"/>
      <c r="ARC1000"/>
      <c r="ARD1000"/>
      <c r="ARE1000"/>
      <c r="ARF1000"/>
      <c r="ARG1000"/>
      <c r="ARH1000"/>
      <c r="ARI1000"/>
      <c r="ARJ1000"/>
      <c r="ARK1000"/>
      <c r="ARL1000"/>
      <c r="ARM1000"/>
      <c r="ARN1000"/>
      <c r="ARO1000"/>
      <c r="ARP1000"/>
      <c r="ARQ1000"/>
      <c r="ARR1000"/>
      <c r="ARS1000"/>
      <c r="ART1000"/>
      <c r="ARU1000"/>
      <c r="ARV1000"/>
      <c r="ARW1000"/>
      <c r="ARX1000"/>
      <c r="ARY1000"/>
      <c r="ARZ1000"/>
      <c r="ASA1000"/>
      <c r="ASB1000"/>
      <c r="ASC1000"/>
      <c r="ASD1000"/>
      <c r="ASE1000"/>
      <c r="ASF1000"/>
      <c r="ASG1000"/>
      <c r="ASH1000"/>
      <c r="ASI1000"/>
      <c r="ASJ1000"/>
      <c r="ASK1000"/>
      <c r="ASL1000"/>
      <c r="ASM1000"/>
      <c r="ASN1000"/>
      <c r="ASO1000"/>
      <c r="ASP1000"/>
      <c r="ASQ1000"/>
      <c r="ASR1000"/>
      <c r="ASS1000"/>
      <c r="AST1000"/>
      <c r="ASU1000"/>
      <c r="ASV1000"/>
      <c r="ASW1000"/>
      <c r="ASX1000"/>
      <c r="ASY1000"/>
      <c r="ASZ1000"/>
      <c r="ATA1000"/>
      <c r="ATB1000"/>
      <c r="ATC1000"/>
      <c r="ATD1000"/>
      <c r="ATE1000"/>
      <c r="ATF1000"/>
      <c r="ATG1000"/>
      <c r="ATH1000"/>
      <c r="ATI1000"/>
      <c r="ATJ1000"/>
      <c r="ATK1000"/>
      <c r="ATL1000"/>
      <c r="ATM1000"/>
      <c r="ATN1000"/>
      <c r="ATO1000"/>
      <c r="ATP1000"/>
      <c r="ATQ1000"/>
      <c r="ATR1000"/>
      <c r="ATS1000"/>
      <c r="ATT1000"/>
      <c r="ATU1000"/>
      <c r="ATV1000"/>
      <c r="ATW1000"/>
      <c r="ATX1000"/>
      <c r="ATY1000"/>
      <c r="ATZ1000"/>
      <c r="AUA1000"/>
      <c r="AUB1000"/>
      <c r="AUC1000"/>
      <c r="AUD1000"/>
      <c r="AUE1000"/>
      <c r="AUF1000"/>
      <c r="AUG1000"/>
      <c r="AUH1000"/>
      <c r="AUI1000"/>
      <c r="AUJ1000"/>
      <c r="AUK1000"/>
      <c r="AUL1000"/>
      <c r="AUM1000"/>
      <c r="AUN1000"/>
      <c r="AUO1000"/>
      <c r="AUP1000"/>
      <c r="AUQ1000"/>
      <c r="AUR1000"/>
      <c r="AUS1000"/>
      <c r="AUT1000"/>
      <c r="AUU1000"/>
      <c r="AUV1000"/>
      <c r="AUW1000"/>
      <c r="AUX1000"/>
      <c r="AUY1000"/>
      <c r="AUZ1000"/>
      <c r="AVA1000"/>
      <c r="AVB1000"/>
      <c r="AVC1000"/>
      <c r="AVD1000"/>
      <c r="AVE1000"/>
      <c r="AVF1000"/>
      <c r="AVG1000"/>
      <c r="AVH1000"/>
      <c r="AVI1000"/>
      <c r="AVJ1000"/>
      <c r="AVK1000"/>
      <c r="AVL1000"/>
      <c r="AVM1000"/>
      <c r="AVN1000"/>
      <c r="AVO1000"/>
      <c r="AVP1000"/>
      <c r="AVQ1000"/>
      <c r="AVR1000"/>
      <c r="AVS1000"/>
      <c r="AVT1000"/>
      <c r="AVU1000"/>
      <c r="AVV1000"/>
      <c r="AVW1000"/>
      <c r="AVX1000"/>
      <c r="AVY1000"/>
      <c r="AVZ1000"/>
      <c r="AWA1000"/>
      <c r="AWB1000"/>
      <c r="AWC1000"/>
      <c r="AWD1000"/>
      <c r="AWE1000"/>
      <c r="AWF1000"/>
      <c r="AWG1000"/>
      <c r="AWH1000"/>
      <c r="AWI1000"/>
      <c r="AWJ1000"/>
      <c r="AWK1000"/>
      <c r="AWL1000"/>
      <c r="AWM1000"/>
      <c r="AWN1000"/>
      <c r="AWO1000"/>
      <c r="AWP1000"/>
      <c r="AWQ1000"/>
      <c r="AWR1000"/>
      <c r="AWS1000"/>
      <c r="AWT1000"/>
      <c r="AWU1000"/>
      <c r="AWV1000"/>
      <c r="AWW1000"/>
      <c r="AWX1000"/>
      <c r="AWY1000"/>
      <c r="AWZ1000"/>
      <c r="AXA1000"/>
      <c r="AXB1000"/>
      <c r="AXC1000"/>
      <c r="AXD1000"/>
      <c r="AXE1000"/>
      <c r="AXF1000"/>
      <c r="AXG1000"/>
      <c r="AXH1000"/>
      <c r="AXI1000"/>
      <c r="AXJ1000"/>
      <c r="AXK1000"/>
      <c r="AXL1000"/>
      <c r="AXM1000"/>
      <c r="AXN1000"/>
      <c r="AXO1000"/>
      <c r="AXP1000"/>
      <c r="AXQ1000"/>
      <c r="AXR1000"/>
      <c r="AXS1000"/>
      <c r="AXT1000"/>
      <c r="AXU1000"/>
      <c r="AXV1000"/>
      <c r="AXW1000"/>
      <c r="AXX1000"/>
      <c r="AXY1000"/>
      <c r="AXZ1000"/>
      <c r="AYA1000"/>
      <c r="AYB1000"/>
      <c r="AYC1000"/>
      <c r="AYD1000"/>
      <c r="AYE1000"/>
      <c r="AYF1000"/>
      <c r="AYG1000"/>
      <c r="AYH1000"/>
      <c r="AYI1000"/>
      <c r="AYJ1000"/>
      <c r="AYK1000"/>
      <c r="AYL1000"/>
      <c r="AYM1000"/>
      <c r="AYN1000"/>
      <c r="AYO1000"/>
      <c r="AYP1000"/>
      <c r="AYQ1000"/>
      <c r="AYR1000"/>
      <c r="AYS1000"/>
      <c r="AYT1000"/>
      <c r="AYU1000"/>
      <c r="AYV1000"/>
      <c r="AYW1000"/>
      <c r="AYX1000"/>
      <c r="AYY1000"/>
      <c r="AYZ1000"/>
      <c r="AZA1000"/>
      <c r="AZB1000"/>
      <c r="AZC1000"/>
      <c r="AZD1000"/>
      <c r="AZE1000"/>
      <c r="AZF1000"/>
      <c r="AZG1000"/>
      <c r="AZH1000"/>
      <c r="AZI1000"/>
      <c r="AZJ1000"/>
      <c r="AZK1000"/>
      <c r="AZL1000"/>
      <c r="AZM1000"/>
      <c r="AZN1000"/>
      <c r="AZO1000"/>
      <c r="AZP1000"/>
      <c r="AZQ1000"/>
      <c r="AZR1000"/>
      <c r="AZS1000"/>
      <c r="AZT1000"/>
      <c r="AZU1000"/>
      <c r="AZV1000"/>
      <c r="AZW1000"/>
      <c r="AZX1000"/>
      <c r="AZY1000"/>
      <c r="AZZ1000"/>
      <c r="BAA1000"/>
      <c r="BAB1000"/>
      <c r="BAC1000"/>
      <c r="BAD1000"/>
      <c r="BAE1000"/>
      <c r="BAF1000"/>
      <c r="BAG1000"/>
      <c r="BAH1000"/>
      <c r="BAI1000"/>
      <c r="BAJ1000"/>
      <c r="BAK1000"/>
      <c r="BAL1000"/>
      <c r="BAM1000"/>
      <c r="BAN1000"/>
      <c r="BAO1000"/>
      <c r="BAP1000"/>
      <c r="BAQ1000"/>
      <c r="BAR1000"/>
      <c r="BAS1000"/>
      <c r="BAT1000"/>
      <c r="BAU1000"/>
      <c r="BAV1000"/>
      <c r="BAW1000"/>
      <c r="BAX1000"/>
      <c r="BAY1000"/>
      <c r="BAZ1000"/>
      <c r="BBA1000"/>
      <c r="BBB1000"/>
      <c r="BBC1000"/>
      <c r="BBD1000"/>
      <c r="BBE1000"/>
      <c r="BBF1000"/>
      <c r="BBG1000"/>
      <c r="BBH1000"/>
      <c r="BBI1000"/>
      <c r="BBJ1000"/>
      <c r="BBK1000"/>
      <c r="BBL1000"/>
      <c r="BBM1000"/>
      <c r="BBN1000"/>
      <c r="BBO1000"/>
      <c r="BBP1000"/>
      <c r="BBQ1000"/>
      <c r="BBR1000"/>
      <c r="BBS1000"/>
      <c r="BBT1000"/>
      <c r="BBU1000"/>
      <c r="BBV1000"/>
      <c r="BBW1000"/>
      <c r="BBX1000"/>
      <c r="BBY1000"/>
      <c r="BBZ1000"/>
      <c r="BCA1000"/>
      <c r="BCB1000"/>
      <c r="BCC1000"/>
      <c r="BCD1000"/>
      <c r="BCE1000"/>
      <c r="BCF1000"/>
      <c r="BCG1000"/>
      <c r="BCH1000"/>
      <c r="BCI1000"/>
      <c r="BCJ1000"/>
      <c r="BCK1000"/>
      <c r="BCL1000"/>
      <c r="BCM1000"/>
      <c r="BCN1000"/>
      <c r="BCO1000"/>
      <c r="BCP1000"/>
      <c r="BCQ1000"/>
      <c r="BCR1000"/>
      <c r="BCS1000"/>
      <c r="BCT1000"/>
      <c r="BCU1000"/>
      <c r="BCV1000"/>
      <c r="BCW1000"/>
      <c r="BCX1000"/>
      <c r="BCY1000"/>
      <c r="BCZ1000"/>
      <c r="BDA1000"/>
      <c r="BDB1000"/>
      <c r="BDC1000"/>
      <c r="BDD1000"/>
      <c r="BDE1000"/>
      <c r="BDF1000"/>
      <c r="BDG1000"/>
      <c r="BDH1000"/>
      <c r="BDI1000"/>
      <c r="BDJ1000"/>
      <c r="BDK1000"/>
      <c r="BDL1000"/>
      <c r="BDM1000"/>
      <c r="BDN1000"/>
      <c r="BDO1000"/>
      <c r="BDP1000"/>
      <c r="BDQ1000"/>
      <c r="BDR1000"/>
      <c r="BDS1000"/>
      <c r="BDT1000"/>
      <c r="BDU1000"/>
      <c r="BDV1000"/>
      <c r="BDW1000"/>
      <c r="BDX1000"/>
      <c r="BDY1000"/>
      <c r="BDZ1000"/>
      <c r="BEA1000"/>
      <c r="BEB1000"/>
      <c r="BEC1000"/>
      <c r="BED1000"/>
      <c r="BEE1000"/>
      <c r="BEF1000"/>
      <c r="BEG1000"/>
      <c r="BEH1000"/>
      <c r="BEI1000"/>
      <c r="BEJ1000"/>
      <c r="BEK1000"/>
      <c r="BEL1000"/>
      <c r="BEM1000"/>
      <c r="BEN1000"/>
      <c r="BEO1000"/>
      <c r="BEP1000"/>
      <c r="BEQ1000"/>
      <c r="BER1000"/>
      <c r="BES1000"/>
      <c r="BET1000"/>
      <c r="BEU1000"/>
      <c r="BEV1000"/>
      <c r="BEW1000"/>
      <c r="BEX1000"/>
      <c r="BEY1000"/>
      <c r="BEZ1000"/>
      <c r="BFA1000"/>
      <c r="BFB1000"/>
      <c r="BFC1000"/>
      <c r="BFD1000"/>
      <c r="BFE1000"/>
      <c r="BFF1000"/>
      <c r="BFG1000"/>
      <c r="BFH1000"/>
      <c r="BFI1000"/>
      <c r="BFJ1000"/>
      <c r="BFK1000"/>
      <c r="BFL1000"/>
      <c r="BFM1000"/>
      <c r="BFN1000"/>
      <c r="BFO1000"/>
      <c r="BFP1000"/>
      <c r="BFQ1000"/>
      <c r="BFR1000"/>
      <c r="BFS1000"/>
      <c r="BFT1000"/>
      <c r="BFU1000"/>
      <c r="BFV1000"/>
      <c r="BFW1000"/>
      <c r="BFX1000"/>
      <c r="BFY1000"/>
      <c r="BFZ1000"/>
      <c r="BGA1000"/>
      <c r="BGB1000"/>
      <c r="BGC1000"/>
      <c r="BGD1000"/>
      <c r="BGE1000"/>
      <c r="BGF1000"/>
      <c r="BGG1000"/>
      <c r="BGH1000"/>
      <c r="BGI1000"/>
      <c r="BGJ1000"/>
      <c r="BGK1000"/>
      <c r="BGL1000"/>
      <c r="BGM1000"/>
      <c r="BGN1000"/>
      <c r="BGO1000"/>
      <c r="BGP1000"/>
      <c r="BGQ1000"/>
      <c r="BGR1000"/>
      <c r="BGS1000"/>
      <c r="BGT1000"/>
      <c r="BGU1000"/>
      <c r="BGV1000"/>
      <c r="BGW1000"/>
      <c r="BGX1000"/>
      <c r="BGY1000"/>
      <c r="BGZ1000"/>
      <c r="BHA1000"/>
      <c r="BHB1000"/>
      <c r="BHC1000"/>
      <c r="BHD1000"/>
      <c r="BHE1000"/>
      <c r="BHF1000"/>
      <c r="BHG1000"/>
      <c r="BHH1000"/>
      <c r="BHI1000"/>
      <c r="BHJ1000"/>
      <c r="BHK1000"/>
      <c r="BHL1000"/>
      <c r="BHM1000"/>
      <c r="BHN1000"/>
      <c r="BHO1000"/>
      <c r="BHP1000"/>
      <c r="BHQ1000"/>
      <c r="BHR1000"/>
      <c r="BHS1000"/>
      <c r="BHT1000"/>
      <c r="BHU1000"/>
      <c r="BHV1000"/>
      <c r="BHW1000"/>
      <c r="BHX1000"/>
      <c r="BHY1000"/>
      <c r="BHZ1000"/>
      <c r="BIA1000"/>
      <c r="BIB1000"/>
      <c r="BIC1000"/>
      <c r="BID1000"/>
      <c r="BIE1000"/>
      <c r="BIF1000"/>
      <c r="BIG1000"/>
      <c r="BIH1000"/>
      <c r="BII1000"/>
      <c r="BIJ1000"/>
      <c r="BIK1000"/>
      <c r="BIL1000"/>
      <c r="BIM1000"/>
      <c r="BIN1000"/>
      <c r="BIO1000"/>
      <c r="BIP1000"/>
      <c r="BIQ1000"/>
      <c r="BIR1000"/>
      <c r="BIS1000"/>
      <c r="BIT1000"/>
      <c r="BIU1000"/>
      <c r="BIV1000"/>
      <c r="BIW1000"/>
      <c r="BIX1000"/>
      <c r="BIY1000"/>
      <c r="BIZ1000"/>
      <c r="BJA1000"/>
      <c r="BJB1000"/>
      <c r="BJC1000"/>
      <c r="BJD1000"/>
      <c r="BJE1000"/>
      <c r="BJF1000"/>
      <c r="BJG1000"/>
      <c r="BJH1000"/>
      <c r="BJI1000"/>
      <c r="BJJ1000"/>
      <c r="BJK1000"/>
      <c r="BJL1000"/>
      <c r="BJM1000"/>
      <c r="BJN1000"/>
      <c r="BJO1000"/>
      <c r="BJP1000"/>
      <c r="BJQ1000"/>
      <c r="BJR1000"/>
      <c r="BJS1000"/>
      <c r="BJT1000"/>
      <c r="BJU1000"/>
      <c r="BJV1000"/>
      <c r="BJW1000"/>
      <c r="BJX1000"/>
      <c r="BJY1000"/>
      <c r="BJZ1000"/>
      <c r="BKA1000"/>
      <c r="BKB1000"/>
      <c r="BKC1000"/>
      <c r="BKD1000"/>
      <c r="BKE1000"/>
      <c r="BKF1000"/>
      <c r="BKG1000"/>
      <c r="BKH1000"/>
      <c r="BKI1000"/>
      <c r="BKJ1000"/>
      <c r="BKK1000"/>
      <c r="BKL1000"/>
      <c r="BKM1000"/>
      <c r="BKN1000"/>
      <c r="BKO1000"/>
      <c r="BKP1000"/>
      <c r="BKQ1000"/>
      <c r="BKR1000"/>
      <c r="BKS1000"/>
      <c r="BKT1000"/>
      <c r="BKU1000"/>
      <c r="BKV1000"/>
      <c r="BKW1000"/>
      <c r="BKX1000"/>
      <c r="BKY1000"/>
      <c r="BKZ1000"/>
      <c r="BLA1000"/>
      <c r="BLB1000"/>
      <c r="BLC1000"/>
      <c r="BLD1000"/>
      <c r="BLE1000"/>
      <c r="BLF1000"/>
      <c r="BLG1000"/>
      <c r="BLH1000"/>
      <c r="BLI1000"/>
      <c r="BLJ1000"/>
      <c r="BLK1000"/>
      <c r="BLL1000"/>
      <c r="BLM1000"/>
      <c r="BLN1000"/>
      <c r="BLO1000"/>
      <c r="BLP1000"/>
      <c r="BLQ1000"/>
      <c r="BLR1000"/>
      <c r="BLS1000"/>
      <c r="BLT1000"/>
      <c r="BLU1000"/>
      <c r="BLV1000"/>
      <c r="BLW1000"/>
      <c r="BLX1000"/>
      <c r="BLY1000"/>
      <c r="BLZ1000"/>
      <c r="BMA1000"/>
      <c r="BMB1000"/>
      <c r="BMC1000"/>
      <c r="BMD1000"/>
      <c r="BME1000"/>
      <c r="BMF1000"/>
      <c r="BMG1000"/>
      <c r="BMH1000"/>
      <c r="BMI1000"/>
      <c r="BMJ1000"/>
      <c r="BMK1000"/>
      <c r="BML1000"/>
      <c r="BMM1000"/>
      <c r="BMN1000"/>
      <c r="BMO1000"/>
      <c r="BMP1000"/>
      <c r="BMQ1000"/>
      <c r="BMR1000"/>
      <c r="BMS1000"/>
      <c r="BMT1000"/>
      <c r="BMU1000"/>
      <c r="BMV1000"/>
      <c r="BMW1000"/>
      <c r="BMX1000"/>
      <c r="BMY1000"/>
      <c r="BMZ1000"/>
      <c r="BNA1000"/>
      <c r="BNB1000"/>
      <c r="BNC1000"/>
      <c r="BND1000"/>
      <c r="BNE1000"/>
      <c r="BNF1000"/>
      <c r="BNG1000"/>
      <c r="BNH1000"/>
      <c r="BNI1000"/>
      <c r="BNJ1000"/>
      <c r="BNK1000"/>
      <c r="BNL1000"/>
      <c r="BNM1000"/>
      <c r="BNN1000"/>
      <c r="BNO1000"/>
      <c r="BNP1000"/>
      <c r="BNQ1000"/>
      <c r="BNR1000"/>
      <c r="BNS1000"/>
      <c r="BNT1000"/>
      <c r="BNU1000"/>
      <c r="BNV1000"/>
      <c r="BNW1000"/>
      <c r="BNX1000"/>
      <c r="BNY1000"/>
      <c r="BNZ1000"/>
      <c r="BOA1000"/>
      <c r="BOB1000"/>
      <c r="BOC1000"/>
      <c r="BOD1000"/>
      <c r="BOE1000"/>
      <c r="BOF1000"/>
      <c r="BOG1000"/>
      <c r="BOH1000"/>
      <c r="BOI1000"/>
      <c r="BOJ1000"/>
      <c r="BOK1000"/>
      <c r="BOL1000"/>
      <c r="BOM1000"/>
      <c r="BON1000"/>
      <c r="BOO1000"/>
      <c r="BOP1000"/>
      <c r="BOQ1000"/>
      <c r="BOR1000"/>
      <c r="BOS1000"/>
      <c r="BOT1000"/>
      <c r="BOU1000"/>
      <c r="BOV1000"/>
      <c r="BOW1000"/>
      <c r="BOX1000"/>
      <c r="BOY1000"/>
      <c r="BOZ1000"/>
      <c r="BPA1000"/>
      <c r="BPB1000"/>
      <c r="BPC1000"/>
      <c r="BPD1000"/>
      <c r="BPE1000"/>
      <c r="BPF1000"/>
      <c r="BPG1000"/>
      <c r="BPH1000"/>
      <c r="BPI1000"/>
      <c r="BPJ1000"/>
      <c r="BPK1000"/>
      <c r="BPL1000"/>
      <c r="BPM1000"/>
      <c r="BPN1000"/>
      <c r="BPO1000"/>
      <c r="BPP1000"/>
      <c r="BPQ1000"/>
      <c r="BPR1000"/>
      <c r="BPS1000"/>
      <c r="BPT1000"/>
      <c r="BPU1000"/>
      <c r="BPV1000"/>
      <c r="BPW1000"/>
      <c r="BPX1000"/>
      <c r="BPY1000"/>
      <c r="BPZ1000"/>
      <c r="BQA1000"/>
      <c r="BQB1000"/>
      <c r="BQC1000"/>
      <c r="BQD1000"/>
      <c r="BQE1000"/>
      <c r="BQF1000"/>
      <c r="BQG1000"/>
      <c r="BQH1000"/>
      <c r="BQI1000"/>
      <c r="BQJ1000"/>
      <c r="BQK1000"/>
      <c r="BQL1000"/>
      <c r="BQM1000"/>
      <c r="BQN1000"/>
      <c r="BQO1000"/>
      <c r="BQP1000"/>
      <c r="BQQ1000"/>
      <c r="BQR1000"/>
      <c r="BQS1000"/>
      <c r="BQT1000"/>
      <c r="BQU1000"/>
      <c r="BQV1000"/>
      <c r="BQW1000"/>
      <c r="BQX1000"/>
      <c r="BQY1000"/>
      <c r="BQZ1000"/>
      <c r="BRA1000"/>
      <c r="BRB1000"/>
      <c r="BRC1000"/>
      <c r="BRD1000"/>
      <c r="BRE1000"/>
      <c r="BRF1000"/>
      <c r="BRG1000"/>
      <c r="BRH1000"/>
      <c r="BRI1000"/>
      <c r="BRJ1000"/>
      <c r="BRK1000"/>
      <c r="BRL1000"/>
      <c r="BRM1000"/>
      <c r="BRN1000"/>
      <c r="BRO1000"/>
      <c r="BRP1000"/>
      <c r="BRQ1000"/>
      <c r="BRR1000"/>
      <c r="BRS1000"/>
      <c r="BRT1000"/>
      <c r="BRU1000"/>
      <c r="BRV1000"/>
      <c r="BRW1000"/>
      <c r="BRX1000"/>
      <c r="BRY1000"/>
      <c r="BRZ1000"/>
      <c r="BSA1000"/>
      <c r="BSB1000"/>
      <c r="BSC1000"/>
      <c r="BSD1000"/>
      <c r="BSE1000"/>
      <c r="BSF1000"/>
      <c r="BSG1000"/>
      <c r="BSH1000"/>
      <c r="BSI1000"/>
      <c r="BSJ1000"/>
      <c r="BSK1000"/>
      <c r="BSL1000"/>
      <c r="BSM1000"/>
      <c r="BSN1000"/>
      <c r="BSO1000"/>
      <c r="BSP1000"/>
      <c r="BSQ1000"/>
      <c r="BSR1000"/>
      <c r="BSS1000"/>
      <c r="BST1000"/>
      <c r="BSU1000"/>
      <c r="BSV1000"/>
      <c r="BSW1000"/>
      <c r="BSX1000"/>
      <c r="BSY1000"/>
      <c r="BSZ1000"/>
      <c r="BTA1000"/>
      <c r="BTB1000"/>
      <c r="BTC1000"/>
      <c r="BTD1000"/>
      <c r="BTE1000"/>
      <c r="BTF1000"/>
      <c r="BTG1000"/>
      <c r="BTH1000"/>
      <c r="BTI1000"/>
      <c r="BTJ1000"/>
      <c r="BTK1000"/>
      <c r="BTL1000"/>
      <c r="BTM1000"/>
      <c r="BTN1000"/>
      <c r="BTO1000"/>
      <c r="BTP1000"/>
      <c r="BTQ1000"/>
      <c r="BTR1000"/>
      <c r="BTS1000"/>
      <c r="BTT1000"/>
      <c r="BTU1000"/>
      <c r="BTV1000"/>
      <c r="BTW1000"/>
      <c r="BTX1000"/>
      <c r="BTY1000"/>
      <c r="BTZ1000"/>
      <c r="BUA1000"/>
      <c r="BUB1000"/>
      <c r="BUC1000"/>
      <c r="BUD1000"/>
      <c r="BUE1000"/>
      <c r="BUF1000"/>
      <c r="BUG1000"/>
      <c r="BUH1000"/>
      <c r="BUI1000"/>
      <c r="BUJ1000"/>
      <c r="BUK1000"/>
      <c r="BUL1000"/>
      <c r="BUM1000"/>
      <c r="BUN1000"/>
      <c r="BUO1000"/>
      <c r="BUP1000"/>
      <c r="BUQ1000"/>
      <c r="BUR1000"/>
      <c r="BUS1000"/>
      <c r="BUT1000"/>
      <c r="BUU1000"/>
      <c r="BUV1000"/>
      <c r="BUW1000"/>
      <c r="BUX1000"/>
      <c r="BUY1000"/>
      <c r="BUZ1000"/>
      <c r="BVA1000"/>
      <c r="BVB1000"/>
      <c r="BVC1000"/>
      <c r="BVD1000"/>
      <c r="BVE1000"/>
      <c r="BVF1000"/>
      <c r="BVG1000"/>
      <c r="BVH1000"/>
      <c r="BVI1000"/>
      <c r="BVJ1000"/>
      <c r="BVK1000"/>
      <c r="BVL1000"/>
      <c r="BVM1000"/>
      <c r="BVN1000"/>
      <c r="BVO1000"/>
      <c r="BVP1000"/>
      <c r="BVQ1000"/>
      <c r="BVR1000"/>
      <c r="BVS1000"/>
      <c r="BVT1000"/>
      <c r="BVU1000"/>
      <c r="BVV1000"/>
      <c r="BVW1000"/>
      <c r="BVX1000"/>
      <c r="BVY1000"/>
      <c r="BVZ1000"/>
      <c r="BWA1000"/>
      <c r="BWB1000"/>
      <c r="BWC1000"/>
      <c r="BWD1000"/>
      <c r="BWE1000"/>
      <c r="BWF1000"/>
      <c r="BWG1000"/>
      <c r="BWH1000"/>
      <c r="BWI1000"/>
      <c r="BWJ1000"/>
      <c r="BWK1000"/>
      <c r="BWL1000"/>
      <c r="BWM1000"/>
      <c r="BWN1000"/>
      <c r="BWO1000"/>
      <c r="BWP1000"/>
      <c r="BWQ1000"/>
      <c r="BWR1000"/>
      <c r="BWS1000"/>
      <c r="BWT1000"/>
      <c r="BWU1000"/>
      <c r="BWV1000"/>
      <c r="BWW1000"/>
      <c r="BWX1000"/>
      <c r="BWY1000"/>
      <c r="BWZ1000"/>
      <c r="BXA1000"/>
      <c r="BXB1000"/>
      <c r="BXC1000"/>
      <c r="BXD1000"/>
      <c r="BXE1000"/>
      <c r="BXF1000"/>
      <c r="BXG1000"/>
      <c r="BXH1000"/>
      <c r="BXI1000"/>
      <c r="BXJ1000"/>
      <c r="BXK1000"/>
      <c r="BXL1000"/>
      <c r="BXM1000"/>
      <c r="BXN1000"/>
      <c r="BXO1000"/>
      <c r="BXP1000"/>
      <c r="BXQ1000"/>
      <c r="BXR1000"/>
      <c r="BXS1000"/>
      <c r="BXT1000"/>
      <c r="BXU1000"/>
      <c r="BXV1000"/>
      <c r="BXW1000"/>
      <c r="BXX1000"/>
      <c r="BXY1000"/>
      <c r="BXZ1000"/>
      <c r="BYA1000"/>
      <c r="BYB1000"/>
      <c r="BYC1000"/>
      <c r="BYD1000"/>
      <c r="BYE1000"/>
      <c r="BYF1000"/>
      <c r="BYG1000"/>
      <c r="BYH1000"/>
      <c r="BYI1000"/>
      <c r="BYJ1000"/>
      <c r="BYK1000"/>
      <c r="BYL1000"/>
      <c r="BYM1000"/>
      <c r="BYN1000"/>
      <c r="BYO1000"/>
      <c r="BYP1000"/>
      <c r="BYQ1000"/>
      <c r="BYR1000"/>
      <c r="BYS1000"/>
      <c r="BYT1000"/>
      <c r="BYU1000"/>
      <c r="BYV1000"/>
      <c r="BYW1000"/>
      <c r="BYX1000"/>
      <c r="BYY1000"/>
      <c r="BYZ1000"/>
      <c r="BZA1000"/>
      <c r="BZB1000"/>
      <c r="BZC1000"/>
      <c r="BZD1000"/>
      <c r="BZE1000"/>
      <c r="BZF1000"/>
      <c r="BZG1000"/>
      <c r="BZH1000"/>
      <c r="BZI1000"/>
      <c r="BZJ1000"/>
      <c r="BZK1000"/>
      <c r="BZL1000"/>
      <c r="BZM1000"/>
      <c r="BZN1000"/>
      <c r="BZO1000"/>
      <c r="BZP1000"/>
      <c r="BZQ1000"/>
      <c r="BZR1000"/>
      <c r="BZS1000"/>
      <c r="BZT1000"/>
      <c r="BZU1000"/>
      <c r="BZV1000"/>
      <c r="BZW1000"/>
      <c r="BZX1000"/>
      <c r="BZY1000"/>
      <c r="BZZ1000"/>
      <c r="CAA1000"/>
      <c r="CAB1000"/>
      <c r="CAC1000"/>
      <c r="CAD1000"/>
      <c r="CAE1000"/>
      <c r="CAF1000"/>
      <c r="CAG1000"/>
      <c r="CAH1000"/>
      <c r="CAI1000"/>
      <c r="CAJ1000"/>
      <c r="CAK1000"/>
      <c r="CAL1000"/>
      <c r="CAM1000"/>
      <c r="CAN1000"/>
      <c r="CAO1000"/>
      <c r="CAP1000"/>
      <c r="CAQ1000"/>
      <c r="CAR1000"/>
      <c r="CAS1000"/>
      <c r="CAT1000"/>
      <c r="CAU1000"/>
      <c r="CAV1000"/>
      <c r="CAW1000"/>
      <c r="CAX1000"/>
      <c r="CAY1000"/>
      <c r="CAZ1000"/>
      <c r="CBA1000"/>
      <c r="CBB1000"/>
      <c r="CBC1000"/>
      <c r="CBD1000"/>
      <c r="CBE1000"/>
      <c r="CBF1000"/>
      <c r="CBG1000"/>
      <c r="CBH1000"/>
      <c r="CBI1000"/>
      <c r="CBJ1000"/>
      <c r="CBK1000"/>
      <c r="CBL1000"/>
      <c r="CBM1000"/>
      <c r="CBN1000"/>
      <c r="CBO1000"/>
      <c r="CBP1000"/>
      <c r="CBQ1000"/>
      <c r="CBR1000"/>
      <c r="CBS1000"/>
      <c r="CBT1000"/>
      <c r="CBU1000"/>
      <c r="CBV1000"/>
      <c r="CBW1000"/>
      <c r="CBX1000"/>
      <c r="CBY1000"/>
      <c r="CBZ1000"/>
      <c r="CCA1000"/>
      <c r="CCB1000"/>
      <c r="CCC1000"/>
      <c r="CCD1000"/>
      <c r="CCE1000"/>
      <c r="CCF1000"/>
      <c r="CCG1000"/>
      <c r="CCH1000"/>
      <c r="CCI1000"/>
      <c r="CCJ1000"/>
      <c r="CCK1000"/>
      <c r="CCL1000"/>
      <c r="CCM1000"/>
      <c r="CCN1000"/>
      <c r="CCO1000"/>
      <c r="CCP1000"/>
      <c r="CCQ1000"/>
      <c r="CCR1000"/>
      <c r="CCS1000"/>
      <c r="CCT1000"/>
      <c r="CCU1000"/>
      <c r="CCV1000"/>
      <c r="CCW1000"/>
      <c r="CCX1000"/>
      <c r="CCY1000"/>
      <c r="CCZ1000"/>
      <c r="CDA1000"/>
      <c r="CDB1000"/>
      <c r="CDC1000"/>
      <c r="CDD1000"/>
      <c r="CDE1000"/>
      <c r="CDF1000"/>
      <c r="CDG1000"/>
      <c r="CDH1000"/>
      <c r="CDI1000"/>
      <c r="CDJ1000"/>
      <c r="CDK1000"/>
      <c r="CDL1000"/>
      <c r="CDM1000"/>
      <c r="CDN1000"/>
      <c r="CDO1000"/>
      <c r="CDP1000"/>
      <c r="CDQ1000"/>
      <c r="CDR1000"/>
      <c r="CDS1000"/>
      <c r="CDT1000"/>
      <c r="CDU1000"/>
      <c r="CDV1000"/>
      <c r="CDW1000"/>
      <c r="CDX1000"/>
      <c r="CDY1000"/>
      <c r="CDZ1000"/>
      <c r="CEA1000"/>
      <c r="CEB1000"/>
      <c r="CEC1000"/>
      <c r="CED1000"/>
      <c r="CEE1000"/>
      <c r="CEF1000"/>
      <c r="CEG1000"/>
      <c r="CEH1000"/>
      <c r="CEI1000"/>
      <c r="CEJ1000"/>
      <c r="CEK1000"/>
      <c r="CEL1000"/>
      <c r="CEM1000"/>
      <c r="CEN1000"/>
      <c r="CEO1000"/>
      <c r="CEP1000"/>
      <c r="CEQ1000"/>
      <c r="CER1000"/>
      <c r="CES1000"/>
      <c r="CET1000"/>
      <c r="CEU1000"/>
      <c r="CEV1000"/>
      <c r="CEW1000"/>
      <c r="CEX1000"/>
      <c r="CEY1000"/>
      <c r="CEZ1000"/>
      <c r="CFA1000"/>
      <c r="CFB1000"/>
      <c r="CFC1000"/>
      <c r="CFD1000"/>
      <c r="CFE1000"/>
      <c r="CFF1000"/>
      <c r="CFG1000"/>
      <c r="CFH1000"/>
      <c r="CFI1000"/>
      <c r="CFJ1000"/>
      <c r="CFK1000"/>
      <c r="CFL1000"/>
      <c r="CFM1000"/>
      <c r="CFN1000"/>
      <c r="CFO1000"/>
      <c r="CFP1000"/>
      <c r="CFQ1000"/>
      <c r="CFR1000"/>
      <c r="CFS1000"/>
      <c r="CFT1000"/>
      <c r="CFU1000"/>
      <c r="CFV1000"/>
      <c r="CFW1000"/>
      <c r="CFX1000"/>
      <c r="CFY1000"/>
      <c r="CFZ1000"/>
      <c r="CGA1000"/>
      <c r="CGB1000"/>
      <c r="CGC1000"/>
      <c r="CGD1000"/>
      <c r="CGE1000"/>
      <c r="CGF1000"/>
      <c r="CGG1000"/>
      <c r="CGH1000"/>
      <c r="CGI1000"/>
      <c r="CGJ1000"/>
      <c r="CGK1000"/>
      <c r="CGL1000"/>
      <c r="CGM1000"/>
      <c r="CGN1000"/>
      <c r="CGO1000"/>
      <c r="CGP1000"/>
      <c r="CGQ1000"/>
      <c r="CGR1000"/>
      <c r="CGS1000"/>
      <c r="CGT1000"/>
      <c r="CGU1000"/>
      <c r="CGV1000"/>
      <c r="CGW1000"/>
      <c r="CGX1000"/>
      <c r="CGY1000"/>
      <c r="CGZ1000"/>
      <c r="CHA1000"/>
      <c r="CHB1000"/>
      <c r="CHC1000"/>
      <c r="CHD1000"/>
      <c r="CHE1000"/>
      <c r="CHF1000"/>
      <c r="CHG1000"/>
      <c r="CHH1000"/>
      <c r="CHI1000"/>
      <c r="CHJ1000"/>
      <c r="CHK1000"/>
      <c r="CHL1000"/>
      <c r="CHM1000"/>
      <c r="CHN1000"/>
      <c r="CHO1000"/>
      <c r="CHP1000"/>
      <c r="CHQ1000"/>
      <c r="CHR1000"/>
      <c r="CHS1000"/>
      <c r="CHT1000"/>
      <c r="CHU1000"/>
      <c r="CHV1000"/>
      <c r="CHW1000"/>
      <c r="CHX1000"/>
      <c r="CHY1000"/>
      <c r="CHZ1000"/>
      <c r="CIA1000"/>
      <c r="CIB1000"/>
      <c r="CIC1000"/>
      <c r="CID1000"/>
      <c r="CIE1000"/>
      <c r="CIF1000"/>
      <c r="CIG1000"/>
      <c r="CIH1000"/>
      <c r="CII1000"/>
      <c r="CIJ1000"/>
      <c r="CIK1000"/>
      <c r="CIL1000"/>
      <c r="CIM1000"/>
      <c r="CIN1000"/>
      <c r="CIO1000"/>
      <c r="CIP1000"/>
      <c r="CIQ1000"/>
      <c r="CIR1000"/>
      <c r="CIS1000"/>
      <c r="CIT1000"/>
      <c r="CIU1000"/>
      <c r="CIV1000"/>
      <c r="CIW1000"/>
      <c r="CIX1000"/>
      <c r="CIY1000"/>
      <c r="CIZ1000"/>
      <c r="CJA1000"/>
      <c r="CJB1000"/>
      <c r="CJC1000"/>
      <c r="CJD1000"/>
      <c r="CJE1000"/>
      <c r="CJF1000"/>
      <c r="CJG1000"/>
      <c r="CJH1000"/>
      <c r="CJI1000"/>
      <c r="CJJ1000"/>
      <c r="CJK1000"/>
      <c r="CJL1000"/>
      <c r="CJM1000"/>
      <c r="CJN1000"/>
      <c r="CJO1000"/>
      <c r="CJP1000"/>
      <c r="CJQ1000"/>
      <c r="CJR1000"/>
      <c r="CJS1000"/>
      <c r="CJT1000"/>
      <c r="CJU1000"/>
      <c r="CJV1000"/>
      <c r="CJW1000"/>
      <c r="CJX1000"/>
      <c r="CJY1000"/>
      <c r="CJZ1000"/>
      <c r="CKA1000"/>
      <c r="CKB1000"/>
      <c r="CKC1000"/>
      <c r="CKD1000"/>
      <c r="CKE1000"/>
      <c r="CKF1000"/>
      <c r="CKG1000"/>
      <c r="CKH1000"/>
      <c r="CKI1000"/>
      <c r="CKJ1000"/>
      <c r="CKK1000"/>
      <c r="CKL1000"/>
      <c r="CKM1000"/>
      <c r="CKN1000"/>
      <c r="CKO1000"/>
      <c r="CKP1000"/>
      <c r="CKQ1000"/>
      <c r="CKR1000"/>
      <c r="CKS1000"/>
      <c r="CKT1000"/>
      <c r="CKU1000"/>
      <c r="CKV1000"/>
      <c r="CKW1000"/>
      <c r="CKX1000"/>
      <c r="CKY1000"/>
      <c r="CKZ1000"/>
      <c r="CLA1000"/>
      <c r="CLB1000"/>
      <c r="CLC1000"/>
      <c r="CLD1000"/>
      <c r="CLE1000"/>
      <c r="CLF1000"/>
      <c r="CLG1000"/>
      <c r="CLH1000"/>
      <c r="CLI1000"/>
      <c r="CLJ1000"/>
      <c r="CLK1000"/>
      <c r="CLL1000"/>
      <c r="CLM1000"/>
      <c r="CLN1000"/>
      <c r="CLO1000"/>
      <c r="CLP1000"/>
      <c r="CLQ1000"/>
      <c r="CLR1000"/>
      <c r="CLS1000"/>
      <c r="CLT1000"/>
      <c r="CLU1000"/>
      <c r="CLV1000"/>
      <c r="CLW1000"/>
      <c r="CLX1000"/>
      <c r="CLY1000"/>
      <c r="CLZ1000"/>
      <c r="CMA1000"/>
      <c r="CMB1000"/>
      <c r="CMC1000"/>
      <c r="CMD1000"/>
      <c r="CME1000"/>
      <c r="CMF1000"/>
      <c r="CMG1000"/>
      <c r="CMH1000"/>
      <c r="CMI1000"/>
      <c r="CMJ1000"/>
      <c r="CMK1000"/>
      <c r="CML1000"/>
      <c r="CMM1000"/>
      <c r="CMN1000"/>
      <c r="CMO1000"/>
      <c r="CMP1000"/>
      <c r="CMQ1000"/>
      <c r="CMR1000"/>
      <c r="CMS1000"/>
      <c r="CMT1000"/>
      <c r="CMU1000"/>
      <c r="CMV1000"/>
      <c r="CMW1000"/>
      <c r="CMX1000"/>
      <c r="CMY1000"/>
      <c r="CMZ1000"/>
      <c r="CNA1000"/>
      <c r="CNB1000"/>
      <c r="CNC1000"/>
      <c r="CND1000"/>
      <c r="CNE1000"/>
      <c r="CNF1000"/>
      <c r="CNG1000"/>
      <c r="CNH1000"/>
      <c r="CNI1000"/>
      <c r="CNJ1000"/>
      <c r="CNK1000"/>
      <c r="CNL1000"/>
      <c r="CNM1000"/>
      <c r="CNN1000"/>
      <c r="CNO1000"/>
      <c r="CNP1000"/>
      <c r="CNQ1000"/>
      <c r="CNR1000"/>
      <c r="CNS1000"/>
      <c r="CNT1000"/>
      <c r="CNU1000"/>
      <c r="CNV1000"/>
      <c r="CNW1000"/>
      <c r="CNX1000"/>
      <c r="CNY1000"/>
      <c r="CNZ1000"/>
      <c r="COA1000"/>
      <c r="COB1000"/>
      <c r="COC1000"/>
      <c r="COD1000"/>
      <c r="COE1000"/>
      <c r="COF1000"/>
      <c r="COG1000"/>
      <c r="COH1000"/>
      <c r="COI1000"/>
      <c r="COJ1000"/>
      <c r="COK1000"/>
      <c r="COL1000"/>
      <c r="COM1000"/>
      <c r="CON1000"/>
      <c r="COO1000"/>
      <c r="COP1000"/>
      <c r="COQ1000"/>
      <c r="COR1000"/>
      <c r="COS1000"/>
      <c r="COT1000"/>
      <c r="COU1000"/>
      <c r="COV1000"/>
      <c r="COW1000"/>
      <c r="COX1000"/>
      <c r="COY1000"/>
      <c r="COZ1000"/>
      <c r="CPA1000"/>
      <c r="CPB1000"/>
      <c r="CPC1000"/>
      <c r="CPD1000"/>
      <c r="CPE1000"/>
      <c r="CPF1000"/>
      <c r="CPG1000"/>
      <c r="CPH1000"/>
      <c r="CPI1000"/>
      <c r="CPJ1000"/>
      <c r="CPK1000"/>
      <c r="CPL1000"/>
      <c r="CPM1000"/>
      <c r="CPN1000"/>
      <c r="CPO1000"/>
      <c r="CPP1000"/>
      <c r="CPQ1000"/>
      <c r="CPR1000"/>
      <c r="CPS1000"/>
      <c r="CPT1000"/>
      <c r="CPU1000"/>
      <c r="CPV1000"/>
      <c r="CPW1000"/>
      <c r="CPX1000"/>
      <c r="CPY1000"/>
      <c r="CPZ1000"/>
      <c r="CQA1000"/>
      <c r="CQB1000"/>
      <c r="CQC1000"/>
      <c r="CQD1000"/>
      <c r="CQE1000"/>
      <c r="CQF1000"/>
      <c r="CQG1000"/>
      <c r="CQH1000"/>
      <c r="CQI1000"/>
      <c r="CQJ1000"/>
      <c r="CQK1000"/>
      <c r="CQL1000"/>
      <c r="CQM1000"/>
      <c r="CQN1000"/>
      <c r="CQO1000"/>
      <c r="CQP1000"/>
      <c r="CQQ1000"/>
      <c r="CQR1000"/>
      <c r="CQS1000"/>
      <c r="CQT1000"/>
      <c r="CQU1000"/>
      <c r="CQV1000"/>
      <c r="CQW1000"/>
      <c r="CQX1000"/>
      <c r="CQY1000"/>
      <c r="CQZ1000"/>
      <c r="CRA1000"/>
      <c r="CRB1000"/>
      <c r="CRC1000"/>
      <c r="CRD1000"/>
      <c r="CRE1000"/>
      <c r="CRF1000"/>
      <c r="CRG1000"/>
      <c r="CRH1000"/>
      <c r="CRI1000"/>
      <c r="CRJ1000"/>
      <c r="CRK1000"/>
      <c r="CRL1000"/>
      <c r="CRM1000"/>
      <c r="CRN1000"/>
      <c r="CRO1000"/>
      <c r="CRP1000"/>
      <c r="CRQ1000"/>
      <c r="CRR1000"/>
      <c r="CRS1000"/>
      <c r="CRT1000"/>
      <c r="CRU1000"/>
      <c r="CRV1000"/>
      <c r="CRW1000"/>
      <c r="CRX1000"/>
      <c r="CRY1000"/>
      <c r="CRZ1000"/>
      <c r="CSA1000"/>
      <c r="CSB1000"/>
      <c r="CSC1000"/>
      <c r="CSD1000"/>
      <c r="CSE1000"/>
      <c r="CSF1000"/>
      <c r="CSG1000"/>
      <c r="CSH1000"/>
      <c r="CSI1000"/>
      <c r="CSJ1000"/>
      <c r="CSK1000"/>
      <c r="CSL1000"/>
      <c r="CSM1000"/>
      <c r="CSN1000"/>
      <c r="CSO1000"/>
      <c r="CSP1000"/>
      <c r="CSQ1000"/>
      <c r="CSR1000"/>
      <c r="CSS1000"/>
      <c r="CST1000"/>
      <c r="CSU1000"/>
      <c r="CSV1000"/>
      <c r="CSW1000"/>
      <c r="CSX1000"/>
      <c r="CSY1000"/>
      <c r="CSZ1000"/>
      <c r="CTA1000"/>
      <c r="CTB1000"/>
      <c r="CTC1000"/>
      <c r="CTD1000"/>
      <c r="CTE1000"/>
      <c r="CTF1000"/>
      <c r="CTG1000"/>
      <c r="CTH1000"/>
      <c r="CTI1000"/>
      <c r="CTJ1000"/>
      <c r="CTK1000"/>
      <c r="CTL1000"/>
      <c r="CTM1000"/>
      <c r="CTN1000"/>
      <c r="CTO1000"/>
      <c r="CTP1000"/>
      <c r="CTQ1000"/>
      <c r="CTR1000"/>
      <c r="CTS1000"/>
      <c r="CTT1000"/>
      <c r="CTU1000"/>
      <c r="CTV1000"/>
      <c r="CTW1000"/>
      <c r="CTX1000"/>
      <c r="CTY1000"/>
      <c r="CTZ1000"/>
      <c r="CUA1000"/>
      <c r="CUB1000"/>
      <c r="CUC1000"/>
      <c r="CUD1000"/>
      <c r="CUE1000"/>
      <c r="CUF1000"/>
      <c r="CUG1000"/>
      <c r="CUH1000"/>
      <c r="CUI1000"/>
      <c r="CUJ1000"/>
      <c r="CUK1000"/>
      <c r="CUL1000"/>
      <c r="CUM1000"/>
      <c r="CUN1000"/>
      <c r="CUO1000"/>
      <c r="CUP1000"/>
      <c r="CUQ1000"/>
      <c r="CUR1000"/>
      <c r="CUS1000"/>
      <c r="CUT1000"/>
      <c r="CUU1000"/>
      <c r="CUV1000"/>
      <c r="CUW1000"/>
      <c r="CUX1000"/>
      <c r="CUY1000"/>
      <c r="CUZ1000"/>
      <c r="CVA1000"/>
      <c r="CVB1000"/>
      <c r="CVC1000"/>
      <c r="CVD1000"/>
      <c r="CVE1000"/>
      <c r="CVF1000"/>
      <c r="CVG1000"/>
      <c r="CVH1000"/>
      <c r="CVI1000"/>
      <c r="CVJ1000"/>
      <c r="CVK1000"/>
      <c r="CVL1000"/>
      <c r="CVM1000"/>
      <c r="CVN1000"/>
      <c r="CVO1000"/>
      <c r="CVP1000"/>
      <c r="CVQ1000"/>
      <c r="CVR1000"/>
      <c r="CVS1000"/>
      <c r="CVT1000"/>
      <c r="CVU1000"/>
      <c r="CVV1000"/>
      <c r="CVW1000"/>
      <c r="CVX1000"/>
      <c r="CVY1000"/>
      <c r="CVZ1000"/>
      <c r="CWA1000"/>
      <c r="CWB1000"/>
      <c r="CWC1000"/>
      <c r="CWD1000"/>
      <c r="CWE1000"/>
      <c r="CWF1000"/>
      <c r="CWG1000"/>
      <c r="CWH1000"/>
      <c r="CWI1000"/>
      <c r="CWJ1000"/>
      <c r="CWK1000"/>
      <c r="CWL1000"/>
      <c r="CWM1000"/>
      <c r="CWN1000"/>
      <c r="CWO1000"/>
      <c r="CWP1000"/>
      <c r="CWQ1000"/>
      <c r="CWR1000"/>
      <c r="CWS1000"/>
      <c r="CWT1000"/>
      <c r="CWU1000"/>
      <c r="CWV1000"/>
      <c r="CWW1000"/>
      <c r="CWX1000"/>
      <c r="CWY1000"/>
      <c r="CWZ1000"/>
      <c r="CXA1000"/>
      <c r="CXB1000"/>
      <c r="CXC1000"/>
      <c r="CXD1000"/>
      <c r="CXE1000"/>
      <c r="CXF1000"/>
      <c r="CXG1000"/>
      <c r="CXH1000"/>
      <c r="CXI1000"/>
      <c r="CXJ1000"/>
      <c r="CXK1000"/>
      <c r="CXL1000"/>
      <c r="CXM1000"/>
      <c r="CXN1000"/>
      <c r="CXO1000"/>
      <c r="CXP1000"/>
      <c r="CXQ1000"/>
      <c r="CXR1000"/>
      <c r="CXS1000"/>
      <c r="CXT1000"/>
      <c r="CXU1000"/>
      <c r="CXV1000"/>
      <c r="CXW1000"/>
      <c r="CXX1000"/>
      <c r="CXY1000"/>
      <c r="CXZ1000"/>
      <c r="CYA1000"/>
      <c r="CYB1000"/>
      <c r="CYC1000"/>
      <c r="CYD1000"/>
      <c r="CYE1000"/>
      <c r="CYF1000"/>
      <c r="CYG1000"/>
      <c r="CYH1000"/>
      <c r="CYI1000"/>
      <c r="CYJ1000"/>
      <c r="CYK1000"/>
      <c r="CYL1000"/>
      <c r="CYM1000"/>
      <c r="CYN1000"/>
      <c r="CYO1000"/>
      <c r="CYP1000"/>
      <c r="CYQ1000"/>
      <c r="CYR1000"/>
      <c r="CYS1000"/>
      <c r="CYT1000"/>
      <c r="CYU1000"/>
      <c r="CYV1000"/>
      <c r="CYW1000"/>
      <c r="CYX1000"/>
      <c r="CYY1000"/>
      <c r="CYZ1000"/>
      <c r="CZA1000"/>
      <c r="CZB1000"/>
      <c r="CZC1000"/>
      <c r="CZD1000"/>
      <c r="CZE1000"/>
      <c r="CZF1000"/>
      <c r="CZG1000"/>
      <c r="CZH1000"/>
      <c r="CZI1000"/>
      <c r="CZJ1000"/>
      <c r="CZK1000"/>
      <c r="CZL1000"/>
      <c r="CZM1000"/>
      <c r="CZN1000"/>
      <c r="CZO1000"/>
      <c r="CZP1000"/>
      <c r="CZQ1000"/>
      <c r="CZR1000"/>
      <c r="CZS1000"/>
      <c r="CZT1000"/>
      <c r="CZU1000"/>
      <c r="CZV1000"/>
      <c r="CZW1000"/>
      <c r="CZX1000"/>
      <c r="CZY1000"/>
      <c r="CZZ1000"/>
      <c r="DAA1000"/>
      <c r="DAB1000"/>
      <c r="DAC1000"/>
      <c r="DAD1000"/>
      <c r="DAE1000"/>
      <c r="DAF1000"/>
      <c r="DAG1000"/>
      <c r="DAH1000"/>
      <c r="DAI1000"/>
      <c r="DAJ1000"/>
      <c r="DAK1000"/>
      <c r="DAL1000"/>
      <c r="DAM1000"/>
      <c r="DAN1000"/>
      <c r="DAO1000"/>
      <c r="DAP1000"/>
      <c r="DAQ1000"/>
      <c r="DAR1000"/>
      <c r="DAS1000"/>
      <c r="DAT1000"/>
      <c r="DAU1000"/>
      <c r="DAV1000"/>
      <c r="DAW1000"/>
      <c r="DAX1000"/>
      <c r="DAY1000"/>
      <c r="DAZ1000"/>
      <c r="DBA1000"/>
      <c r="DBB1000"/>
      <c r="DBC1000"/>
      <c r="DBD1000"/>
      <c r="DBE1000"/>
      <c r="DBF1000"/>
      <c r="DBG1000"/>
      <c r="DBH1000"/>
      <c r="DBI1000"/>
      <c r="DBJ1000"/>
      <c r="DBK1000"/>
      <c r="DBL1000"/>
      <c r="DBM1000"/>
      <c r="DBN1000"/>
      <c r="DBO1000"/>
      <c r="DBP1000"/>
      <c r="DBQ1000"/>
      <c r="DBR1000"/>
      <c r="DBS1000"/>
      <c r="DBT1000"/>
      <c r="DBU1000"/>
      <c r="DBV1000"/>
      <c r="DBW1000"/>
      <c r="DBX1000"/>
      <c r="DBY1000"/>
      <c r="DBZ1000"/>
      <c r="DCA1000"/>
      <c r="DCB1000"/>
      <c r="DCC1000"/>
      <c r="DCD1000"/>
      <c r="DCE1000"/>
      <c r="DCF1000"/>
      <c r="DCG1000"/>
      <c r="DCH1000"/>
      <c r="DCI1000"/>
      <c r="DCJ1000"/>
      <c r="DCK1000"/>
      <c r="DCL1000"/>
      <c r="DCM1000"/>
      <c r="DCN1000"/>
      <c r="DCO1000"/>
      <c r="DCP1000"/>
      <c r="DCQ1000"/>
      <c r="DCR1000"/>
      <c r="DCS1000"/>
      <c r="DCT1000"/>
      <c r="DCU1000"/>
      <c r="DCV1000"/>
      <c r="DCW1000"/>
      <c r="DCX1000"/>
      <c r="DCY1000"/>
      <c r="DCZ1000"/>
      <c r="DDA1000"/>
      <c r="DDB1000"/>
      <c r="DDC1000"/>
      <c r="DDD1000"/>
      <c r="DDE1000"/>
      <c r="DDF1000"/>
      <c r="DDG1000"/>
      <c r="DDH1000"/>
      <c r="DDI1000"/>
      <c r="DDJ1000"/>
      <c r="DDK1000"/>
      <c r="DDL1000"/>
      <c r="DDM1000"/>
      <c r="DDN1000"/>
      <c r="DDO1000"/>
      <c r="DDP1000"/>
      <c r="DDQ1000"/>
      <c r="DDR1000"/>
      <c r="DDS1000"/>
      <c r="DDT1000"/>
      <c r="DDU1000"/>
      <c r="DDV1000"/>
      <c r="DDW1000"/>
      <c r="DDX1000"/>
      <c r="DDY1000"/>
      <c r="DDZ1000"/>
      <c r="DEA1000"/>
      <c r="DEB1000"/>
      <c r="DEC1000"/>
      <c r="DED1000"/>
      <c r="DEE1000"/>
      <c r="DEF1000"/>
      <c r="DEG1000"/>
      <c r="DEH1000"/>
      <c r="DEI1000"/>
      <c r="DEJ1000"/>
      <c r="DEK1000"/>
      <c r="DEL1000"/>
      <c r="DEM1000"/>
      <c r="DEN1000"/>
      <c r="DEO1000"/>
      <c r="DEP1000"/>
      <c r="DEQ1000"/>
      <c r="DER1000"/>
      <c r="DES1000"/>
      <c r="DET1000"/>
      <c r="DEU1000"/>
      <c r="DEV1000"/>
      <c r="DEW1000"/>
      <c r="DEX1000"/>
      <c r="DEY1000"/>
      <c r="DEZ1000"/>
      <c r="DFA1000"/>
      <c r="DFB1000"/>
      <c r="DFC1000"/>
      <c r="DFD1000"/>
      <c r="DFE1000"/>
      <c r="DFF1000"/>
      <c r="DFG1000"/>
      <c r="DFH1000"/>
      <c r="DFI1000"/>
      <c r="DFJ1000"/>
      <c r="DFK1000"/>
      <c r="DFL1000"/>
      <c r="DFM1000"/>
      <c r="DFN1000"/>
      <c r="DFO1000"/>
      <c r="DFP1000"/>
      <c r="DFQ1000"/>
      <c r="DFR1000"/>
      <c r="DFS1000"/>
      <c r="DFT1000"/>
      <c r="DFU1000"/>
      <c r="DFV1000"/>
      <c r="DFW1000"/>
      <c r="DFX1000"/>
      <c r="DFY1000"/>
      <c r="DFZ1000"/>
      <c r="DGA1000"/>
      <c r="DGB1000"/>
      <c r="DGC1000"/>
      <c r="DGD1000"/>
      <c r="DGE1000"/>
      <c r="DGF1000"/>
      <c r="DGG1000"/>
      <c r="DGH1000"/>
      <c r="DGI1000"/>
      <c r="DGJ1000"/>
      <c r="DGK1000"/>
      <c r="DGL1000"/>
      <c r="DGM1000"/>
      <c r="DGN1000"/>
      <c r="DGO1000"/>
      <c r="DGP1000"/>
      <c r="DGQ1000"/>
      <c r="DGR1000"/>
      <c r="DGS1000"/>
      <c r="DGT1000"/>
      <c r="DGU1000"/>
      <c r="DGV1000"/>
      <c r="DGW1000"/>
      <c r="DGX1000"/>
      <c r="DGY1000"/>
      <c r="DGZ1000"/>
      <c r="DHA1000"/>
      <c r="DHB1000"/>
      <c r="DHC1000"/>
      <c r="DHD1000"/>
      <c r="DHE1000"/>
      <c r="DHF1000"/>
      <c r="DHG1000"/>
      <c r="DHH1000"/>
      <c r="DHI1000"/>
      <c r="DHJ1000"/>
      <c r="DHK1000"/>
      <c r="DHL1000"/>
      <c r="DHM1000"/>
      <c r="DHN1000"/>
      <c r="DHO1000"/>
      <c r="DHP1000"/>
      <c r="DHQ1000"/>
      <c r="DHR1000"/>
      <c r="DHS1000"/>
      <c r="DHT1000"/>
      <c r="DHU1000"/>
      <c r="DHV1000"/>
      <c r="DHW1000"/>
      <c r="DHX1000"/>
      <c r="DHY1000"/>
      <c r="DHZ1000"/>
      <c r="DIA1000"/>
      <c r="DIB1000"/>
      <c r="DIC1000"/>
      <c r="DID1000"/>
      <c r="DIE1000"/>
      <c r="DIF1000"/>
      <c r="DIG1000"/>
      <c r="DIH1000"/>
      <c r="DII1000"/>
      <c r="DIJ1000"/>
      <c r="DIK1000"/>
      <c r="DIL1000"/>
      <c r="DIM1000"/>
      <c r="DIN1000"/>
      <c r="DIO1000"/>
      <c r="DIP1000"/>
      <c r="DIQ1000"/>
      <c r="DIR1000"/>
      <c r="DIS1000"/>
      <c r="DIT1000"/>
      <c r="DIU1000"/>
      <c r="DIV1000"/>
      <c r="DIW1000"/>
      <c r="DIX1000"/>
      <c r="DIY1000"/>
      <c r="DIZ1000"/>
      <c r="DJA1000"/>
      <c r="DJB1000"/>
      <c r="DJC1000"/>
      <c r="DJD1000"/>
      <c r="DJE1000"/>
      <c r="DJF1000"/>
      <c r="DJG1000"/>
      <c r="DJH1000"/>
      <c r="DJI1000"/>
      <c r="DJJ1000"/>
      <c r="DJK1000"/>
      <c r="DJL1000"/>
      <c r="DJM1000"/>
      <c r="DJN1000"/>
      <c r="DJO1000"/>
      <c r="DJP1000"/>
      <c r="DJQ1000"/>
      <c r="DJR1000"/>
      <c r="DJS1000"/>
      <c r="DJT1000"/>
      <c r="DJU1000"/>
      <c r="DJV1000"/>
      <c r="DJW1000"/>
      <c r="DJX1000"/>
      <c r="DJY1000"/>
      <c r="DJZ1000"/>
      <c r="DKA1000"/>
      <c r="DKB1000"/>
      <c r="DKC1000"/>
      <c r="DKD1000"/>
      <c r="DKE1000"/>
      <c r="DKF1000"/>
      <c r="DKG1000"/>
      <c r="DKH1000"/>
      <c r="DKI1000"/>
      <c r="DKJ1000"/>
      <c r="DKK1000"/>
      <c r="DKL1000"/>
      <c r="DKM1000"/>
      <c r="DKN1000"/>
      <c r="DKO1000"/>
      <c r="DKP1000"/>
      <c r="DKQ1000"/>
      <c r="DKR1000"/>
      <c r="DKS1000"/>
      <c r="DKT1000"/>
      <c r="DKU1000"/>
      <c r="DKV1000"/>
      <c r="DKW1000"/>
      <c r="DKX1000"/>
      <c r="DKY1000"/>
      <c r="DKZ1000"/>
      <c r="DLA1000"/>
      <c r="DLB1000"/>
      <c r="DLC1000"/>
      <c r="DLD1000"/>
      <c r="DLE1000"/>
      <c r="DLF1000"/>
      <c r="DLG1000"/>
      <c r="DLH1000"/>
      <c r="DLI1000"/>
      <c r="DLJ1000"/>
      <c r="DLK1000"/>
      <c r="DLL1000"/>
      <c r="DLM1000"/>
      <c r="DLN1000"/>
      <c r="DLO1000"/>
      <c r="DLP1000"/>
      <c r="DLQ1000"/>
      <c r="DLR1000"/>
      <c r="DLS1000"/>
      <c r="DLT1000"/>
      <c r="DLU1000"/>
      <c r="DLV1000"/>
      <c r="DLW1000"/>
      <c r="DLX1000"/>
      <c r="DLY1000"/>
      <c r="DLZ1000"/>
      <c r="DMA1000"/>
      <c r="DMB1000"/>
      <c r="DMC1000"/>
      <c r="DMD1000"/>
      <c r="DME1000"/>
      <c r="DMF1000"/>
      <c r="DMG1000"/>
      <c r="DMH1000"/>
      <c r="DMI1000"/>
      <c r="DMJ1000"/>
      <c r="DMK1000"/>
      <c r="DML1000"/>
      <c r="DMM1000"/>
      <c r="DMN1000"/>
      <c r="DMO1000"/>
      <c r="DMP1000"/>
      <c r="DMQ1000"/>
      <c r="DMR1000"/>
      <c r="DMS1000"/>
      <c r="DMT1000"/>
      <c r="DMU1000"/>
      <c r="DMV1000"/>
      <c r="DMW1000"/>
      <c r="DMX1000"/>
      <c r="DMY1000"/>
      <c r="DMZ1000"/>
      <c r="DNA1000"/>
      <c r="DNB1000"/>
      <c r="DNC1000"/>
      <c r="DND1000"/>
      <c r="DNE1000"/>
      <c r="DNF1000"/>
      <c r="DNG1000"/>
      <c r="DNH1000"/>
      <c r="DNI1000"/>
      <c r="DNJ1000"/>
      <c r="DNK1000"/>
      <c r="DNL1000"/>
      <c r="DNM1000"/>
      <c r="DNN1000"/>
      <c r="DNO1000"/>
      <c r="DNP1000"/>
      <c r="DNQ1000"/>
      <c r="DNR1000"/>
      <c r="DNS1000"/>
      <c r="DNT1000"/>
      <c r="DNU1000"/>
      <c r="DNV1000"/>
      <c r="DNW1000"/>
      <c r="DNX1000"/>
      <c r="DNY1000"/>
      <c r="DNZ1000"/>
      <c r="DOA1000"/>
      <c r="DOB1000"/>
      <c r="DOC1000"/>
      <c r="DOD1000"/>
      <c r="DOE1000"/>
      <c r="DOF1000"/>
      <c r="DOG1000"/>
      <c r="DOH1000"/>
      <c r="DOI1000"/>
      <c r="DOJ1000"/>
      <c r="DOK1000"/>
      <c r="DOL1000"/>
      <c r="DOM1000"/>
      <c r="DON1000"/>
      <c r="DOO1000"/>
      <c r="DOP1000"/>
      <c r="DOQ1000"/>
      <c r="DOR1000"/>
      <c r="DOS1000"/>
      <c r="DOT1000"/>
      <c r="DOU1000"/>
      <c r="DOV1000"/>
      <c r="DOW1000"/>
      <c r="DOX1000"/>
      <c r="DOY1000"/>
      <c r="DOZ1000"/>
      <c r="DPA1000"/>
      <c r="DPB1000"/>
      <c r="DPC1000"/>
      <c r="DPD1000"/>
      <c r="DPE1000"/>
      <c r="DPF1000"/>
      <c r="DPG1000"/>
      <c r="DPH1000"/>
      <c r="DPI1000"/>
      <c r="DPJ1000"/>
      <c r="DPK1000"/>
      <c r="DPL1000"/>
      <c r="DPM1000"/>
      <c r="DPN1000"/>
      <c r="DPO1000"/>
      <c r="DPP1000"/>
      <c r="DPQ1000"/>
      <c r="DPR1000"/>
      <c r="DPS1000"/>
      <c r="DPT1000"/>
      <c r="DPU1000"/>
      <c r="DPV1000"/>
      <c r="DPW1000"/>
      <c r="DPX1000"/>
      <c r="DPY1000"/>
      <c r="DPZ1000"/>
      <c r="DQA1000"/>
      <c r="DQB1000"/>
      <c r="DQC1000"/>
      <c r="DQD1000"/>
      <c r="DQE1000"/>
      <c r="DQF1000"/>
      <c r="DQG1000"/>
      <c r="DQH1000"/>
      <c r="DQI1000"/>
      <c r="DQJ1000"/>
      <c r="DQK1000"/>
      <c r="DQL1000"/>
      <c r="DQM1000"/>
      <c r="DQN1000"/>
      <c r="DQO1000"/>
      <c r="DQP1000"/>
      <c r="DQQ1000"/>
      <c r="DQR1000"/>
      <c r="DQS1000"/>
      <c r="DQT1000"/>
      <c r="DQU1000"/>
      <c r="DQV1000"/>
      <c r="DQW1000"/>
      <c r="DQX1000"/>
      <c r="DQY1000"/>
      <c r="DQZ1000"/>
      <c r="DRA1000"/>
      <c r="DRB1000"/>
      <c r="DRC1000"/>
      <c r="DRD1000"/>
      <c r="DRE1000"/>
      <c r="DRF1000"/>
      <c r="DRG1000"/>
      <c r="DRH1000"/>
      <c r="DRI1000"/>
      <c r="DRJ1000"/>
      <c r="DRK1000"/>
      <c r="DRL1000"/>
      <c r="DRM1000"/>
      <c r="DRN1000"/>
      <c r="DRO1000"/>
      <c r="DRP1000"/>
      <c r="DRQ1000"/>
      <c r="DRR1000"/>
      <c r="DRS1000"/>
      <c r="DRT1000"/>
      <c r="DRU1000"/>
      <c r="DRV1000"/>
      <c r="DRW1000"/>
      <c r="DRX1000"/>
      <c r="DRY1000"/>
      <c r="DRZ1000"/>
      <c r="DSA1000"/>
      <c r="DSB1000"/>
      <c r="DSC1000"/>
      <c r="DSD1000"/>
      <c r="DSE1000"/>
      <c r="DSF1000"/>
      <c r="DSG1000"/>
      <c r="DSH1000"/>
      <c r="DSI1000"/>
      <c r="DSJ1000"/>
      <c r="DSK1000"/>
      <c r="DSL1000"/>
      <c r="DSM1000"/>
      <c r="DSN1000"/>
      <c r="DSO1000"/>
      <c r="DSP1000"/>
      <c r="DSQ1000"/>
      <c r="DSR1000"/>
      <c r="DSS1000"/>
      <c r="DST1000"/>
      <c r="DSU1000"/>
      <c r="DSV1000"/>
      <c r="DSW1000"/>
      <c r="DSX1000"/>
      <c r="DSY1000"/>
      <c r="DSZ1000"/>
      <c r="DTA1000"/>
      <c r="DTB1000"/>
      <c r="DTC1000"/>
      <c r="DTD1000"/>
      <c r="DTE1000"/>
      <c r="DTF1000"/>
      <c r="DTG1000"/>
      <c r="DTH1000"/>
      <c r="DTI1000"/>
      <c r="DTJ1000"/>
      <c r="DTK1000"/>
      <c r="DTL1000"/>
      <c r="DTM1000"/>
      <c r="DTN1000"/>
      <c r="DTO1000"/>
      <c r="DTP1000"/>
      <c r="DTQ1000"/>
      <c r="DTR1000"/>
      <c r="DTS1000"/>
      <c r="DTT1000"/>
      <c r="DTU1000"/>
      <c r="DTV1000"/>
      <c r="DTW1000"/>
      <c r="DTX1000"/>
      <c r="DTY1000"/>
      <c r="DTZ1000"/>
      <c r="DUA1000"/>
      <c r="DUB1000"/>
      <c r="DUC1000"/>
      <c r="DUD1000"/>
      <c r="DUE1000"/>
      <c r="DUF1000"/>
      <c r="DUG1000"/>
      <c r="DUH1000"/>
      <c r="DUI1000"/>
      <c r="DUJ1000"/>
      <c r="DUK1000"/>
      <c r="DUL1000"/>
      <c r="DUM1000"/>
      <c r="DUN1000"/>
      <c r="DUO1000"/>
      <c r="DUP1000"/>
      <c r="DUQ1000"/>
      <c r="DUR1000"/>
      <c r="DUS1000"/>
      <c r="DUT1000"/>
      <c r="DUU1000"/>
      <c r="DUV1000"/>
      <c r="DUW1000"/>
      <c r="DUX1000"/>
      <c r="DUY1000"/>
      <c r="DUZ1000"/>
      <c r="DVA1000"/>
      <c r="DVB1000"/>
      <c r="DVC1000"/>
      <c r="DVD1000"/>
      <c r="DVE1000"/>
      <c r="DVF1000"/>
      <c r="DVG1000"/>
      <c r="DVH1000"/>
      <c r="DVI1000"/>
      <c r="DVJ1000"/>
      <c r="DVK1000"/>
      <c r="DVL1000"/>
      <c r="DVM1000"/>
      <c r="DVN1000"/>
      <c r="DVO1000"/>
      <c r="DVP1000"/>
      <c r="DVQ1000"/>
      <c r="DVR1000"/>
      <c r="DVS1000"/>
      <c r="DVT1000"/>
      <c r="DVU1000"/>
      <c r="DVV1000"/>
      <c r="DVW1000"/>
      <c r="DVX1000"/>
      <c r="DVY1000"/>
      <c r="DVZ1000"/>
      <c r="DWA1000"/>
      <c r="DWB1000"/>
      <c r="DWC1000"/>
      <c r="DWD1000"/>
      <c r="DWE1000"/>
      <c r="DWF1000"/>
      <c r="DWG1000"/>
      <c r="DWH1000"/>
      <c r="DWI1000"/>
      <c r="DWJ1000"/>
      <c r="DWK1000"/>
      <c r="DWL1000"/>
      <c r="DWM1000"/>
      <c r="DWN1000"/>
      <c r="DWO1000"/>
      <c r="DWP1000"/>
      <c r="DWQ1000"/>
      <c r="DWR1000"/>
      <c r="DWS1000"/>
      <c r="DWT1000"/>
      <c r="DWU1000"/>
      <c r="DWV1000"/>
      <c r="DWW1000"/>
      <c r="DWX1000"/>
      <c r="DWY1000"/>
      <c r="DWZ1000"/>
      <c r="DXA1000"/>
      <c r="DXB1000"/>
      <c r="DXC1000"/>
      <c r="DXD1000"/>
      <c r="DXE1000"/>
      <c r="DXF1000"/>
      <c r="DXG1000"/>
      <c r="DXH1000"/>
      <c r="DXI1000"/>
      <c r="DXJ1000"/>
      <c r="DXK1000"/>
      <c r="DXL1000"/>
      <c r="DXM1000"/>
      <c r="DXN1000"/>
      <c r="DXO1000"/>
      <c r="DXP1000"/>
      <c r="DXQ1000"/>
      <c r="DXR1000"/>
      <c r="DXS1000"/>
      <c r="DXT1000"/>
      <c r="DXU1000"/>
      <c r="DXV1000"/>
      <c r="DXW1000"/>
      <c r="DXX1000"/>
      <c r="DXY1000"/>
      <c r="DXZ1000"/>
      <c r="DYA1000"/>
      <c r="DYB1000"/>
      <c r="DYC1000"/>
      <c r="DYD1000"/>
      <c r="DYE1000"/>
      <c r="DYF1000"/>
      <c r="DYG1000"/>
      <c r="DYH1000"/>
      <c r="DYI1000"/>
      <c r="DYJ1000"/>
      <c r="DYK1000"/>
      <c r="DYL1000"/>
      <c r="DYM1000"/>
      <c r="DYN1000"/>
      <c r="DYO1000"/>
      <c r="DYP1000"/>
      <c r="DYQ1000"/>
      <c r="DYR1000"/>
      <c r="DYS1000"/>
      <c r="DYT1000"/>
      <c r="DYU1000"/>
      <c r="DYV1000"/>
      <c r="DYW1000"/>
      <c r="DYX1000"/>
      <c r="DYY1000"/>
      <c r="DYZ1000"/>
      <c r="DZA1000"/>
      <c r="DZB1000"/>
      <c r="DZC1000"/>
      <c r="DZD1000"/>
      <c r="DZE1000"/>
      <c r="DZF1000"/>
      <c r="DZG1000"/>
      <c r="DZH1000"/>
      <c r="DZI1000"/>
      <c r="DZJ1000"/>
      <c r="DZK1000"/>
      <c r="DZL1000"/>
      <c r="DZM1000"/>
      <c r="DZN1000"/>
      <c r="DZO1000"/>
      <c r="DZP1000"/>
      <c r="DZQ1000"/>
      <c r="DZR1000"/>
      <c r="DZS1000"/>
      <c r="DZT1000"/>
      <c r="DZU1000"/>
      <c r="DZV1000"/>
      <c r="DZW1000"/>
      <c r="DZX1000"/>
      <c r="DZY1000"/>
      <c r="DZZ1000"/>
      <c r="EAA1000"/>
      <c r="EAB1000"/>
      <c r="EAC1000"/>
      <c r="EAD1000"/>
      <c r="EAE1000"/>
      <c r="EAF1000"/>
      <c r="EAG1000"/>
      <c r="EAH1000"/>
      <c r="EAI1000"/>
      <c r="EAJ1000"/>
      <c r="EAK1000"/>
      <c r="EAL1000"/>
      <c r="EAM1000"/>
      <c r="EAN1000"/>
      <c r="EAO1000"/>
      <c r="EAP1000"/>
      <c r="EAQ1000"/>
      <c r="EAR1000"/>
      <c r="EAS1000"/>
      <c r="EAT1000"/>
      <c r="EAU1000"/>
      <c r="EAV1000"/>
      <c r="EAW1000"/>
      <c r="EAX1000"/>
      <c r="EAY1000"/>
      <c r="EAZ1000"/>
      <c r="EBA1000"/>
      <c r="EBB1000"/>
      <c r="EBC1000"/>
      <c r="EBD1000"/>
      <c r="EBE1000"/>
      <c r="EBF1000"/>
      <c r="EBG1000"/>
      <c r="EBH1000"/>
      <c r="EBI1000"/>
      <c r="EBJ1000"/>
      <c r="EBK1000"/>
      <c r="EBL1000"/>
      <c r="EBM1000"/>
      <c r="EBN1000"/>
      <c r="EBO1000"/>
      <c r="EBP1000"/>
      <c r="EBQ1000"/>
      <c r="EBR1000"/>
      <c r="EBS1000"/>
      <c r="EBT1000"/>
      <c r="EBU1000"/>
      <c r="EBV1000"/>
      <c r="EBW1000"/>
      <c r="EBX1000"/>
      <c r="EBY1000"/>
      <c r="EBZ1000"/>
      <c r="ECA1000"/>
      <c r="ECB1000"/>
      <c r="ECC1000"/>
      <c r="ECD1000"/>
      <c r="ECE1000"/>
      <c r="ECF1000"/>
      <c r="ECG1000"/>
      <c r="ECH1000"/>
      <c r="ECI1000"/>
      <c r="ECJ1000"/>
      <c r="ECK1000"/>
      <c r="ECL1000"/>
      <c r="ECM1000"/>
      <c r="ECN1000"/>
      <c r="ECO1000"/>
      <c r="ECP1000"/>
      <c r="ECQ1000"/>
      <c r="ECR1000"/>
      <c r="ECS1000"/>
      <c r="ECT1000"/>
      <c r="ECU1000"/>
      <c r="ECV1000"/>
      <c r="ECW1000"/>
      <c r="ECX1000"/>
      <c r="ECY1000"/>
      <c r="ECZ1000"/>
      <c r="EDA1000"/>
      <c r="EDB1000"/>
      <c r="EDC1000"/>
      <c r="EDD1000"/>
      <c r="EDE1000"/>
      <c r="EDF1000"/>
      <c r="EDG1000"/>
      <c r="EDH1000"/>
      <c r="EDI1000"/>
      <c r="EDJ1000"/>
      <c r="EDK1000"/>
      <c r="EDL1000"/>
      <c r="EDM1000"/>
      <c r="EDN1000"/>
      <c r="EDO1000"/>
      <c r="EDP1000"/>
      <c r="EDQ1000"/>
      <c r="EDR1000"/>
      <c r="EDS1000"/>
      <c r="EDT1000"/>
      <c r="EDU1000"/>
      <c r="EDV1000"/>
      <c r="EDW1000"/>
      <c r="EDX1000"/>
      <c r="EDY1000"/>
      <c r="EDZ1000"/>
      <c r="EEA1000"/>
      <c r="EEB1000"/>
      <c r="EEC1000"/>
      <c r="EED1000"/>
      <c r="EEE1000"/>
      <c r="EEF1000"/>
      <c r="EEG1000"/>
      <c r="EEH1000"/>
      <c r="EEI1000"/>
      <c r="EEJ1000"/>
      <c r="EEK1000"/>
      <c r="EEL1000"/>
      <c r="EEM1000"/>
      <c r="EEN1000"/>
      <c r="EEO1000"/>
      <c r="EEP1000"/>
      <c r="EEQ1000"/>
      <c r="EER1000"/>
      <c r="EES1000"/>
      <c r="EET1000"/>
      <c r="EEU1000"/>
      <c r="EEV1000"/>
      <c r="EEW1000"/>
      <c r="EEX1000"/>
      <c r="EEY1000"/>
      <c r="EEZ1000"/>
      <c r="EFA1000"/>
      <c r="EFB1000"/>
      <c r="EFC1000"/>
      <c r="EFD1000"/>
      <c r="EFE1000"/>
      <c r="EFF1000"/>
      <c r="EFG1000"/>
      <c r="EFH1000"/>
      <c r="EFI1000"/>
      <c r="EFJ1000"/>
      <c r="EFK1000"/>
      <c r="EFL1000"/>
      <c r="EFM1000"/>
      <c r="EFN1000"/>
      <c r="EFO1000"/>
      <c r="EFP1000"/>
      <c r="EFQ1000"/>
      <c r="EFR1000"/>
      <c r="EFS1000"/>
      <c r="EFT1000"/>
      <c r="EFU1000"/>
      <c r="EFV1000"/>
      <c r="EFW1000"/>
      <c r="EFX1000"/>
      <c r="EFY1000"/>
      <c r="EFZ1000"/>
      <c r="EGA1000"/>
      <c r="EGB1000"/>
      <c r="EGC1000"/>
      <c r="EGD1000"/>
      <c r="EGE1000"/>
      <c r="EGF1000"/>
      <c r="EGG1000"/>
      <c r="EGH1000"/>
      <c r="EGI1000"/>
      <c r="EGJ1000"/>
      <c r="EGK1000"/>
      <c r="EGL1000"/>
      <c r="EGM1000"/>
      <c r="EGN1000"/>
      <c r="EGO1000"/>
      <c r="EGP1000"/>
      <c r="EGQ1000"/>
      <c r="EGR1000"/>
      <c r="EGS1000"/>
      <c r="EGT1000"/>
      <c r="EGU1000"/>
      <c r="EGV1000"/>
      <c r="EGW1000"/>
      <c r="EGX1000"/>
      <c r="EGY1000"/>
      <c r="EGZ1000"/>
      <c r="EHA1000"/>
      <c r="EHB1000"/>
      <c r="EHC1000"/>
      <c r="EHD1000"/>
      <c r="EHE1000"/>
      <c r="EHF1000"/>
      <c r="EHG1000"/>
      <c r="EHH1000"/>
      <c r="EHI1000"/>
      <c r="EHJ1000"/>
      <c r="EHK1000"/>
      <c r="EHL1000"/>
      <c r="EHM1000"/>
      <c r="EHN1000"/>
      <c r="EHO1000"/>
      <c r="EHP1000"/>
      <c r="EHQ1000"/>
      <c r="EHR1000"/>
      <c r="EHS1000"/>
      <c r="EHT1000"/>
      <c r="EHU1000"/>
      <c r="EHV1000"/>
      <c r="EHW1000"/>
      <c r="EHX1000"/>
      <c r="EHY1000"/>
      <c r="EHZ1000"/>
      <c r="EIA1000"/>
      <c r="EIB1000"/>
      <c r="EIC1000"/>
      <c r="EID1000"/>
      <c r="EIE1000"/>
      <c r="EIF1000"/>
      <c r="EIG1000"/>
      <c r="EIH1000"/>
      <c r="EII1000"/>
      <c r="EIJ1000"/>
      <c r="EIK1000"/>
      <c r="EIL1000"/>
      <c r="EIM1000"/>
      <c r="EIN1000"/>
      <c r="EIO1000"/>
      <c r="EIP1000"/>
      <c r="EIQ1000"/>
      <c r="EIR1000"/>
      <c r="EIS1000"/>
      <c r="EIT1000"/>
      <c r="EIU1000"/>
      <c r="EIV1000"/>
      <c r="EIW1000"/>
      <c r="EIX1000"/>
      <c r="EIY1000"/>
      <c r="EIZ1000"/>
      <c r="EJA1000"/>
      <c r="EJB1000"/>
      <c r="EJC1000"/>
      <c r="EJD1000"/>
      <c r="EJE1000"/>
      <c r="EJF1000"/>
      <c r="EJG1000"/>
      <c r="EJH1000"/>
      <c r="EJI1000"/>
      <c r="EJJ1000"/>
      <c r="EJK1000"/>
      <c r="EJL1000"/>
      <c r="EJM1000"/>
      <c r="EJN1000"/>
      <c r="EJO1000"/>
      <c r="EJP1000"/>
      <c r="EJQ1000"/>
      <c r="EJR1000"/>
      <c r="EJS1000"/>
      <c r="EJT1000"/>
      <c r="EJU1000"/>
      <c r="EJV1000"/>
      <c r="EJW1000"/>
      <c r="EJX1000"/>
      <c r="EJY1000"/>
      <c r="EJZ1000"/>
      <c r="EKA1000"/>
      <c r="EKB1000"/>
      <c r="EKC1000"/>
      <c r="EKD1000"/>
      <c r="EKE1000"/>
      <c r="EKF1000"/>
      <c r="EKG1000"/>
      <c r="EKH1000"/>
      <c r="EKI1000"/>
      <c r="EKJ1000"/>
      <c r="EKK1000"/>
      <c r="EKL1000"/>
      <c r="EKM1000"/>
      <c r="EKN1000"/>
      <c r="EKO1000"/>
      <c r="EKP1000"/>
      <c r="EKQ1000"/>
      <c r="EKR1000"/>
      <c r="EKS1000"/>
      <c r="EKT1000"/>
      <c r="EKU1000"/>
      <c r="EKV1000"/>
      <c r="EKW1000"/>
      <c r="EKX1000"/>
      <c r="EKY1000"/>
      <c r="EKZ1000"/>
      <c r="ELA1000"/>
      <c r="ELB1000"/>
      <c r="ELC1000"/>
      <c r="ELD1000"/>
      <c r="ELE1000"/>
      <c r="ELF1000"/>
      <c r="ELG1000"/>
      <c r="ELH1000"/>
      <c r="ELI1000"/>
      <c r="ELJ1000"/>
      <c r="ELK1000"/>
      <c r="ELL1000"/>
      <c r="ELM1000"/>
      <c r="ELN1000"/>
      <c r="ELO1000"/>
      <c r="ELP1000"/>
      <c r="ELQ1000"/>
      <c r="ELR1000"/>
      <c r="ELS1000"/>
      <c r="ELT1000"/>
      <c r="ELU1000"/>
      <c r="ELV1000"/>
      <c r="ELW1000"/>
      <c r="ELX1000"/>
      <c r="ELY1000"/>
      <c r="ELZ1000"/>
      <c r="EMA1000"/>
      <c r="EMB1000"/>
      <c r="EMC1000"/>
      <c r="EMD1000"/>
      <c r="EME1000"/>
      <c r="EMF1000"/>
      <c r="EMG1000"/>
      <c r="EMH1000"/>
      <c r="EMI1000"/>
      <c r="EMJ1000"/>
      <c r="EMK1000"/>
      <c r="EML1000"/>
      <c r="EMM1000"/>
      <c r="EMN1000"/>
      <c r="EMO1000"/>
      <c r="EMP1000"/>
      <c r="EMQ1000"/>
      <c r="EMR1000"/>
      <c r="EMS1000"/>
      <c r="EMT1000"/>
      <c r="EMU1000"/>
      <c r="EMV1000"/>
      <c r="EMW1000"/>
      <c r="EMX1000"/>
      <c r="EMY1000"/>
      <c r="EMZ1000"/>
      <c r="ENA1000"/>
      <c r="ENB1000"/>
      <c r="ENC1000"/>
      <c r="END1000"/>
      <c r="ENE1000"/>
      <c r="ENF1000"/>
      <c r="ENG1000"/>
      <c r="ENH1000"/>
      <c r="ENI1000"/>
      <c r="ENJ1000"/>
      <c r="ENK1000"/>
      <c r="ENL1000"/>
      <c r="ENM1000"/>
      <c r="ENN1000"/>
      <c r="ENO1000"/>
      <c r="ENP1000"/>
      <c r="ENQ1000"/>
      <c r="ENR1000"/>
      <c r="ENS1000"/>
      <c r="ENT1000"/>
      <c r="ENU1000"/>
      <c r="ENV1000"/>
      <c r="ENW1000"/>
      <c r="ENX1000"/>
      <c r="ENY1000"/>
      <c r="ENZ1000"/>
      <c r="EOA1000"/>
      <c r="EOB1000"/>
      <c r="EOC1000"/>
      <c r="EOD1000"/>
      <c r="EOE1000"/>
      <c r="EOF1000"/>
      <c r="EOG1000"/>
      <c r="EOH1000"/>
      <c r="EOI1000"/>
      <c r="EOJ1000"/>
      <c r="EOK1000"/>
      <c r="EOL1000"/>
      <c r="EOM1000"/>
      <c r="EON1000"/>
      <c r="EOO1000"/>
      <c r="EOP1000"/>
      <c r="EOQ1000"/>
      <c r="EOR1000"/>
      <c r="EOS1000"/>
      <c r="EOT1000"/>
      <c r="EOU1000"/>
      <c r="EOV1000"/>
      <c r="EOW1000"/>
      <c r="EOX1000"/>
      <c r="EOY1000"/>
      <c r="EOZ1000"/>
      <c r="EPA1000"/>
      <c r="EPB1000"/>
      <c r="EPC1000"/>
      <c r="EPD1000"/>
      <c r="EPE1000"/>
      <c r="EPF1000"/>
      <c r="EPG1000"/>
      <c r="EPH1000"/>
      <c r="EPI1000"/>
      <c r="EPJ1000"/>
      <c r="EPK1000"/>
      <c r="EPL1000"/>
      <c r="EPM1000"/>
      <c r="EPN1000"/>
      <c r="EPO1000"/>
      <c r="EPP1000"/>
      <c r="EPQ1000"/>
      <c r="EPR1000"/>
      <c r="EPS1000"/>
      <c r="EPT1000"/>
      <c r="EPU1000"/>
      <c r="EPV1000"/>
      <c r="EPW1000"/>
      <c r="EPX1000"/>
      <c r="EPY1000"/>
      <c r="EPZ1000"/>
      <c r="EQA1000"/>
      <c r="EQB1000"/>
      <c r="EQC1000"/>
      <c r="EQD1000"/>
      <c r="EQE1000"/>
      <c r="EQF1000"/>
      <c r="EQG1000"/>
      <c r="EQH1000"/>
      <c r="EQI1000"/>
      <c r="EQJ1000"/>
      <c r="EQK1000"/>
      <c r="EQL1000"/>
      <c r="EQM1000"/>
      <c r="EQN1000"/>
      <c r="EQO1000"/>
      <c r="EQP1000"/>
      <c r="EQQ1000"/>
      <c r="EQR1000"/>
      <c r="EQS1000"/>
      <c r="EQT1000"/>
      <c r="EQU1000"/>
      <c r="EQV1000"/>
      <c r="EQW1000"/>
      <c r="EQX1000"/>
      <c r="EQY1000"/>
      <c r="EQZ1000"/>
      <c r="ERA1000"/>
      <c r="ERB1000"/>
      <c r="ERC1000"/>
      <c r="ERD1000"/>
      <c r="ERE1000"/>
      <c r="ERF1000"/>
      <c r="ERG1000"/>
      <c r="ERH1000"/>
      <c r="ERI1000"/>
      <c r="ERJ1000"/>
      <c r="ERK1000"/>
      <c r="ERL1000"/>
      <c r="ERM1000"/>
      <c r="ERN1000"/>
      <c r="ERO1000"/>
      <c r="ERP1000"/>
      <c r="ERQ1000"/>
      <c r="ERR1000"/>
      <c r="ERS1000"/>
      <c r="ERT1000"/>
      <c r="ERU1000"/>
      <c r="ERV1000"/>
      <c r="ERW1000"/>
      <c r="ERX1000"/>
      <c r="ERY1000"/>
      <c r="ERZ1000"/>
      <c r="ESA1000"/>
      <c r="ESB1000"/>
      <c r="ESC1000"/>
      <c r="ESD1000"/>
      <c r="ESE1000"/>
      <c r="ESF1000"/>
      <c r="ESG1000"/>
      <c r="ESH1000"/>
      <c r="ESI1000"/>
      <c r="ESJ1000"/>
      <c r="ESK1000"/>
      <c r="ESL1000"/>
      <c r="ESM1000"/>
      <c r="ESN1000"/>
      <c r="ESO1000"/>
      <c r="ESP1000"/>
      <c r="ESQ1000"/>
      <c r="ESR1000"/>
      <c r="ESS1000"/>
      <c r="EST1000"/>
      <c r="ESU1000"/>
      <c r="ESV1000"/>
      <c r="ESW1000"/>
      <c r="ESX1000"/>
      <c r="ESY1000"/>
      <c r="ESZ1000"/>
      <c r="ETA1000"/>
      <c r="ETB1000"/>
      <c r="ETC1000"/>
      <c r="ETD1000"/>
      <c r="ETE1000"/>
      <c r="ETF1000"/>
      <c r="ETG1000"/>
      <c r="ETH1000"/>
      <c r="ETI1000"/>
      <c r="ETJ1000"/>
      <c r="ETK1000"/>
      <c r="ETL1000"/>
      <c r="ETM1000"/>
      <c r="ETN1000"/>
      <c r="ETO1000"/>
      <c r="ETP1000"/>
      <c r="ETQ1000"/>
      <c r="ETR1000"/>
      <c r="ETS1000"/>
      <c r="ETT1000"/>
      <c r="ETU1000"/>
      <c r="ETV1000"/>
      <c r="ETW1000"/>
      <c r="ETX1000"/>
      <c r="ETY1000"/>
      <c r="ETZ1000"/>
      <c r="EUA1000"/>
      <c r="EUB1000"/>
      <c r="EUC1000"/>
      <c r="EUD1000"/>
      <c r="EUE1000"/>
      <c r="EUF1000"/>
      <c r="EUG1000"/>
      <c r="EUH1000"/>
      <c r="EUI1000"/>
      <c r="EUJ1000"/>
      <c r="EUK1000"/>
      <c r="EUL1000"/>
      <c r="EUM1000"/>
      <c r="EUN1000"/>
      <c r="EUO1000"/>
      <c r="EUP1000"/>
      <c r="EUQ1000"/>
      <c r="EUR1000"/>
      <c r="EUS1000"/>
      <c r="EUT1000"/>
      <c r="EUU1000"/>
      <c r="EUV1000"/>
      <c r="EUW1000"/>
      <c r="EUX1000"/>
      <c r="EUY1000"/>
      <c r="EUZ1000"/>
      <c r="EVA1000"/>
      <c r="EVB1000"/>
      <c r="EVC1000"/>
      <c r="EVD1000"/>
      <c r="EVE1000"/>
      <c r="EVF1000"/>
      <c r="EVG1000"/>
      <c r="EVH1000"/>
      <c r="EVI1000"/>
      <c r="EVJ1000"/>
      <c r="EVK1000"/>
      <c r="EVL1000"/>
      <c r="EVM1000"/>
      <c r="EVN1000"/>
      <c r="EVO1000"/>
      <c r="EVP1000"/>
      <c r="EVQ1000"/>
      <c r="EVR1000"/>
      <c r="EVS1000"/>
      <c r="EVT1000"/>
      <c r="EVU1000"/>
      <c r="EVV1000"/>
      <c r="EVW1000"/>
      <c r="EVX1000"/>
      <c r="EVY1000"/>
      <c r="EVZ1000"/>
      <c r="EWA1000"/>
      <c r="EWB1000"/>
      <c r="EWC1000"/>
      <c r="EWD1000"/>
      <c r="EWE1000"/>
      <c r="EWF1000"/>
      <c r="EWG1000"/>
      <c r="EWH1000"/>
      <c r="EWI1000"/>
      <c r="EWJ1000"/>
      <c r="EWK1000"/>
      <c r="EWL1000"/>
      <c r="EWM1000"/>
      <c r="EWN1000"/>
      <c r="EWO1000"/>
      <c r="EWP1000"/>
      <c r="EWQ1000"/>
      <c r="EWR1000"/>
      <c r="EWS1000"/>
      <c r="EWT1000"/>
      <c r="EWU1000"/>
      <c r="EWV1000"/>
      <c r="EWW1000"/>
      <c r="EWX1000"/>
      <c r="EWY1000"/>
      <c r="EWZ1000"/>
      <c r="EXA1000"/>
      <c r="EXB1000"/>
      <c r="EXC1000"/>
      <c r="EXD1000"/>
      <c r="EXE1000"/>
      <c r="EXF1000"/>
      <c r="EXG1000"/>
      <c r="EXH1000"/>
      <c r="EXI1000"/>
      <c r="EXJ1000"/>
      <c r="EXK1000"/>
      <c r="EXL1000"/>
      <c r="EXM1000"/>
      <c r="EXN1000"/>
      <c r="EXO1000"/>
      <c r="EXP1000"/>
      <c r="EXQ1000"/>
      <c r="EXR1000"/>
      <c r="EXS1000"/>
      <c r="EXT1000"/>
      <c r="EXU1000"/>
      <c r="EXV1000"/>
      <c r="EXW1000"/>
      <c r="EXX1000"/>
      <c r="EXY1000"/>
      <c r="EXZ1000"/>
      <c r="EYA1000"/>
      <c r="EYB1000"/>
      <c r="EYC1000"/>
      <c r="EYD1000"/>
      <c r="EYE1000"/>
      <c r="EYF1000"/>
      <c r="EYG1000"/>
      <c r="EYH1000"/>
      <c r="EYI1000"/>
      <c r="EYJ1000"/>
      <c r="EYK1000"/>
      <c r="EYL1000"/>
      <c r="EYM1000"/>
      <c r="EYN1000"/>
      <c r="EYO1000"/>
      <c r="EYP1000"/>
      <c r="EYQ1000"/>
      <c r="EYR1000"/>
      <c r="EYS1000"/>
      <c r="EYT1000"/>
      <c r="EYU1000"/>
      <c r="EYV1000"/>
      <c r="EYW1000"/>
      <c r="EYX1000"/>
      <c r="EYY1000"/>
      <c r="EYZ1000"/>
      <c r="EZA1000"/>
      <c r="EZB1000"/>
      <c r="EZC1000"/>
      <c r="EZD1000"/>
      <c r="EZE1000"/>
      <c r="EZF1000"/>
      <c r="EZG1000"/>
      <c r="EZH1000"/>
      <c r="EZI1000"/>
      <c r="EZJ1000"/>
      <c r="EZK1000"/>
      <c r="EZL1000"/>
      <c r="EZM1000"/>
      <c r="EZN1000"/>
      <c r="EZO1000"/>
      <c r="EZP1000"/>
      <c r="EZQ1000"/>
      <c r="EZR1000"/>
      <c r="EZS1000"/>
      <c r="EZT1000"/>
      <c r="EZU1000"/>
      <c r="EZV1000"/>
      <c r="EZW1000"/>
      <c r="EZX1000"/>
      <c r="EZY1000"/>
      <c r="EZZ1000"/>
      <c r="FAA1000"/>
      <c r="FAB1000"/>
      <c r="FAC1000"/>
      <c r="FAD1000"/>
      <c r="FAE1000"/>
      <c r="FAF1000"/>
      <c r="FAG1000"/>
      <c r="FAH1000"/>
      <c r="FAI1000"/>
      <c r="FAJ1000"/>
      <c r="FAK1000"/>
      <c r="FAL1000"/>
      <c r="FAM1000"/>
      <c r="FAN1000"/>
      <c r="FAO1000"/>
      <c r="FAP1000"/>
      <c r="FAQ1000"/>
      <c r="FAR1000"/>
      <c r="FAS1000"/>
      <c r="FAT1000"/>
      <c r="FAU1000"/>
      <c r="FAV1000"/>
      <c r="FAW1000"/>
      <c r="FAX1000"/>
      <c r="FAY1000"/>
      <c r="FAZ1000"/>
      <c r="FBA1000"/>
      <c r="FBB1000"/>
      <c r="FBC1000"/>
      <c r="FBD1000"/>
      <c r="FBE1000"/>
      <c r="FBF1000"/>
      <c r="FBG1000"/>
      <c r="FBH1000"/>
      <c r="FBI1000"/>
      <c r="FBJ1000"/>
      <c r="FBK1000"/>
      <c r="FBL1000"/>
      <c r="FBM1000"/>
      <c r="FBN1000"/>
      <c r="FBO1000"/>
      <c r="FBP1000"/>
      <c r="FBQ1000"/>
      <c r="FBR1000"/>
      <c r="FBS1000"/>
      <c r="FBT1000"/>
      <c r="FBU1000"/>
      <c r="FBV1000"/>
      <c r="FBW1000"/>
      <c r="FBX1000"/>
      <c r="FBY1000"/>
      <c r="FBZ1000"/>
      <c r="FCA1000"/>
      <c r="FCB1000"/>
      <c r="FCC1000"/>
      <c r="FCD1000"/>
      <c r="FCE1000"/>
      <c r="FCF1000"/>
      <c r="FCG1000"/>
      <c r="FCH1000"/>
      <c r="FCI1000"/>
      <c r="FCJ1000"/>
      <c r="FCK1000"/>
      <c r="FCL1000"/>
      <c r="FCM1000"/>
      <c r="FCN1000"/>
      <c r="FCO1000"/>
      <c r="FCP1000"/>
      <c r="FCQ1000"/>
      <c r="FCR1000"/>
      <c r="FCS1000"/>
      <c r="FCT1000"/>
      <c r="FCU1000"/>
      <c r="FCV1000"/>
      <c r="FCW1000"/>
      <c r="FCX1000"/>
      <c r="FCY1000"/>
      <c r="FCZ1000"/>
      <c r="FDA1000"/>
      <c r="FDB1000"/>
      <c r="FDC1000"/>
      <c r="FDD1000"/>
      <c r="FDE1000"/>
      <c r="FDF1000"/>
      <c r="FDG1000"/>
      <c r="FDH1000"/>
      <c r="FDI1000"/>
      <c r="FDJ1000"/>
      <c r="FDK1000"/>
      <c r="FDL1000"/>
      <c r="FDM1000"/>
      <c r="FDN1000"/>
      <c r="FDO1000"/>
      <c r="FDP1000"/>
      <c r="FDQ1000"/>
      <c r="FDR1000"/>
      <c r="FDS1000"/>
      <c r="FDT1000"/>
      <c r="FDU1000"/>
      <c r="FDV1000"/>
      <c r="FDW1000"/>
      <c r="FDX1000"/>
      <c r="FDY1000"/>
      <c r="FDZ1000"/>
      <c r="FEA1000"/>
      <c r="FEB1000"/>
      <c r="FEC1000"/>
      <c r="FED1000"/>
      <c r="FEE1000"/>
      <c r="FEF1000"/>
      <c r="FEG1000"/>
      <c r="FEH1000"/>
      <c r="FEI1000"/>
      <c r="FEJ1000"/>
      <c r="FEK1000"/>
      <c r="FEL1000"/>
      <c r="FEM1000"/>
      <c r="FEN1000"/>
      <c r="FEO1000"/>
      <c r="FEP1000"/>
      <c r="FEQ1000"/>
      <c r="FER1000"/>
      <c r="FES1000"/>
      <c r="FET1000"/>
      <c r="FEU1000"/>
      <c r="FEV1000"/>
      <c r="FEW1000"/>
      <c r="FEX1000"/>
      <c r="FEY1000"/>
      <c r="FEZ1000"/>
      <c r="FFA1000"/>
      <c r="FFB1000"/>
      <c r="FFC1000"/>
      <c r="FFD1000"/>
      <c r="FFE1000"/>
      <c r="FFF1000"/>
      <c r="FFG1000"/>
      <c r="FFH1000"/>
      <c r="FFI1000"/>
      <c r="FFJ1000"/>
      <c r="FFK1000"/>
      <c r="FFL1000"/>
      <c r="FFM1000"/>
      <c r="FFN1000"/>
      <c r="FFO1000"/>
      <c r="FFP1000"/>
      <c r="FFQ1000"/>
      <c r="FFR1000"/>
      <c r="FFS1000"/>
      <c r="FFT1000"/>
      <c r="FFU1000"/>
      <c r="FFV1000"/>
      <c r="FFW1000"/>
      <c r="FFX1000"/>
      <c r="FFY1000"/>
      <c r="FFZ1000"/>
      <c r="FGA1000"/>
      <c r="FGB1000"/>
      <c r="FGC1000"/>
      <c r="FGD1000"/>
      <c r="FGE1000"/>
      <c r="FGF1000"/>
      <c r="FGG1000"/>
      <c r="FGH1000"/>
      <c r="FGI1000"/>
      <c r="FGJ1000"/>
      <c r="FGK1000"/>
      <c r="FGL1000"/>
      <c r="FGM1000"/>
      <c r="FGN1000"/>
      <c r="FGO1000"/>
      <c r="FGP1000"/>
      <c r="FGQ1000"/>
      <c r="FGR1000"/>
      <c r="FGS1000"/>
      <c r="FGT1000"/>
      <c r="FGU1000"/>
      <c r="FGV1000"/>
      <c r="FGW1000"/>
      <c r="FGX1000"/>
      <c r="FGY1000"/>
      <c r="FGZ1000"/>
      <c r="FHA1000"/>
      <c r="FHB1000"/>
      <c r="FHC1000"/>
      <c r="FHD1000"/>
      <c r="FHE1000"/>
      <c r="FHF1000"/>
      <c r="FHG1000"/>
      <c r="FHH1000"/>
      <c r="FHI1000"/>
      <c r="FHJ1000"/>
      <c r="FHK1000"/>
      <c r="FHL1000"/>
      <c r="FHM1000"/>
      <c r="FHN1000"/>
      <c r="FHO1000"/>
      <c r="FHP1000"/>
      <c r="FHQ1000"/>
      <c r="FHR1000"/>
      <c r="FHS1000"/>
      <c r="FHT1000"/>
      <c r="FHU1000"/>
      <c r="FHV1000"/>
      <c r="FHW1000"/>
      <c r="FHX1000"/>
      <c r="FHY1000"/>
      <c r="FHZ1000"/>
      <c r="FIA1000"/>
      <c r="FIB1000"/>
      <c r="FIC1000"/>
      <c r="FID1000"/>
      <c r="FIE1000"/>
      <c r="FIF1000"/>
      <c r="FIG1000"/>
      <c r="FIH1000"/>
      <c r="FII1000"/>
      <c r="FIJ1000"/>
      <c r="FIK1000"/>
      <c r="FIL1000"/>
      <c r="FIM1000"/>
      <c r="FIN1000"/>
      <c r="FIO1000"/>
      <c r="FIP1000"/>
      <c r="FIQ1000"/>
      <c r="FIR1000"/>
      <c r="FIS1000"/>
      <c r="FIT1000"/>
      <c r="FIU1000"/>
      <c r="FIV1000"/>
      <c r="FIW1000"/>
      <c r="FIX1000"/>
      <c r="FIY1000"/>
      <c r="FIZ1000"/>
      <c r="FJA1000"/>
      <c r="FJB1000"/>
      <c r="FJC1000"/>
      <c r="FJD1000"/>
      <c r="FJE1000"/>
      <c r="FJF1000"/>
      <c r="FJG1000"/>
      <c r="FJH1000"/>
      <c r="FJI1000"/>
      <c r="FJJ1000"/>
      <c r="FJK1000"/>
      <c r="FJL1000"/>
      <c r="FJM1000"/>
      <c r="FJN1000"/>
      <c r="FJO1000"/>
      <c r="FJP1000"/>
      <c r="FJQ1000"/>
      <c r="FJR1000"/>
      <c r="FJS1000"/>
      <c r="FJT1000"/>
      <c r="FJU1000"/>
      <c r="FJV1000"/>
      <c r="FJW1000"/>
      <c r="FJX1000"/>
      <c r="FJY1000"/>
      <c r="FJZ1000"/>
      <c r="FKA1000"/>
      <c r="FKB1000"/>
      <c r="FKC1000"/>
      <c r="FKD1000"/>
      <c r="FKE1000"/>
      <c r="FKF1000"/>
      <c r="FKG1000"/>
      <c r="FKH1000"/>
      <c r="FKI1000"/>
      <c r="FKJ1000"/>
      <c r="FKK1000"/>
      <c r="FKL1000"/>
      <c r="FKM1000"/>
      <c r="FKN1000"/>
      <c r="FKO1000"/>
      <c r="FKP1000"/>
      <c r="FKQ1000"/>
      <c r="FKR1000"/>
      <c r="FKS1000"/>
      <c r="FKT1000"/>
      <c r="FKU1000"/>
      <c r="FKV1000"/>
      <c r="FKW1000"/>
      <c r="FKX1000"/>
      <c r="FKY1000"/>
      <c r="FKZ1000"/>
      <c r="FLA1000"/>
      <c r="FLB1000"/>
      <c r="FLC1000"/>
      <c r="FLD1000"/>
      <c r="FLE1000"/>
      <c r="FLF1000"/>
      <c r="FLG1000"/>
      <c r="FLH1000"/>
      <c r="FLI1000"/>
      <c r="FLJ1000"/>
      <c r="FLK1000"/>
      <c r="FLL1000"/>
      <c r="FLM1000"/>
      <c r="FLN1000"/>
      <c r="FLO1000"/>
      <c r="FLP1000"/>
      <c r="FLQ1000"/>
      <c r="FLR1000"/>
      <c r="FLS1000"/>
      <c r="FLT1000"/>
      <c r="FLU1000"/>
      <c r="FLV1000"/>
      <c r="FLW1000"/>
      <c r="FLX1000"/>
      <c r="FLY1000"/>
      <c r="FLZ1000"/>
      <c r="FMA1000"/>
      <c r="FMB1000"/>
      <c r="FMC1000"/>
      <c r="FMD1000"/>
      <c r="FME1000"/>
      <c r="FMF1000"/>
      <c r="FMG1000"/>
      <c r="FMH1000"/>
      <c r="FMI1000"/>
      <c r="FMJ1000"/>
      <c r="FMK1000"/>
      <c r="FML1000"/>
      <c r="FMM1000"/>
      <c r="FMN1000"/>
      <c r="FMO1000"/>
      <c r="FMP1000"/>
      <c r="FMQ1000"/>
      <c r="FMR1000"/>
      <c r="FMS1000"/>
      <c r="FMT1000"/>
      <c r="FMU1000"/>
      <c r="FMV1000"/>
      <c r="FMW1000"/>
      <c r="FMX1000"/>
      <c r="FMY1000"/>
      <c r="FMZ1000"/>
      <c r="FNA1000"/>
      <c r="FNB1000"/>
      <c r="FNC1000"/>
      <c r="FND1000"/>
      <c r="FNE1000"/>
      <c r="FNF1000"/>
      <c r="FNG1000"/>
      <c r="FNH1000"/>
      <c r="FNI1000"/>
      <c r="FNJ1000"/>
      <c r="FNK1000"/>
      <c r="FNL1000"/>
      <c r="FNM1000"/>
      <c r="FNN1000"/>
      <c r="FNO1000"/>
      <c r="FNP1000"/>
      <c r="FNQ1000"/>
      <c r="FNR1000"/>
      <c r="FNS1000"/>
      <c r="FNT1000"/>
      <c r="FNU1000"/>
      <c r="FNV1000"/>
      <c r="FNW1000"/>
      <c r="FNX1000"/>
      <c r="FNY1000"/>
      <c r="FNZ1000"/>
      <c r="FOA1000"/>
      <c r="FOB1000"/>
      <c r="FOC1000"/>
      <c r="FOD1000"/>
      <c r="FOE1000"/>
      <c r="FOF1000"/>
      <c r="FOG1000"/>
      <c r="FOH1000"/>
      <c r="FOI1000"/>
      <c r="FOJ1000"/>
      <c r="FOK1000"/>
      <c r="FOL1000"/>
      <c r="FOM1000"/>
      <c r="FON1000"/>
      <c r="FOO1000"/>
      <c r="FOP1000"/>
      <c r="FOQ1000"/>
      <c r="FOR1000"/>
      <c r="FOS1000"/>
      <c r="FOT1000"/>
      <c r="FOU1000"/>
      <c r="FOV1000"/>
      <c r="FOW1000"/>
      <c r="FOX1000"/>
      <c r="FOY1000"/>
      <c r="FOZ1000"/>
      <c r="FPA1000"/>
      <c r="FPB1000"/>
      <c r="FPC1000"/>
      <c r="FPD1000"/>
      <c r="FPE1000"/>
      <c r="FPF1000"/>
      <c r="FPG1000"/>
      <c r="FPH1000"/>
      <c r="FPI1000"/>
      <c r="FPJ1000"/>
      <c r="FPK1000"/>
      <c r="FPL1000"/>
      <c r="FPM1000"/>
      <c r="FPN1000"/>
      <c r="FPO1000"/>
      <c r="FPP1000"/>
      <c r="FPQ1000"/>
      <c r="FPR1000"/>
      <c r="FPS1000"/>
      <c r="FPT1000"/>
      <c r="FPU1000"/>
      <c r="FPV1000"/>
      <c r="FPW1000"/>
      <c r="FPX1000"/>
      <c r="FPY1000"/>
      <c r="FPZ1000"/>
      <c r="FQA1000"/>
      <c r="FQB1000"/>
      <c r="FQC1000"/>
      <c r="FQD1000"/>
      <c r="FQE1000"/>
      <c r="FQF1000"/>
      <c r="FQG1000"/>
      <c r="FQH1000"/>
      <c r="FQI1000"/>
      <c r="FQJ1000"/>
      <c r="FQK1000"/>
      <c r="FQL1000"/>
      <c r="FQM1000"/>
      <c r="FQN1000"/>
      <c r="FQO1000"/>
      <c r="FQP1000"/>
      <c r="FQQ1000"/>
      <c r="FQR1000"/>
      <c r="FQS1000"/>
      <c r="FQT1000"/>
      <c r="FQU1000"/>
      <c r="FQV1000"/>
      <c r="FQW1000"/>
      <c r="FQX1000"/>
      <c r="FQY1000"/>
      <c r="FQZ1000"/>
      <c r="FRA1000"/>
      <c r="FRB1000"/>
      <c r="FRC1000"/>
      <c r="FRD1000"/>
      <c r="FRE1000"/>
      <c r="FRF1000"/>
      <c r="FRG1000"/>
      <c r="FRH1000"/>
      <c r="FRI1000"/>
      <c r="FRJ1000"/>
      <c r="FRK1000"/>
      <c r="FRL1000"/>
      <c r="FRM1000"/>
      <c r="FRN1000"/>
      <c r="FRO1000"/>
      <c r="FRP1000"/>
      <c r="FRQ1000"/>
      <c r="FRR1000"/>
      <c r="FRS1000"/>
      <c r="FRT1000"/>
      <c r="FRU1000"/>
      <c r="FRV1000"/>
      <c r="FRW1000"/>
      <c r="FRX1000"/>
      <c r="FRY1000"/>
      <c r="FRZ1000"/>
      <c r="FSA1000"/>
      <c r="FSB1000"/>
      <c r="FSC1000"/>
      <c r="FSD1000"/>
      <c r="FSE1000"/>
      <c r="FSF1000"/>
      <c r="FSG1000"/>
      <c r="FSH1000"/>
      <c r="FSI1000"/>
      <c r="FSJ1000"/>
      <c r="FSK1000"/>
      <c r="FSL1000"/>
      <c r="FSM1000"/>
      <c r="FSN1000"/>
      <c r="FSO1000"/>
      <c r="FSP1000"/>
      <c r="FSQ1000"/>
      <c r="FSR1000"/>
      <c r="FSS1000"/>
      <c r="FST1000"/>
      <c r="FSU1000"/>
      <c r="FSV1000"/>
      <c r="FSW1000"/>
      <c r="FSX1000"/>
      <c r="FSY1000"/>
      <c r="FSZ1000"/>
      <c r="FTA1000"/>
      <c r="FTB1000"/>
      <c r="FTC1000"/>
      <c r="FTD1000"/>
      <c r="FTE1000"/>
      <c r="FTF1000"/>
      <c r="FTG1000"/>
      <c r="FTH1000"/>
      <c r="FTI1000"/>
      <c r="FTJ1000"/>
      <c r="FTK1000"/>
      <c r="FTL1000"/>
      <c r="FTM1000"/>
      <c r="FTN1000"/>
      <c r="FTO1000"/>
      <c r="FTP1000"/>
      <c r="FTQ1000"/>
      <c r="FTR1000"/>
      <c r="FTS1000"/>
      <c r="FTT1000"/>
      <c r="FTU1000"/>
      <c r="FTV1000"/>
      <c r="FTW1000"/>
      <c r="FTX1000"/>
      <c r="FTY1000"/>
      <c r="FTZ1000"/>
      <c r="FUA1000"/>
      <c r="FUB1000"/>
      <c r="FUC1000"/>
      <c r="FUD1000"/>
      <c r="FUE1000"/>
      <c r="FUF1000"/>
      <c r="FUG1000"/>
      <c r="FUH1000"/>
      <c r="FUI1000"/>
      <c r="FUJ1000"/>
      <c r="FUK1000"/>
      <c r="FUL1000"/>
      <c r="FUM1000"/>
      <c r="FUN1000"/>
      <c r="FUO1000"/>
      <c r="FUP1000"/>
      <c r="FUQ1000"/>
      <c r="FUR1000"/>
      <c r="FUS1000"/>
      <c r="FUT1000"/>
      <c r="FUU1000"/>
      <c r="FUV1000"/>
      <c r="FUW1000"/>
      <c r="FUX1000"/>
      <c r="FUY1000"/>
      <c r="FUZ1000"/>
      <c r="FVA1000"/>
      <c r="FVB1000"/>
      <c r="FVC1000"/>
      <c r="FVD1000"/>
      <c r="FVE1000"/>
      <c r="FVF1000"/>
      <c r="FVG1000"/>
      <c r="FVH1000"/>
      <c r="FVI1000"/>
      <c r="FVJ1000"/>
      <c r="FVK1000"/>
      <c r="FVL1000"/>
      <c r="FVM1000"/>
      <c r="FVN1000"/>
      <c r="FVO1000"/>
      <c r="FVP1000"/>
      <c r="FVQ1000"/>
      <c r="FVR1000"/>
      <c r="FVS1000"/>
      <c r="FVT1000"/>
      <c r="FVU1000"/>
      <c r="FVV1000"/>
      <c r="FVW1000"/>
      <c r="FVX1000"/>
      <c r="FVY1000"/>
      <c r="FVZ1000"/>
      <c r="FWA1000"/>
      <c r="FWB1000"/>
      <c r="FWC1000"/>
      <c r="FWD1000"/>
      <c r="FWE1000"/>
      <c r="FWF1000"/>
      <c r="FWG1000"/>
      <c r="FWH1000"/>
      <c r="FWI1000"/>
      <c r="FWJ1000"/>
      <c r="FWK1000"/>
      <c r="FWL1000"/>
      <c r="FWM1000"/>
      <c r="FWN1000"/>
      <c r="FWO1000"/>
      <c r="FWP1000"/>
      <c r="FWQ1000"/>
      <c r="FWR1000"/>
      <c r="FWS1000"/>
      <c r="FWT1000"/>
      <c r="FWU1000"/>
      <c r="FWV1000"/>
      <c r="FWW1000"/>
      <c r="FWX1000"/>
      <c r="FWY1000"/>
      <c r="FWZ1000"/>
      <c r="FXA1000"/>
      <c r="FXB1000"/>
      <c r="FXC1000"/>
      <c r="FXD1000"/>
      <c r="FXE1000"/>
      <c r="FXF1000"/>
      <c r="FXG1000"/>
      <c r="FXH1000"/>
      <c r="FXI1000"/>
      <c r="FXJ1000"/>
      <c r="FXK1000"/>
      <c r="FXL1000"/>
      <c r="FXM1000"/>
      <c r="FXN1000"/>
      <c r="FXO1000"/>
      <c r="FXP1000"/>
      <c r="FXQ1000"/>
      <c r="FXR1000"/>
      <c r="FXS1000"/>
      <c r="FXT1000"/>
      <c r="FXU1000"/>
      <c r="FXV1000"/>
      <c r="FXW1000"/>
      <c r="FXX1000"/>
      <c r="FXY1000"/>
      <c r="FXZ1000"/>
      <c r="FYA1000"/>
      <c r="FYB1000"/>
      <c r="FYC1000"/>
      <c r="FYD1000"/>
      <c r="FYE1000"/>
      <c r="FYF1000"/>
      <c r="FYG1000"/>
      <c r="FYH1000"/>
      <c r="FYI1000"/>
      <c r="FYJ1000"/>
      <c r="FYK1000"/>
      <c r="FYL1000"/>
      <c r="FYM1000"/>
      <c r="FYN1000"/>
      <c r="FYO1000"/>
      <c r="FYP1000"/>
      <c r="FYQ1000"/>
      <c r="FYR1000"/>
      <c r="FYS1000"/>
      <c r="FYT1000"/>
      <c r="FYU1000"/>
      <c r="FYV1000"/>
      <c r="FYW1000"/>
      <c r="FYX1000"/>
      <c r="FYY1000"/>
      <c r="FYZ1000"/>
      <c r="FZA1000"/>
      <c r="FZB1000"/>
      <c r="FZC1000"/>
      <c r="FZD1000"/>
      <c r="FZE1000"/>
      <c r="FZF1000"/>
      <c r="FZG1000"/>
      <c r="FZH1000"/>
      <c r="FZI1000"/>
      <c r="FZJ1000"/>
      <c r="FZK1000"/>
      <c r="FZL1000"/>
      <c r="FZM1000"/>
      <c r="FZN1000"/>
      <c r="FZO1000"/>
      <c r="FZP1000"/>
      <c r="FZQ1000"/>
      <c r="FZR1000"/>
      <c r="FZS1000"/>
      <c r="FZT1000"/>
      <c r="FZU1000"/>
      <c r="FZV1000"/>
      <c r="FZW1000"/>
      <c r="FZX1000"/>
      <c r="FZY1000"/>
      <c r="FZZ1000"/>
      <c r="GAA1000"/>
      <c r="GAB1000"/>
      <c r="GAC1000"/>
      <c r="GAD1000"/>
      <c r="GAE1000"/>
      <c r="GAF1000"/>
      <c r="GAG1000"/>
      <c r="GAH1000"/>
      <c r="GAI1000"/>
      <c r="GAJ1000"/>
      <c r="GAK1000"/>
      <c r="GAL1000"/>
      <c r="GAM1000"/>
      <c r="GAN1000"/>
      <c r="GAO1000"/>
      <c r="GAP1000"/>
      <c r="GAQ1000"/>
      <c r="GAR1000"/>
      <c r="GAS1000"/>
      <c r="GAT1000"/>
      <c r="GAU1000"/>
      <c r="GAV1000"/>
      <c r="GAW1000"/>
      <c r="GAX1000"/>
      <c r="GAY1000"/>
      <c r="GAZ1000"/>
      <c r="GBA1000"/>
      <c r="GBB1000"/>
      <c r="GBC1000"/>
      <c r="GBD1000"/>
      <c r="GBE1000"/>
      <c r="GBF1000"/>
      <c r="GBG1000"/>
      <c r="GBH1000"/>
      <c r="GBI1000"/>
      <c r="GBJ1000"/>
      <c r="GBK1000"/>
      <c r="GBL1000"/>
      <c r="GBM1000"/>
      <c r="GBN1000"/>
      <c r="GBO1000"/>
      <c r="GBP1000"/>
      <c r="GBQ1000"/>
      <c r="GBR1000"/>
      <c r="GBS1000"/>
      <c r="GBT1000"/>
      <c r="GBU1000"/>
      <c r="GBV1000"/>
      <c r="GBW1000"/>
      <c r="GBX1000"/>
      <c r="GBY1000"/>
      <c r="GBZ1000"/>
      <c r="GCA1000"/>
      <c r="GCB1000"/>
      <c r="GCC1000"/>
      <c r="GCD1000"/>
      <c r="GCE1000"/>
      <c r="GCF1000"/>
      <c r="GCG1000"/>
      <c r="GCH1000"/>
      <c r="GCI1000"/>
      <c r="GCJ1000"/>
      <c r="GCK1000"/>
      <c r="GCL1000"/>
      <c r="GCM1000"/>
      <c r="GCN1000"/>
      <c r="GCO1000"/>
      <c r="GCP1000"/>
      <c r="GCQ1000"/>
      <c r="GCR1000"/>
      <c r="GCS1000"/>
      <c r="GCT1000"/>
      <c r="GCU1000"/>
      <c r="GCV1000"/>
      <c r="GCW1000"/>
      <c r="GCX1000"/>
      <c r="GCY1000"/>
      <c r="GCZ1000"/>
      <c r="GDA1000"/>
      <c r="GDB1000"/>
      <c r="GDC1000"/>
      <c r="GDD1000"/>
      <c r="GDE1000"/>
      <c r="GDF1000"/>
      <c r="GDG1000"/>
      <c r="GDH1000"/>
      <c r="GDI1000"/>
      <c r="GDJ1000"/>
      <c r="GDK1000"/>
      <c r="GDL1000"/>
      <c r="GDM1000"/>
      <c r="GDN1000"/>
      <c r="GDO1000"/>
      <c r="GDP1000"/>
      <c r="GDQ1000"/>
      <c r="GDR1000"/>
      <c r="GDS1000"/>
      <c r="GDT1000"/>
      <c r="GDU1000"/>
      <c r="GDV1000"/>
      <c r="GDW1000"/>
      <c r="GDX1000"/>
      <c r="GDY1000"/>
      <c r="GDZ1000"/>
      <c r="GEA1000"/>
      <c r="GEB1000"/>
      <c r="GEC1000"/>
      <c r="GED1000"/>
      <c r="GEE1000"/>
      <c r="GEF1000"/>
      <c r="GEG1000"/>
      <c r="GEH1000"/>
      <c r="GEI1000"/>
      <c r="GEJ1000"/>
      <c r="GEK1000"/>
      <c r="GEL1000"/>
      <c r="GEM1000"/>
      <c r="GEN1000"/>
      <c r="GEO1000"/>
      <c r="GEP1000"/>
      <c r="GEQ1000"/>
      <c r="GER1000"/>
      <c r="GES1000"/>
      <c r="GET1000"/>
      <c r="GEU1000"/>
      <c r="GEV1000"/>
      <c r="GEW1000"/>
      <c r="GEX1000"/>
      <c r="GEY1000"/>
      <c r="GEZ1000"/>
      <c r="GFA1000"/>
      <c r="GFB1000"/>
      <c r="GFC1000"/>
      <c r="GFD1000"/>
      <c r="GFE1000"/>
      <c r="GFF1000"/>
      <c r="GFG1000"/>
      <c r="GFH1000"/>
      <c r="GFI1000"/>
      <c r="GFJ1000"/>
      <c r="GFK1000"/>
      <c r="GFL1000"/>
      <c r="GFM1000"/>
      <c r="GFN1000"/>
      <c r="GFO1000"/>
      <c r="GFP1000"/>
      <c r="GFQ1000"/>
      <c r="GFR1000"/>
      <c r="GFS1000"/>
      <c r="GFT1000"/>
      <c r="GFU1000"/>
      <c r="GFV1000"/>
      <c r="GFW1000"/>
      <c r="GFX1000"/>
      <c r="GFY1000"/>
      <c r="GFZ1000"/>
      <c r="GGA1000"/>
      <c r="GGB1000"/>
      <c r="GGC1000"/>
      <c r="GGD1000"/>
      <c r="GGE1000"/>
      <c r="GGF1000"/>
      <c r="GGG1000"/>
      <c r="GGH1000"/>
      <c r="GGI1000"/>
      <c r="GGJ1000"/>
      <c r="GGK1000"/>
      <c r="GGL1000"/>
      <c r="GGM1000"/>
      <c r="GGN1000"/>
      <c r="GGO1000"/>
      <c r="GGP1000"/>
      <c r="GGQ1000"/>
      <c r="GGR1000"/>
      <c r="GGS1000"/>
      <c r="GGT1000"/>
      <c r="GGU1000"/>
      <c r="GGV1000"/>
      <c r="GGW1000"/>
      <c r="GGX1000"/>
      <c r="GGY1000"/>
      <c r="GGZ1000"/>
      <c r="GHA1000"/>
      <c r="GHB1000"/>
      <c r="GHC1000"/>
      <c r="GHD1000"/>
      <c r="GHE1000"/>
      <c r="GHF1000"/>
      <c r="GHG1000"/>
      <c r="GHH1000"/>
      <c r="GHI1000"/>
      <c r="GHJ1000"/>
      <c r="GHK1000"/>
      <c r="GHL1000"/>
      <c r="GHM1000"/>
      <c r="GHN1000"/>
      <c r="GHO1000"/>
      <c r="GHP1000"/>
      <c r="GHQ1000"/>
      <c r="GHR1000"/>
      <c r="GHS1000"/>
      <c r="GHT1000"/>
      <c r="GHU1000"/>
      <c r="GHV1000"/>
      <c r="GHW1000"/>
      <c r="GHX1000"/>
      <c r="GHY1000"/>
      <c r="GHZ1000"/>
      <c r="GIA1000"/>
      <c r="GIB1000"/>
      <c r="GIC1000"/>
      <c r="GID1000"/>
      <c r="GIE1000"/>
      <c r="GIF1000"/>
      <c r="GIG1000"/>
      <c r="GIH1000"/>
      <c r="GII1000"/>
      <c r="GIJ1000"/>
      <c r="GIK1000"/>
      <c r="GIL1000"/>
      <c r="GIM1000"/>
      <c r="GIN1000"/>
      <c r="GIO1000"/>
      <c r="GIP1000"/>
      <c r="GIQ1000"/>
      <c r="GIR1000"/>
      <c r="GIS1000"/>
      <c r="GIT1000"/>
      <c r="GIU1000"/>
      <c r="GIV1000"/>
      <c r="GIW1000"/>
      <c r="GIX1000"/>
      <c r="GIY1000"/>
      <c r="GIZ1000"/>
      <c r="GJA1000"/>
      <c r="GJB1000"/>
      <c r="GJC1000"/>
      <c r="GJD1000"/>
      <c r="GJE1000"/>
      <c r="GJF1000"/>
      <c r="GJG1000"/>
      <c r="GJH1000"/>
      <c r="GJI1000"/>
      <c r="GJJ1000"/>
      <c r="GJK1000"/>
      <c r="GJL1000"/>
      <c r="GJM1000"/>
      <c r="GJN1000"/>
      <c r="GJO1000"/>
      <c r="GJP1000"/>
      <c r="GJQ1000"/>
      <c r="GJR1000"/>
      <c r="GJS1000"/>
      <c r="GJT1000"/>
      <c r="GJU1000"/>
      <c r="GJV1000"/>
      <c r="GJW1000"/>
      <c r="GJX1000"/>
      <c r="GJY1000"/>
      <c r="GJZ1000"/>
      <c r="GKA1000"/>
      <c r="GKB1000"/>
      <c r="GKC1000"/>
      <c r="GKD1000"/>
      <c r="GKE1000"/>
      <c r="GKF1000"/>
      <c r="GKG1000"/>
      <c r="GKH1000"/>
      <c r="GKI1000"/>
      <c r="GKJ1000"/>
      <c r="GKK1000"/>
      <c r="GKL1000"/>
      <c r="GKM1000"/>
      <c r="GKN1000"/>
      <c r="GKO1000"/>
      <c r="GKP1000"/>
      <c r="GKQ1000"/>
      <c r="GKR1000"/>
      <c r="GKS1000"/>
      <c r="GKT1000"/>
      <c r="GKU1000"/>
      <c r="GKV1000"/>
      <c r="GKW1000"/>
      <c r="GKX1000"/>
      <c r="GKY1000"/>
      <c r="GKZ1000"/>
      <c r="GLA1000"/>
      <c r="GLB1000"/>
      <c r="GLC1000"/>
      <c r="GLD1000"/>
      <c r="GLE1000"/>
      <c r="GLF1000"/>
      <c r="GLG1000"/>
      <c r="GLH1000"/>
      <c r="GLI1000"/>
      <c r="GLJ1000"/>
      <c r="GLK1000"/>
      <c r="GLL1000"/>
      <c r="GLM1000"/>
      <c r="GLN1000"/>
      <c r="GLO1000"/>
      <c r="GLP1000"/>
      <c r="GLQ1000"/>
      <c r="GLR1000"/>
      <c r="GLS1000"/>
      <c r="GLT1000"/>
      <c r="GLU1000"/>
      <c r="GLV1000"/>
      <c r="GLW1000"/>
      <c r="GLX1000"/>
      <c r="GLY1000"/>
      <c r="GLZ1000"/>
      <c r="GMA1000"/>
      <c r="GMB1000"/>
      <c r="GMC1000"/>
      <c r="GMD1000"/>
      <c r="GME1000"/>
      <c r="GMF1000"/>
      <c r="GMG1000"/>
      <c r="GMH1000"/>
      <c r="GMI1000"/>
      <c r="GMJ1000"/>
      <c r="GMK1000"/>
      <c r="GML1000"/>
      <c r="GMM1000"/>
      <c r="GMN1000"/>
      <c r="GMO1000"/>
      <c r="GMP1000"/>
      <c r="GMQ1000"/>
      <c r="GMR1000"/>
      <c r="GMS1000"/>
      <c r="GMT1000"/>
      <c r="GMU1000"/>
      <c r="GMV1000"/>
      <c r="GMW1000"/>
      <c r="GMX1000"/>
      <c r="GMY1000"/>
      <c r="GMZ1000"/>
      <c r="GNA1000"/>
      <c r="GNB1000"/>
      <c r="GNC1000"/>
      <c r="GND1000"/>
      <c r="GNE1000"/>
      <c r="GNF1000"/>
      <c r="GNG1000"/>
      <c r="GNH1000"/>
      <c r="GNI1000"/>
      <c r="GNJ1000"/>
      <c r="GNK1000"/>
      <c r="GNL1000"/>
      <c r="GNM1000"/>
      <c r="GNN1000"/>
      <c r="GNO1000"/>
      <c r="GNP1000"/>
      <c r="GNQ1000"/>
      <c r="GNR1000"/>
      <c r="GNS1000"/>
      <c r="GNT1000"/>
      <c r="GNU1000"/>
      <c r="GNV1000"/>
      <c r="GNW1000"/>
      <c r="GNX1000"/>
      <c r="GNY1000"/>
      <c r="GNZ1000"/>
      <c r="GOA1000"/>
      <c r="GOB1000"/>
      <c r="GOC1000"/>
      <c r="GOD1000"/>
      <c r="GOE1000"/>
      <c r="GOF1000"/>
      <c r="GOG1000"/>
      <c r="GOH1000"/>
      <c r="GOI1000"/>
      <c r="GOJ1000"/>
      <c r="GOK1000"/>
      <c r="GOL1000"/>
      <c r="GOM1000"/>
      <c r="GON1000"/>
      <c r="GOO1000"/>
      <c r="GOP1000"/>
      <c r="GOQ1000"/>
      <c r="GOR1000"/>
      <c r="GOS1000"/>
      <c r="GOT1000"/>
      <c r="GOU1000"/>
      <c r="GOV1000"/>
      <c r="GOW1000"/>
      <c r="GOX1000"/>
      <c r="GOY1000"/>
      <c r="GOZ1000"/>
      <c r="GPA1000"/>
      <c r="GPB1000"/>
      <c r="GPC1000"/>
      <c r="GPD1000"/>
      <c r="GPE1000"/>
      <c r="GPF1000"/>
      <c r="GPG1000"/>
      <c r="GPH1000"/>
      <c r="GPI1000"/>
      <c r="GPJ1000"/>
      <c r="GPK1000"/>
      <c r="GPL1000"/>
      <c r="GPM1000"/>
      <c r="GPN1000"/>
      <c r="GPO1000"/>
      <c r="GPP1000"/>
      <c r="GPQ1000"/>
      <c r="GPR1000"/>
      <c r="GPS1000"/>
      <c r="GPT1000"/>
      <c r="GPU1000"/>
      <c r="GPV1000"/>
      <c r="GPW1000"/>
      <c r="GPX1000"/>
      <c r="GPY1000"/>
      <c r="GPZ1000"/>
      <c r="GQA1000"/>
      <c r="GQB1000"/>
      <c r="GQC1000"/>
      <c r="GQD1000"/>
      <c r="GQE1000"/>
      <c r="GQF1000"/>
      <c r="GQG1000"/>
      <c r="GQH1000"/>
      <c r="GQI1000"/>
      <c r="GQJ1000"/>
      <c r="GQK1000"/>
      <c r="GQL1000"/>
      <c r="GQM1000"/>
      <c r="GQN1000"/>
      <c r="GQO1000"/>
      <c r="GQP1000"/>
      <c r="GQQ1000"/>
      <c r="GQR1000"/>
      <c r="GQS1000"/>
      <c r="GQT1000"/>
      <c r="GQU1000"/>
      <c r="GQV1000"/>
      <c r="GQW1000"/>
      <c r="GQX1000"/>
      <c r="GQY1000"/>
      <c r="GQZ1000"/>
      <c r="GRA1000"/>
      <c r="GRB1000"/>
      <c r="GRC1000"/>
      <c r="GRD1000"/>
      <c r="GRE1000"/>
      <c r="GRF1000"/>
      <c r="GRG1000"/>
      <c r="GRH1000"/>
      <c r="GRI1000"/>
      <c r="GRJ1000"/>
      <c r="GRK1000"/>
      <c r="GRL1000"/>
      <c r="GRM1000"/>
      <c r="GRN1000"/>
      <c r="GRO1000"/>
      <c r="GRP1000"/>
      <c r="GRQ1000"/>
      <c r="GRR1000"/>
      <c r="GRS1000"/>
      <c r="GRT1000"/>
      <c r="GRU1000"/>
      <c r="GRV1000"/>
      <c r="GRW1000"/>
      <c r="GRX1000"/>
      <c r="GRY1000"/>
      <c r="GRZ1000"/>
      <c r="GSA1000"/>
      <c r="GSB1000"/>
      <c r="GSC1000"/>
      <c r="GSD1000"/>
      <c r="GSE1000"/>
      <c r="GSF1000"/>
      <c r="GSG1000"/>
      <c r="GSH1000"/>
      <c r="GSI1000"/>
      <c r="GSJ1000"/>
      <c r="GSK1000"/>
      <c r="GSL1000"/>
      <c r="GSM1000"/>
      <c r="GSN1000"/>
      <c r="GSO1000"/>
      <c r="GSP1000"/>
      <c r="GSQ1000"/>
      <c r="GSR1000"/>
      <c r="GSS1000"/>
      <c r="GST1000"/>
      <c r="GSU1000"/>
      <c r="GSV1000"/>
      <c r="GSW1000"/>
      <c r="GSX1000"/>
      <c r="GSY1000"/>
      <c r="GSZ1000"/>
      <c r="GTA1000"/>
      <c r="GTB1000"/>
      <c r="GTC1000"/>
      <c r="GTD1000"/>
      <c r="GTE1000"/>
      <c r="GTF1000"/>
      <c r="GTG1000"/>
      <c r="GTH1000"/>
      <c r="GTI1000"/>
      <c r="GTJ1000"/>
      <c r="GTK1000"/>
      <c r="GTL1000"/>
      <c r="GTM1000"/>
      <c r="GTN1000"/>
      <c r="GTO1000"/>
      <c r="GTP1000"/>
      <c r="GTQ1000"/>
      <c r="GTR1000"/>
      <c r="GTS1000"/>
      <c r="GTT1000"/>
      <c r="GTU1000"/>
      <c r="GTV1000"/>
      <c r="GTW1000"/>
      <c r="GTX1000"/>
      <c r="GTY1000"/>
      <c r="GTZ1000"/>
      <c r="GUA1000"/>
      <c r="GUB1000"/>
      <c r="GUC1000"/>
      <c r="GUD1000"/>
      <c r="GUE1000"/>
      <c r="GUF1000"/>
      <c r="GUG1000"/>
      <c r="GUH1000"/>
      <c r="GUI1000"/>
      <c r="GUJ1000"/>
      <c r="GUK1000"/>
      <c r="GUL1000"/>
      <c r="GUM1000"/>
      <c r="GUN1000"/>
      <c r="GUO1000"/>
      <c r="GUP1000"/>
      <c r="GUQ1000"/>
      <c r="GUR1000"/>
      <c r="GUS1000"/>
      <c r="GUT1000"/>
      <c r="GUU1000"/>
      <c r="GUV1000"/>
      <c r="GUW1000"/>
      <c r="GUX1000"/>
      <c r="GUY1000"/>
      <c r="GUZ1000"/>
      <c r="GVA1000"/>
      <c r="GVB1000"/>
      <c r="GVC1000"/>
      <c r="GVD1000"/>
      <c r="GVE1000"/>
      <c r="GVF1000"/>
      <c r="GVG1000"/>
      <c r="GVH1000"/>
      <c r="GVI1000"/>
      <c r="GVJ1000"/>
      <c r="GVK1000"/>
      <c r="GVL1000"/>
      <c r="GVM1000"/>
      <c r="GVN1000"/>
      <c r="GVO1000"/>
      <c r="GVP1000"/>
      <c r="GVQ1000"/>
      <c r="GVR1000"/>
      <c r="GVS1000"/>
      <c r="GVT1000"/>
      <c r="GVU1000"/>
      <c r="GVV1000"/>
      <c r="GVW1000"/>
      <c r="GVX1000"/>
      <c r="GVY1000"/>
      <c r="GVZ1000"/>
      <c r="GWA1000"/>
      <c r="GWB1000"/>
      <c r="GWC1000"/>
      <c r="GWD1000"/>
      <c r="GWE1000"/>
      <c r="GWF1000"/>
      <c r="GWG1000"/>
      <c r="GWH1000"/>
      <c r="GWI1000"/>
      <c r="GWJ1000"/>
      <c r="GWK1000"/>
      <c r="GWL1000"/>
      <c r="GWM1000"/>
      <c r="GWN1000"/>
      <c r="GWO1000"/>
      <c r="GWP1000"/>
      <c r="GWQ1000"/>
      <c r="GWR1000"/>
      <c r="GWS1000"/>
      <c r="GWT1000"/>
      <c r="GWU1000"/>
      <c r="GWV1000"/>
      <c r="GWW1000"/>
      <c r="GWX1000"/>
      <c r="GWY1000"/>
      <c r="GWZ1000"/>
      <c r="GXA1000"/>
      <c r="GXB1000"/>
      <c r="GXC1000"/>
      <c r="GXD1000"/>
      <c r="GXE1000"/>
      <c r="GXF1000"/>
      <c r="GXG1000"/>
      <c r="GXH1000"/>
      <c r="GXI1000"/>
      <c r="GXJ1000"/>
      <c r="GXK1000"/>
      <c r="GXL1000"/>
      <c r="GXM1000"/>
      <c r="GXN1000"/>
      <c r="GXO1000"/>
      <c r="GXP1000"/>
      <c r="GXQ1000"/>
      <c r="GXR1000"/>
      <c r="GXS1000"/>
      <c r="GXT1000"/>
      <c r="GXU1000"/>
      <c r="GXV1000"/>
      <c r="GXW1000"/>
      <c r="GXX1000"/>
      <c r="GXY1000"/>
      <c r="GXZ1000"/>
      <c r="GYA1000"/>
      <c r="GYB1000"/>
      <c r="GYC1000"/>
      <c r="GYD1000"/>
      <c r="GYE1000"/>
      <c r="GYF1000"/>
      <c r="GYG1000"/>
      <c r="GYH1000"/>
      <c r="GYI1000"/>
      <c r="GYJ1000"/>
      <c r="GYK1000"/>
      <c r="GYL1000"/>
      <c r="GYM1000"/>
      <c r="GYN1000"/>
      <c r="GYO1000"/>
      <c r="GYP1000"/>
      <c r="GYQ1000"/>
      <c r="GYR1000"/>
      <c r="GYS1000"/>
      <c r="GYT1000"/>
      <c r="GYU1000"/>
      <c r="GYV1000"/>
      <c r="GYW1000"/>
      <c r="GYX1000"/>
      <c r="GYY1000"/>
      <c r="GYZ1000"/>
      <c r="GZA1000"/>
      <c r="GZB1000"/>
      <c r="GZC1000"/>
      <c r="GZD1000"/>
      <c r="GZE1000"/>
      <c r="GZF1000"/>
      <c r="GZG1000"/>
      <c r="GZH1000"/>
      <c r="GZI1000"/>
      <c r="GZJ1000"/>
      <c r="GZK1000"/>
      <c r="GZL1000"/>
      <c r="GZM1000"/>
      <c r="GZN1000"/>
      <c r="GZO1000"/>
      <c r="GZP1000"/>
      <c r="GZQ1000"/>
      <c r="GZR1000"/>
      <c r="GZS1000"/>
      <c r="GZT1000"/>
      <c r="GZU1000"/>
      <c r="GZV1000"/>
      <c r="GZW1000"/>
      <c r="GZX1000"/>
      <c r="GZY1000"/>
      <c r="GZZ1000"/>
      <c r="HAA1000"/>
      <c r="HAB1000"/>
      <c r="HAC1000"/>
      <c r="HAD1000"/>
      <c r="HAE1000"/>
      <c r="HAF1000"/>
      <c r="HAG1000"/>
      <c r="HAH1000"/>
      <c r="HAI1000"/>
      <c r="HAJ1000"/>
      <c r="HAK1000"/>
      <c r="HAL1000"/>
      <c r="HAM1000"/>
      <c r="HAN1000"/>
      <c r="HAO1000"/>
      <c r="HAP1000"/>
      <c r="HAQ1000"/>
      <c r="HAR1000"/>
      <c r="HAS1000"/>
      <c r="HAT1000"/>
      <c r="HAU1000"/>
      <c r="HAV1000"/>
      <c r="HAW1000"/>
      <c r="HAX1000"/>
      <c r="HAY1000"/>
      <c r="HAZ1000"/>
      <c r="HBA1000"/>
      <c r="HBB1000"/>
      <c r="HBC1000"/>
      <c r="HBD1000"/>
      <c r="HBE1000"/>
      <c r="HBF1000"/>
      <c r="HBG1000"/>
      <c r="HBH1000"/>
      <c r="HBI1000"/>
      <c r="HBJ1000"/>
      <c r="HBK1000"/>
      <c r="HBL1000"/>
      <c r="HBM1000"/>
      <c r="HBN1000"/>
      <c r="HBO1000"/>
      <c r="HBP1000"/>
      <c r="HBQ1000"/>
      <c r="HBR1000"/>
      <c r="HBS1000"/>
      <c r="HBT1000"/>
      <c r="HBU1000"/>
      <c r="HBV1000"/>
      <c r="HBW1000"/>
      <c r="HBX1000"/>
      <c r="HBY1000"/>
      <c r="HBZ1000"/>
      <c r="HCA1000"/>
      <c r="HCB1000"/>
      <c r="HCC1000"/>
      <c r="HCD1000"/>
      <c r="HCE1000"/>
      <c r="HCF1000"/>
      <c r="HCG1000"/>
      <c r="HCH1000"/>
      <c r="HCI1000"/>
      <c r="HCJ1000"/>
      <c r="HCK1000"/>
      <c r="HCL1000"/>
      <c r="HCM1000"/>
      <c r="HCN1000"/>
      <c r="HCO1000"/>
      <c r="HCP1000"/>
      <c r="HCQ1000"/>
      <c r="HCR1000"/>
      <c r="HCS1000"/>
      <c r="HCT1000"/>
      <c r="HCU1000"/>
      <c r="HCV1000"/>
      <c r="HCW1000"/>
      <c r="HCX1000"/>
      <c r="HCY1000"/>
      <c r="HCZ1000"/>
      <c r="HDA1000"/>
      <c r="HDB1000"/>
      <c r="HDC1000"/>
      <c r="HDD1000"/>
      <c r="HDE1000"/>
      <c r="HDF1000"/>
      <c r="HDG1000"/>
      <c r="HDH1000"/>
      <c r="HDI1000"/>
      <c r="HDJ1000"/>
      <c r="HDK1000"/>
      <c r="HDL1000"/>
      <c r="HDM1000"/>
      <c r="HDN1000"/>
      <c r="HDO1000"/>
      <c r="HDP1000"/>
      <c r="HDQ1000"/>
      <c r="HDR1000"/>
      <c r="HDS1000"/>
      <c r="HDT1000"/>
      <c r="HDU1000"/>
      <c r="HDV1000"/>
      <c r="HDW1000"/>
      <c r="HDX1000"/>
      <c r="HDY1000"/>
      <c r="HDZ1000"/>
      <c r="HEA1000"/>
      <c r="HEB1000"/>
      <c r="HEC1000"/>
      <c r="HED1000"/>
      <c r="HEE1000"/>
      <c r="HEF1000"/>
      <c r="HEG1000"/>
      <c r="HEH1000"/>
      <c r="HEI1000"/>
      <c r="HEJ1000"/>
      <c r="HEK1000"/>
      <c r="HEL1000"/>
      <c r="HEM1000"/>
      <c r="HEN1000"/>
      <c r="HEO1000"/>
      <c r="HEP1000"/>
      <c r="HEQ1000"/>
      <c r="HER1000"/>
      <c r="HES1000"/>
      <c r="HET1000"/>
      <c r="HEU1000"/>
      <c r="HEV1000"/>
      <c r="HEW1000"/>
      <c r="HEX1000"/>
      <c r="HEY1000"/>
      <c r="HEZ1000"/>
      <c r="HFA1000"/>
      <c r="HFB1000"/>
      <c r="HFC1000"/>
      <c r="HFD1000"/>
      <c r="HFE1000"/>
      <c r="HFF1000"/>
      <c r="HFG1000"/>
      <c r="HFH1000"/>
      <c r="HFI1000"/>
      <c r="HFJ1000"/>
      <c r="HFK1000"/>
      <c r="HFL1000"/>
      <c r="HFM1000"/>
      <c r="HFN1000"/>
      <c r="HFO1000"/>
      <c r="HFP1000"/>
      <c r="HFQ1000"/>
      <c r="HFR1000"/>
      <c r="HFS1000"/>
      <c r="HFT1000"/>
      <c r="HFU1000"/>
      <c r="HFV1000"/>
      <c r="HFW1000"/>
      <c r="HFX1000"/>
      <c r="HFY1000"/>
      <c r="HFZ1000"/>
      <c r="HGA1000"/>
      <c r="HGB1000"/>
      <c r="HGC1000"/>
      <c r="HGD1000"/>
      <c r="HGE1000"/>
      <c r="HGF1000"/>
      <c r="HGG1000"/>
      <c r="HGH1000"/>
      <c r="HGI1000"/>
      <c r="HGJ1000"/>
      <c r="HGK1000"/>
      <c r="HGL1000"/>
      <c r="HGM1000"/>
      <c r="HGN1000"/>
      <c r="HGO1000"/>
      <c r="HGP1000"/>
      <c r="HGQ1000"/>
      <c r="HGR1000"/>
      <c r="HGS1000"/>
      <c r="HGT1000"/>
      <c r="HGU1000"/>
      <c r="HGV1000"/>
      <c r="HGW1000"/>
      <c r="HGX1000"/>
      <c r="HGY1000"/>
      <c r="HGZ1000"/>
      <c r="HHA1000"/>
      <c r="HHB1000"/>
      <c r="HHC1000"/>
      <c r="HHD1000"/>
      <c r="HHE1000"/>
      <c r="HHF1000"/>
      <c r="HHG1000"/>
      <c r="HHH1000"/>
      <c r="HHI1000"/>
      <c r="HHJ1000"/>
      <c r="HHK1000"/>
      <c r="HHL1000"/>
      <c r="HHM1000"/>
      <c r="HHN1000"/>
      <c r="HHO1000"/>
      <c r="HHP1000"/>
      <c r="HHQ1000"/>
      <c r="HHR1000"/>
      <c r="HHS1000"/>
      <c r="HHT1000"/>
      <c r="HHU1000"/>
      <c r="HHV1000"/>
      <c r="HHW1000"/>
      <c r="HHX1000"/>
      <c r="HHY1000"/>
      <c r="HHZ1000"/>
      <c r="HIA1000"/>
      <c r="HIB1000"/>
      <c r="HIC1000"/>
      <c r="HID1000"/>
      <c r="HIE1000"/>
      <c r="HIF1000"/>
      <c r="HIG1000"/>
      <c r="HIH1000"/>
      <c r="HII1000"/>
      <c r="HIJ1000"/>
      <c r="HIK1000"/>
      <c r="HIL1000"/>
      <c r="HIM1000"/>
      <c r="HIN1000"/>
      <c r="HIO1000"/>
      <c r="HIP1000"/>
      <c r="HIQ1000"/>
      <c r="HIR1000"/>
      <c r="HIS1000"/>
      <c r="HIT1000"/>
      <c r="HIU1000"/>
      <c r="HIV1000"/>
      <c r="HIW1000"/>
      <c r="HIX1000"/>
      <c r="HIY1000"/>
      <c r="HIZ1000"/>
      <c r="HJA1000"/>
      <c r="HJB1000"/>
      <c r="HJC1000"/>
      <c r="HJD1000"/>
      <c r="HJE1000"/>
      <c r="HJF1000"/>
      <c r="HJG1000"/>
      <c r="HJH1000"/>
      <c r="HJI1000"/>
      <c r="HJJ1000"/>
      <c r="HJK1000"/>
      <c r="HJL1000"/>
      <c r="HJM1000"/>
      <c r="HJN1000"/>
      <c r="HJO1000"/>
      <c r="HJP1000"/>
      <c r="HJQ1000"/>
      <c r="HJR1000"/>
      <c r="HJS1000"/>
      <c r="HJT1000"/>
      <c r="HJU1000"/>
      <c r="HJV1000"/>
      <c r="HJW1000"/>
      <c r="HJX1000"/>
      <c r="HJY1000"/>
      <c r="HJZ1000"/>
      <c r="HKA1000"/>
      <c r="HKB1000"/>
      <c r="HKC1000"/>
      <c r="HKD1000"/>
      <c r="HKE1000"/>
      <c r="HKF1000"/>
      <c r="HKG1000"/>
      <c r="HKH1000"/>
      <c r="HKI1000"/>
      <c r="HKJ1000"/>
      <c r="HKK1000"/>
      <c r="HKL1000"/>
      <c r="HKM1000"/>
      <c r="HKN1000"/>
      <c r="HKO1000"/>
      <c r="HKP1000"/>
      <c r="HKQ1000"/>
      <c r="HKR1000"/>
      <c r="HKS1000"/>
      <c r="HKT1000"/>
      <c r="HKU1000"/>
      <c r="HKV1000"/>
      <c r="HKW1000"/>
      <c r="HKX1000"/>
      <c r="HKY1000"/>
      <c r="HKZ1000"/>
      <c r="HLA1000"/>
      <c r="HLB1000"/>
      <c r="HLC1000"/>
      <c r="HLD1000"/>
      <c r="HLE1000"/>
      <c r="HLF1000"/>
      <c r="HLG1000"/>
      <c r="HLH1000"/>
      <c r="HLI1000"/>
      <c r="HLJ1000"/>
      <c r="HLK1000"/>
      <c r="HLL1000"/>
      <c r="HLM1000"/>
      <c r="HLN1000"/>
      <c r="HLO1000"/>
      <c r="HLP1000"/>
      <c r="HLQ1000"/>
      <c r="HLR1000"/>
      <c r="HLS1000"/>
      <c r="HLT1000"/>
      <c r="HLU1000"/>
      <c r="HLV1000"/>
      <c r="HLW1000"/>
      <c r="HLX1000"/>
      <c r="HLY1000"/>
      <c r="HLZ1000"/>
      <c r="HMA1000"/>
      <c r="HMB1000"/>
      <c r="HMC1000"/>
      <c r="HMD1000"/>
      <c r="HME1000"/>
      <c r="HMF1000"/>
      <c r="HMG1000"/>
      <c r="HMH1000"/>
      <c r="HMI1000"/>
      <c r="HMJ1000"/>
      <c r="HMK1000"/>
      <c r="HML1000"/>
      <c r="HMM1000"/>
      <c r="HMN1000"/>
      <c r="HMO1000"/>
      <c r="HMP1000"/>
      <c r="HMQ1000"/>
      <c r="HMR1000"/>
      <c r="HMS1000"/>
      <c r="HMT1000"/>
      <c r="HMU1000"/>
      <c r="HMV1000"/>
      <c r="HMW1000"/>
      <c r="HMX1000"/>
      <c r="HMY1000"/>
      <c r="HMZ1000"/>
      <c r="HNA1000"/>
      <c r="HNB1000"/>
      <c r="HNC1000"/>
      <c r="HND1000"/>
      <c r="HNE1000"/>
      <c r="HNF1000"/>
      <c r="HNG1000"/>
      <c r="HNH1000"/>
      <c r="HNI1000"/>
      <c r="HNJ1000"/>
      <c r="HNK1000"/>
      <c r="HNL1000"/>
      <c r="HNM1000"/>
      <c r="HNN1000"/>
      <c r="HNO1000"/>
      <c r="HNP1000"/>
      <c r="HNQ1000"/>
      <c r="HNR1000"/>
      <c r="HNS1000"/>
      <c r="HNT1000"/>
      <c r="HNU1000"/>
      <c r="HNV1000"/>
      <c r="HNW1000"/>
      <c r="HNX1000"/>
      <c r="HNY1000"/>
      <c r="HNZ1000"/>
      <c r="HOA1000"/>
      <c r="HOB1000"/>
      <c r="HOC1000"/>
      <c r="HOD1000"/>
      <c r="HOE1000"/>
      <c r="HOF1000"/>
      <c r="HOG1000"/>
      <c r="HOH1000"/>
      <c r="HOI1000"/>
      <c r="HOJ1000"/>
      <c r="HOK1000"/>
      <c r="HOL1000"/>
      <c r="HOM1000"/>
      <c r="HON1000"/>
      <c r="HOO1000"/>
      <c r="HOP1000"/>
      <c r="HOQ1000"/>
      <c r="HOR1000"/>
      <c r="HOS1000"/>
      <c r="HOT1000"/>
      <c r="HOU1000"/>
      <c r="HOV1000"/>
      <c r="HOW1000"/>
      <c r="HOX1000"/>
      <c r="HOY1000"/>
      <c r="HOZ1000"/>
      <c r="HPA1000"/>
      <c r="HPB1000"/>
      <c r="HPC1000"/>
      <c r="HPD1000"/>
      <c r="HPE1000"/>
      <c r="HPF1000"/>
      <c r="HPG1000"/>
      <c r="HPH1000"/>
      <c r="HPI1000"/>
      <c r="HPJ1000"/>
      <c r="HPK1000"/>
      <c r="HPL1000"/>
      <c r="HPM1000"/>
      <c r="HPN1000"/>
      <c r="HPO1000"/>
      <c r="HPP1000"/>
      <c r="HPQ1000"/>
      <c r="HPR1000"/>
      <c r="HPS1000"/>
      <c r="HPT1000"/>
      <c r="HPU1000"/>
      <c r="HPV1000"/>
      <c r="HPW1000"/>
      <c r="HPX1000"/>
      <c r="HPY1000"/>
      <c r="HPZ1000"/>
      <c r="HQA1000"/>
      <c r="HQB1000"/>
      <c r="HQC1000"/>
      <c r="HQD1000"/>
      <c r="HQE1000"/>
      <c r="HQF1000"/>
      <c r="HQG1000"/>
      <c r="HQH1000"/>
      <c r="HQI1000"/>
      <c r="HQJ1000"/>
      <c r="HQK1000"/>
      <c r="HQL1000"/>
      <c r="HQM1000"/>
      <c r="HQN1000"/>
      <c r="HQO1000"/>
      <c r="HQP1000"/>
      <c r="HQQ1000"/>
      <c r="HQR1000"/>
      <c r="HQS1000"/>
      <c r="HQT1000"/>
      <c r="HQU1000"/>
      <c r="HQV1000"/>
      <c r="HQW1000"/>
      <c r="HQX1000"/>
      <c r="HQY1000"/>
      <c r="HQZ1000"/>
      <c r="HRA1000"/>
      <c r="HRB1000"/>
      <c r="HRC1000"/>
      <c r="HRD1000"/>
      <c r="HRE1000"/>
      <c r="HRF1000"/>
      <c r="HRG1000"/>
      <c r="HRH1000"/>
      <c r="HRI1000"/>
      <c r="HRJ1000"/>
      <c r="HRK1000"/>
      <c r="HRL1000"/>
      <c r="HRM1000"/>
      <c r="HRN1000"/>
      <c r="HRO1000"/>
      <c r="HRP1000"/>
      <c r="HRQ1000"/>
      <c r="HRR1000"/>
      <c r="HRS1000"/>
      <c r="HRT1000"/>
      <c r="HRU1000"/>
      <c r="HRV1000"/>
      <c r="HRW1000"/>
      <c r="HRX1000"/>
      <c r="HRY1000"/>
      <c r="HRZ1000"/>
      <c r="HSA1000"/>
      <c r="HSB1000"/>
      <c r="HSC1000"/>
      <c r="HSD1000"/>
      <c r="HSE1000"/>
      <c r="HSF1000"/>
      <c r="HSG1000"/>
      <c r="HSH1000"/>
      <c r="HSI1000"/>
      <c r="HSJ1000"/>
      <c r="HSK1000"/>
      <c r="HSL1000"/>
      <c r="HSM1000"/>
      <c r="HSN1000"/>
      <c r="HSO1000"/>
      <c r="HSP1000"/>
      <c r="HSQ1000"/>
      <c r="HSR1000"/>
      <c r="HSS1000"/>
      <c r="HST1000"/>
      <c r="HSU1000"/>
      <c r="HSV1000"/>
      <c r="HSW1000"/>
      <c r="HSX1000"/>
      <c r="HSY1000"/>
      <c r="HSZ1000"/>
      <c r="HTA1000"/>
      <c r="HTB1000"/>
      <c r="HTC1000"/>
      <c r="HTD1000"/>
      <c r="HTE1000"/>
      <c r="HTF1000"/>
      <c r="HTG1000"/>
      <c r="HTH1000"/>
      <c r="HTI1000"/>
      <c r="HTJ1000"/>
      <c r="HTK1000"/>
      <c r="HTL1000"/>
      <c r="HTM1000"/>
      <c r="HTN1000"/>
      <c r="HTO1000"/>
      <c r="HTP1000"/>
      <c r="HTQ1000"/>
      <c r="HTR1000"/>
      <c r="HTS1000"/>
      <c r="HTT1000"/>
      <c r="HTU1000"/>
      <c r="HTV1000"/>
      <c r="HTW1000"/>
      <c r="HTX1000"/>
      <c r="HTY1000"/>
      <c r="HTZ1000"/>
      <c r="HUA1000"/>
      <c r="HUB1000"/>
      <c r="HUC1000"/>
      <c r="HUD1000"/>
      <c r="HUE1000"/>
      <c r="HUF1000"/>
      <c r="HUG1000"/>
      <c r="HUH1000"/>
      <c r="HUI1000"/>
      <c r="HUJ1000"/>
      <c r="HUK1000"/>
      <c r="HUL1000"/>
      <c r="HUM1000"/>
      <c r="HUN1000"/>
      <c r="HUO1000"/>
      <c r="HUP1000"/>
      <c r="HUQ1000"/>
      <c r="HUR1000"/>
      <c r="HUS1000"/>
      <c r="HUT1000"/>
      <c r="HUU1000"/>
      <c r="HUV1000"/>
      <c r="HUW1000"/>
      <c r="HUX1000"/>
      <c r="HUY1000"/>
      <c r="HUZ1000"/>
      <c r="HVA1000"/>
      <c r="HVB1000"/>
      <c r="HVC1000"/>
      <c r="HVD1000"/>
      <c r="HVE1000"/>
      <c r="HVF1000"/>
      <c r="HVG1000"/>
      <c r="HVH1000"/>
      <c r="HVI1000"/>
      <c r="HVJ1000"/>
      <c r="HVK1000"/>
      <c r="HVL1000"/>
      <c r="HVM1000"/>
      <c r="HVN1000"/>
      <c r="HVO1000"/>
      <c r="HVP1000"/>
      <c r="HVQ1000"/>
      <c r="HVR1000"/>
      <c r="HVS1000"/>
      <c r="HVT1000"/>
      <c r="HVU1000"/>
      <c r="HVV1000"/>
      <c r="HVW1000"/>
      <c r="HVX1000"/>
      <c r="HVY1000"/>
      <c r="HVZ1000"/>
      <c r="HWA1000"/>
      <c r="HWB1000"/>
      <c r="HWC1000"/>
      <c r="HWD1000"/>
      <c r="HWE1000"/>
      <c r="HWF1000"/>
      <c r="HWG1000"/>
      <c r="HWH1000"/>
      <c r="HWI1000"/>
      <c r="HWJ1000"/>
      <c r="HWK1000"/>
      <c r="HWL1000"/>
      <c r="HWM1000"/>
      <c r="HWN1000"/>
      <c r="HWO1000"/>
      <c r="HWP1000"/>
      <c r="HWQ1000"/>
      <c r="HWR1000"/>
      <c r="HWS1000"/>
      <c r="HWT1000"/>
      <c r="HWU1000"/>
      <c r="HWV1000"/>
      <c r="HWW1000"/>
      <c r="HWX1000"/>
      <c r="HWY1000"/>
      <c r="HWZ1000"/>
      <c r="HXA1000"/>
      <c r="HXB1000"/>
      <c r="HXC1000"/>
      <c r="HXD1000"/>
      <c r="HXE1000"/>
      <c r="HXF1000"/>
      <c r="HXG1000"/>
      <c r="HXH1000"/>
      <c r="HXI1000"/>
      <c r="HXJ1000"/>
      <c r="HXK1000"/>
      <c r="HXL1000"/>
      <c r="HXM1000"/>
      <c r="HXN1000"/>
      <c r="HXO1000"/>
      <c r="HXP1000"/>
      <c r="HXQ1000"/>
      <c r="HXR1000"/>
      <c r="HXS1000"/>
      <c r="HXT1000"/>
      <c r="HXU1000"/>
      <c r="HXV1000"/>
      <c r="HXW1000"/>
      <c r="HXX1000"/>
      <c r="HXY1000"/>
      <c r="HXZ1000"/>
      <c r="HYA1000"/>
      <c r="HYB1000"/>
      <c r="HYC1000"/>
      <c r="HYD1000"/>
      <c r="HYE1000"/>
      <c r="HYF1000"/>
      <c r="HYG1000"/>
      <c r="HYH1000"/>
      <c r="HYI1000"/>
      <c r="HYJ1000"/>
      <c r="HYK1000"/>
      <c r="HYL1000"/>
      <c r="HYM1000"/>
      <c r="HYN1000"/>
      <c r="HYO1000"/>
      <c r="HYP1000"/>
      <c r="HYQ1000"/>
      <c r="HYR1000"/>
      <c r="HYS1000"/>
      <c r="HYT1000"/>
      <c r="HYU1000"/>
      <c r="HYV1000"/>
      <c r="HYW1000"/>
      <c r="HYX1000"/>
      <c r="HYY1000"/>
      <c r="HYZ1000"/>
      <c r="HZA1000"/>
      <c r="HZB1000"/>
      <c r="HZC1000"/>
      <c r="HZD1000"/>
      <c r="HZE1000"/>
      <c r="HZF1000"/>
      <c r="HZG1000"/>
      <c r="HZH1000"/>
      <c r="HZI1000"/>
      <c r="HZJ1000"/>
      <c r="HZK1000"/>
      <c r="HZL1000"/>
      <c r="HZM1000"/>
      <c r="HZN1000"/>
      <c r="HZO1000"/>
      <c r="HZP1000"/>
      <c r="HZQ1000"/>
      <c r="HZR1000"/>
      <c r="HZS1000"/>
      <c r="HZT1000"/>
      <c r="HZU1000"/>
      <c r="HZV1000"/>
      <c r="HZW1000"/>
      <c r="HZX1000"/>
      <c r="HZY1000"/>
      <c r="HZZ1000"/>
      <c r="IAA1000"/>
      <c r="IAB1000"/>
      <c r="IAC1000"/>
      <c r="IAD1000"/>
      <c r="IAE1000"/>
      <c r="IAF1000"/>
      <c r="IAG1000"/>
      <c r="IAH1000"/>
      <c r="IAI1000"/>
      <c r="IAJ1000"/>
      <c r="IAK1000"/>
      <c r="IAL1000"/>
      <c r="IAM1000"/>
      <c r="IAN1000"/>
      <c r="IAO1000"/>
      <c r="IAP1000"/>
      <c r="IAQ1000"/>
      <c r="IAR1000"/>
      <c r="IAS1000"/>
      <c r="IAT1000"/>
      <c r="IAU1000"/>
      <c r="IAV1000"/>
      <c r="IAW1000"/>
      <c r="IAX1000"/>
      <c r="IAY1000"/>
      <c r="IAZ1000"/>
      <c r="IBA1000"/>
      <c r="IBB1000"/>
      <c r="IBC1000"/>
      <c r="IBD1000"/>
      <c r="IBE1000"/>
      <c r="IBF1000"/>
      <c r="IBG1000"/>
      <c r="IBH1000"/>
      <c r="IBI1000"/>
      <c r="IBJ1000"/>
      <c r="IBK1000"/>
      <c r="IBL1000"/>
      <c r="IBM1000"/>
      <c r="IBN1000"/>
      <c r="IBO1000"/>
      <c r="IBP1000"/>
      <c r="IBQ1000"/>
      <c r="IBR1000"/>
      <c r="IBS1000"/>
      <c r="IBT1000"/>
      <c r="IBU1000"/>
      <c r="IBV1000"/>
      <c r="IBW1000"/>
      <c r="IBX1000"/>
      <c r="IBY1000"/>
      <c r="IBZ1000"/>
      <c r="ICA1000"/>
      <c r="ICB1000"/>
      <c r="ICC1000"/>
      <c r="ICD1000"/>
      <c r="ICE1000"/>
      <c r="ICF1000"/>
      <c r="ICG1000"/>
      <c r="ICH1000"/>
      <c r="ICI1000"/>
      <c r="ICJ1000"/>
      <c r="ICK1000"/>
      <c r="ICL1000"/>
      <c r="ICM1000"/>
      <c r="ICN1000"/>
      <c r="ICO1000"/>
      <c r="ICP1000"/>
      <c r="ICQ1000"/>
      <c r="ICR1000"/>
      <c r="ICS1000"/>
      <c r="ICT1000"/>
      <c r="ICU1000"/>
      <c r="ICV1000"/>
      <c r="ICW1000"/>
      <c r="ICX1000"/>
      <c r="ICY1000"/>
      <c r="ICZ1000"/>
      <c r="IDA1000"/>
      <c r="IDB1000"/>
      <c r="IDC1000"/>
      <c r="IDD1000"/>
      <c r="IDE1000"/>
      <c r="IDF1000"/>
      <c r="IDG1000"/>
      <c r="IDH1000"/>
      <c r="IDI1000"/>
      <c r="IDJ1000"/>
      <c r="IDK1000"/>
      <c r="IDL1000"/>
      <c r="IDM1000"/>
      <c r="IDN1000"/>
      <c r="IDO1000"/>
      <c r="IDP1000"/>
      <c r="IDQ1000"/>
      <c r="IDR1000"/>
      <c r="IDS1000"/>
      <c r="IDT1000"/>
      <c r="IDU1000"/>
      <c r="IDV1000"/>
      <c r="IDW1000"/>
      <c r="IDX1000"/>
      <c r="IDY1000"/>
      <c r="IDZ1000"/>
      <c r="IEA1000"/>
      <c r="IEB1000"/>
      <c r="IEC1000"/>
      <c r="IED1000"/>
      <c r="IEE1000"/>
      <c r="IEF1000"/>
      <c r="IEG1000"/>
      <c r="IEH1000"/>
      <c r="IEI1000"/>
      <c r="IEJ1000"/>
      <c r="IEK1000"/>
      <c r="IEL1000"/>
      <c r="IEM1000"/>
      <c r="IEN1000"/>
      <c r="IEO1000"/>
      <c r="IEP1000"/>
      <c r="IEQ1000"/>
      <c r="IER1000"/>
      <c r="IES1000"/>
      <c r="IET1000"/>
      <c r="IEU1000"/>
      <c r="IEV1000"/>
      <c r="IEW1000"/>
      <c r="IEX1000"/>
      <c r="IEY1000"/>
      <c r="IEZ1000"/>
      <c r="IFA1000"/>
      <c r="IFB1000"/>
      <c r="IFC1000"/>
      <c r="IFD1000"/>
      <c r="IFE1000"/>
      <c r="IFF1000"/>
      <c r="IFG1000"/>
      <c r="IFH1000"/>
      <c r="IFI1000"/>
      <c r="IFJ1000"/>
      <c r="IFK1000"/>
      <c r="IFL1000"/>
      <c r="IFM1000"/>
      <c r="IFN1000"/>
      <c r="IFO1000"/>
      <c r="IFP1000"/>
      <c r="IFQ1000"/>
      <c r="IFR1000"/>
      <c r="IFS1000"/>
      <c r="IFT1000"/>
      <c r="IFU1000"/>
      <c r="IFV1000"/>
      <c r="IFW1000"/>
      <c r="IFX1000"/>
      <c r="IFY1000"/>
      <c r="IFZ1000"/>
      <c r="IGA1000"/>
      <c r="IGB1000"/>
      <c r="IGC1000"/>
      <c r="IGD1000"/>
      <c r="IGE1000"/>
      <c r="IGF1000"/>
      <c r="IGG1000"/>
      <c r="IGH1000"/>
      <c r="IGI1000"/>
      <c r="IGJ1000"/>
      <c r="IGK1000"/>
      <c r="IGL1000"/>
      <c r="IGM1000"/>
      <c r="IGN1000"/>
      <c r="IGO1000"/>
      <c r="IGP1000"/>
      <c r="IGQ1000"/>
      <c r="IGR1000"/>
      <c r="IGS1000"/>
      <c r="IGT1000"/>
      <c r="IGU1000"/>
      <c r="IGV1000"/>
      <c r="IGW1000"/>
      <c r="IGX1000"/>
      <c r="IGY1000"/>
      <c r="IGZ1000"/>
      <c r="IHA1000"/>
      <c r="IHB1000"/>
      <c r="IHC1000"/>
      <c r="IHD1000"/>
      <c r="IHE1000"/>
      <c r="IHF1000"/>
      <c r="IHG1000"/>
      <c r="IHH1000"/>
      <c r="IHI1000"/>
      <c r="IHJ1000"/>
      <c r="IHK1000"/>
      <c r="IHL1000"/>
      <c r="IHM1000"/>
      <c r="IHN1000"/>
      <c r="IHO1000"/>
      <c r="IHP1000"/>
      <c r="IHQ1000"/>
      <c r="IHR1000"/>
      <c r="IHS1000"/>
      <c r="IHT1000"/>
      <c r="IHU1000"/>
      <c r="IHV1000"/>
      <c r="IHW1000"/>
      <c r="IHX1000"/>
      <c r="IHY1000"/>
      <c r="IHZ1000"/>
      <c r="IIA1000"/>
      <c r="IIB1000"/>
      <c r="IIC1000"/>
      <c r="IID1000"/>
      <c r="IIE1000"/>
      <c r="IIF1000"/>
      <c r="IIG1000"/>
      <c r="IIH1000"/>
      <c r="III1000"/>
      <c r="IIJ1000"/>
      <c r="IIK1000"/>
      <c r="IIL1000"/>
      <c r="IIM1000"/>
      <c r="IIN1000"/>
      <c r="IIO1000"/>
      <c r="IIP1000"/>
      <c r="IIQ1000"/>
      <c r="IIR1000"/>
      <c r="IIS1000"/>
      <c r="IIT1000"/>
      <c r="IIU1000"/>
      <c r="IIV1000"/>
      <c r="IIW1000"/>
      <c r="IIX1000"/>
      <c r="IIY1000"/>
      <c r="IIZ1000"/>
      <c r="IJA1000"/>
      <c r="IJB1000"/>
      <c r="IJC1000"/>
      <c r="IJD1000"/>
      <c r="IJE1000"/>
      <c r="IJF1000"/>
      <c r="IJG1000"/>
      <c r="IJH1000"/>
      <c r="IJI1000"/>
      <c r="IJJ1000"/>
      <c r="IJK1000"/>
      <c r="IJL1000"/>
      <c r="IJM1000"/>
      <c r="IJN1000"/>
      <c r="IJO1000"/>
      <c r="IJP1000"/>
      <c r="IJQ1000"/>
      <c r="IJR1000"/>
      <c r="IJS1000"/>
      <c r="IJT1000"/>
      <c r="IJU1000"/>
      <c r="IJV1000"/>
      <c r="IJW1000"/>
      <c r="IJX1000"/>
      <c r="IJY1000"/>
      <c r="IJZ1000"/>
      <c r="IKA1000"/>
      <c r="IKB1000"/>
      <c r="IKC1000"/>
      <c r="IKD1000"/>
      <c r="IKE1000"/>
      <c r="IKF1000"/>
      <c r="IKG1000"/>
      <c r="IKH1000"/>
      <c r="IKI1000"/>
      <c r="IKJ1000"/>
      <c r="IKK1000"/>
      <c r="IKL1000"/>
      <c r="IKM1000"/>
      <c r="IKN1000"/>
      <c r="IKO1000"/>
      <c r="IKP1000"/>
      <c r="IKQ1000"/>
      <c r="IKR1000"/>
      <c r="IKS1000"/>
      <c r="IKT1000"/>
      <c r="IKU1000"/>
      <c r="IKV1000"/>
      <c r="IKW1000"/>
      <c r="IKX1000"/>
      <c r="IKY1000"/>
      <c r="IKZ1000"/>
      <c r="ILA1000"/>
      <c r="ILB1000"/>
      <c r="ILC1000"/>
      <c r="ILD1000"/>
      <c r="ILE1000"/>
      <c r="ILF1000"/>
      <c r="ILG1000"/>
      <c r="ILH1000"/>
      <c r="ILI1000"/>
      <c r="ILJ1000"/>
      <c r="ILK1000"/>
      <c r="ILL1000"/>
      <c r="ILM1000"/>
      <c r="ILN1000"/>
      <c r="ILO1000"/>
      <c r="ILP1000"/>
      <c r="ILQ1000"/>
      <c r="ILR1000"/>
      <c r="ILS1000"/>
      <c r="ILT1000"/>
      <c r="ILU1000"/>
      <c r="ILV1000"/>
      <c r="ILW1000"/>
      <c r="ILX1000"/>
      <c r="ILY1000"/>
      <c r="ILZ1000"/>
      <c r="IMA1000"/>
      <c r="IMB1000"/>
      <c r="IMC1000"/>
      <c r="IMD1000"/>
      <c r="IME1000"/>
      <c r="IMF1000"/>
      <c r="IMG1000"/>
      <c r="IMH1000"/>
      <c r="IMI1000"/>
      <c r="IMJ1000"/>
      <c r="IMK1000"/>
      <c r="IML1000"/>
      <c r="IMM1000"/>
      <c r="IMN1000"/>
      <c r="IMO1000"/>
      <c r="IMP1000"/>
      <c r="IMQ1000"/>
      <c r="IMR1000"/>
      <c r="IMS1000"/>
      <c r="IMT1000"/>
      <c r="IMU1000"/>
      <c r="IMV1000"/>
      <c r="IMW1000"/>
      <c r="IMX1000"/>
      <c r="IMY1000"/>
      <c r="IMZ1000"/>
      <c r="INA1000"/>
      <c r="INB1000"/>
      <c r="INC1000"/>
      <c r="IND1000"/>
      <c r="INE1000"/>
      <c r="INF1000"/>
      <c r="ING1000"/>
      <c r="INH1000"/>
      <c r="INI1000"/>
      <c r="INJ1000"/>
      <c r="INK1000"/>
      <c r="INL1000"/>
      <c r="INM1000"/>
      <c r="INN1000"/>
      <c r="INO1000"/>
      <c r="INP1000"/>
      <c r="INQ1000"/>
      <c r="INR1000"/>
      <c r="INS1000"/>
      <c r="INT1000"/>
      <c r="INU1000"/>
      <c r="INV1000"/>
      <c r="INW1000"/>
      <c r="INX1000"/>
      <c r="INY1000"/>
      <c r="INZ1000"/>
      <c r="IOA1000"/>
      <c r="IOB1000"/>
      <c r="IOC1000"/>
      <c r="IOD1000"/>
      <c r="IOE1000"/>
      <c r="IOF1000"/>
      <c r="IOG1000"/>
      <c r="IOH1000"/>
      <c r="IOI1000"/>
      <c r="IOJ1000"/>
      <c r="IOK1000"/>
      <c r="IOL1000"/>
      <c r="IOM1000"/>
      <c r="ION1000"/>
      <c r="IOO1000"/>
      <c r="IOP1000"/>
      <c r="IOQ1000"/>
      <c r="IOR1000"/>
      <c r="IOS1000"/>
      <c r="IOT1000"/>
      <c r="IOU1000"/>
      <c r="IOV1000"/>
      <c r="IOW1000"/>
      <c r="IOX1000"/>
      <c r="IOY1000"/>
      <c r="IOZ1000"/>
      <c r="IPA1000"/>
      <c r="IPB1000"/>
      <c r="IPC1000"/>
      <c r="IPD1000"/>
      <c r="IPE1000"/>
      <c r="IPF1000"/>
      <c r="IPG1000"/>
      <c r="IPH1000"/>
      <c r="IPI1000"/>
      <c r="IPJ1000"/>
      <c r="IPK1000"/>
      <c r="IPL1000"/>
      <c r="IPM1000"/>
      <c r="IPN1000"/>
      <c r="IPO1000"/>
      <c r="IPP1000"/>
      <c r="IPQ1000"/>
      <c r="IPR1000"/>
      <c r="IPS1000"/>
      <c r="IPT1000"/>
      <c r="IPU1000"/>
      <c r="IPV1000"/>
      <c r="IPW1000"/>
      <c r="IPX1000"/>
      <c r="IPY1000"/>
      <c r="IPZ1000"/>
      <c r="IQA1000"/>
      <c r="IQB1000"/>
      <c r="IQC1000"/>
      <c r="IQD1000"/>
      <c r="IQE1000"/>
      <c r="IQF1000"/>
      <c r="IQG1000"/>
      <c r="IQH1000"/>
      <c r="IQI1000"/>
      <c r="IQJ1000"/>
      <c r="IQK1000"/>
      <c r="IQL1000"/>
      <c r="IQM1000"/>
      <c r="IQN1000"/>
      <c r="IQO1000"/>
      <c r="IQP1000"/>
      <c r="IQQ1000"/>
      <c r="IQR1000"/>
      <c r="IQS1000"/>
      <c r="IQT1000"/>
      <c r="IQU1000"/>
      <c r="IQV1000"/>
      <c r="IQW1000"/>
      <c r="IQX1000"/>
      <c r="IQY1000"/>
      <c r="IQZ1000"/>
      <c r="IRA1000"/>
      <c r="IRB1000"/>
      <c r="IRC1000"/>
      <c r="IRD1000"/>
      <c r="IRE1000"/>
      <c r="IRF1000"/>
      <c r="IRG1000"/>
      <c r="IRH1000"/>
      <c r="IRI1000"/>
      <c r="IRJ1000"/>
      <c r="IRK1000"/>
      <c r="IRL1000"/>
      <c r="IRM1000"/>
      <c r="IRN1000"/>
      <c r="IRO1000"/>
      <c r="IRP1000"/>
      <c r="IRQ1000"/>
      <c r="IRR1000"/>
      <c r="IRS1000"/>
      <c r="IRT1000"/>
      <c r="IRU1000"/>
      <c r="IRV1000"/>
      <c r="IRW1000"/>
      <c r="IRX1000"/>
      <c r="IRY1000"/>
      <c r="IRZ1000"/>
      <c r="ISA1000"/>
      <c r="ISB1000"/>
      <c r="ISC1000"/>
      <c r="ISD1000"/>
      <c r="ISE1000"/>
      <c r="ISF1000"/>
      <c r="ISG1000"/>
      <c r="ISH1000"/>
      <c r="ISI1000"/>
      <c r="ISJ1000"/>
      <c r="ISK1000"/>
      <c r="ISL1000"/>
      <c r="ISM1000"/>
      <c r="ISN1000"/>
      <c r="ISO1000"/>
      <c r="ISP1000"/>
      <c r="ISQ1000"/>
      <c r="ISR1000"/>
      <c r="ISS1000"/>
      <c r="IST1000"/>
      <c r="ISU1000"/>
      <c r="ISV1000"/>
      <c r="ISW1000"/>
      <c r="ISX1000"/>
      <c r="ISY1000"/>
      <c r="ISZ1000"/>
      <c r="ITA1000"/>
      <c r="ITB1000"/>
      <c r="ITC1000"/>
      <c r="ITD1000"/>
      <c r="ITE1000"/>
      <c r="ITF1000"/>
      <c r="ITG1000"/>
      <c r="ITH1000"/>
      <c r="ITI1000"/>
      <c r="ITJ1000"/>
      <c r="ITK1000"/>
      <c r="ITL1000"/>
      <c r="ITM1000"/>
      <c r="ITN1000"/>
      <c r="ITO1000"/>
      <c r="ITP1000"/>
      <c r="ITQ1000"/>
      <c r="ITR1000"/>
      <c r="ITS1000"/>
      <c r="ITT1000"/>
      <c r="ITU1000"/>
      <c r="ITV1000"/>
      <c r="ITW1000"/>
      <c r="ITX1000"/>
      <c r="ITY1000"/>
      <c r="ITZ1000"/>
      <c r="IUA1000"/>
      <c r="IUB1000"/>
      <c r="IUC1000"/>
      <c r="IUD1000"/>
      <c r="IUE1000"/>
      <c r="IUF1000"/>
      <c r="IUG1000"/>
      <c r="IUH1000"/>
      <c r="IUI1000"/>
      <c r="IUJ1000"/>
      <c r="IUK1000"/>
      <c r="IUL1000"/>
      <c r="IUM1000"/>
      <c r="IUN1000"/>
      <c r="IUO1000"/>
      <c r="IUP1000"/>
      <c r="IUQ1000"/>
      <c r="IUR1000"/>
      <c r="IUS1000"/>
      <c r="IUT1000"/>
      <c r="IUU1000"/>
      <c r="IUV1000"/>
      <c r="IUW1000"/>
      <c r="IUX1000"/>
      <c r="IUY1000"/>
      <c r="IUZ1000"/>
      <c r="IVA1000"/>
      <c r="IVB1000"/>
      <c r="IVC1000"/>
      <c r="IVD1000"/>
      <c r="IVE1000"/>
      <c r="IVF1000"/>
      <c r="IVG1000"/>
      <c r="IVH1000"/>
      <c r="IVI1000"/>
      <c r="IVJ1000"/>
      <c r="IVK1000"/>
      <c r="IVL1000"/>
      <c r="IVM1000"/>
      <c r="IVN1000"/>
      <c r="IVO1000"/>
      <c r="IVP1000"/>
      <c r="IVQ1000"/>
      <c r="IVR1000"/>
      <c r="IVS1000"/>
      <c r="IVT1000"/>
      <c r="IVU1000"/>
      <c r="IVV1000"/>
      <c r="IVW1000"/>
      <c r="IVX1000"/>
      <c r="IVY1000"/>
      <c r="IVZ1000"/>
      <c r="IWA1000"/>
      <c r="IWB1000"/>
      <c r="IWC1000"/>
      <c r="IWD1000"/>
      <c r="IWE1000"/>
      <c r="IWF1000"/>
      <c r="IWG1000"/>
      <c r="IWH1000"/>
      <c r="IWI1000"/>
      <c r="IWJ1000"/>
      <c r="IWK1000"/>
      <c r="IWL1000"/>
      <c r="IWM1000"/>
      <c r="IWN1000"/>
      <c r="IWO1000"/>
      <c r="IWP1000"/>
      <c r="IWQ1000"/>
      <c r="IWR1000"/>
      <c r="IWS1000"/>
      <c r="IWT1000"/>
      <c r="IWU1000"/>
      <c r="IWV1000"/>
      <c r="IWW1000"/>
      <c r="IWX1000"/>
      <c r="IWY1000"/>
      <c r="IWZ1000"/>
      <c r="IXA1000"/>
      <c r="IXB1000"/>
      <c r="IXC1000"/>
      <c r="IXD1000"/>
      <c r="IXE1000"/>
      <c r="IXF1000"/>
      <c r="IXG1000"/>
      <c r="IXH1000"/>
      <c r="IXI1000"/>
      <c r="IXJ1000"/>
      <c r="IXK1000"/>
      <c r="IXL1000"/>
      <c r="IXM1000"/>
      <c r="IXN1000"/>
      <c r="IXO1000"/>
      <c r="IXP1000"/>
      <c r="IXQ1000"/>
      <c r="IXR1000"/>
      <c r="IXS1000"/>
      <c r="IXT1000"/>
      <c r="IXU1000"/>
      <c r="IXV1000"/>
      <c r="IXW1000"/>
      <c r="IXX1000"/>
      <c r="IXY1000"/>
      <c r="IXZ1000"/>
      <c r="IYA1000"/>
      <c r="IYB1000"/>
      <c r="IYC1000"/>
      <c r="IYD1000"/>
      <c r="IYE1000"/>
      <c r="IYF1000"/>
      <c r="IYG1000"/>
      <c r="IYH1000"/>
      <c r="IYI1000"/>
      <c r="IYJ1000"/>
      <c r="IYK1000"/>
      <c r="IYL1000"/>
      <c r="IYM1000"/>
      <c r="IYN1000"/>
      <c r="IYO1000"/>
      <c r="IYP1000"/>
      <c r="IYQ1000"/>
      <c r="IYR1000"/>
      <c r="IYS1000"/>
      <c r="IYT1000"/>
      <c r="IYU1000"/>
      <c r="IYV1000"/>
      <c r="IYW1000"/>
      <c r="IYX1000"/>
      <c r="IYY1000"/>
      <c r="IYZ1000"/>
      <c r="IZA1000"/>
      <c r="IZB1000"/>
      <c r="IZC1000"/>
      <c r="IZD1000"/>
      <c r="IZE1000"/>
      <c r="IZF1000"/>
      <c r="IZG1000"/>
      <c r="IZH1000"/>
      <c r="IZI1000"/>
      <c r="IZJ1000"/>
      <c r="IZK1000"/>
      <c r="IZL1000"/>
      <c r="IZM1000"/>
      <c r="IZN1000"/>
      <c r="IZO1000"/>
      <c r="IZP1000"/>
      <c r="IZQ1000"/>
      <c r="IZR1000"/>
      <c r="IZS1000"/>
      <c r="IZT1000"/>
      <c r="IZU1000"/>
      <c r="IZV1000"/>
      <c r="IZW1000"/>
      <c r="IZX1000"/>
      <c r="IZY1000"/>
      <c r="IZZ1000"/>
      <c r="JAA1000"/>
      <c r="JAB1000"/>
      <c r="JAC1000"/>
      <c r="JAD1000"/>
      <c r="JAE1000"/>
      <c r="JAF1000"/>
      <c r="JAG1000"/>
      <c r="JAH1000"/>
      <c r="JAI1000"/>
      <c r="JAJ1000"/>
      <c r="JAK1000"/>
      <c r="JAL1000"/>
      <c r="JAM1000"/>
      <c r="JAN1000"/>
      <c r="JAO1000"/>
      <c r="JAP1000"/>
      <c r="JAQ1000"/>
      <c r="JAR1000"/>
      <c r="JAS1000"/>
      <c r="JAT1000"/>
      <c r="JAU1000"/>
      <c r="JAV1000"/>
      <c r="JAW1000"/>
      <c r="JAX1000"/>
      <c r="JAY1000"/>
      <c r="JAZ1000"/>
      <c r="JBA1000"/>
      <c r="JBB1000"/>
      <c r="JBC1000"/>
      <c r="JBD1000"/>
      <c r="JBE1000"/>
      <c r="JBF1000"/>
      <c r="JBG1000"/>
      <c r="JBH1000"/>
      <c r="JBI1000"/>
      <c r="JBJ1000"/>
      <c r="JBK1000"/>
      <c r="JBL1000"/>
      <c r="JBM1000"/>
      <c r="JBN1000"/>
      <c r="JBO1000"/>
      <c r="JBP1000"/>
      <c r="JBQ1000"/>
      <c r="JBR1000"/>
      <c r="JBS1000"/>
      <c r="JBT1000"/>
      <c r="JBU1000"/>
      <c r="JBV1000"/>
      <c r="JBW1000"/>
      <c r="JBX1000"/>
      <c r="JBY1000"/>
      <c r="JBZ1000"/>
      <c r="JCA1000"/>
      <c r="JCB1000"/>
      <c r="JCC1000"/>
      <c r="JCD1000"/>
      <c r="JCE1000"/>
      <c r="JCF1000"/>
      <c r="JCG1000"/>
      <c r="JCH1000"/>
      <c r="JCI1000"/>
      <c r="JCJ1000"/>
      <c r="JCK1000"/>
      <c r="JCL1000"/>
      <c r="JCM1000"/>
      <c r="JCN1000"/>
      <c r="JCO1000"/>
      <c r="JCP1000"/>
      <c r="JCQ1000"/>
      <c r="JCR1000"/>
      <c r="JCS1000"/>
      <c r="JCT1000"/>
      <c r="JCU1000"/>
      <c r="JCV1000"/>
      <c r="JCW1000"/>
      <c r="JCX1000"/>
      <c r="JCY1000"/>
      <c r="JCZ1000"/>
      <c r="JDA1000"/>
      <c r="JDB1000"/>
      <c r="JDC1000"/>
      <c r="JDD1000"/>
      <c r="JDE1000"/>
      <c r="JDF1000"/>
      <c r="JDG1000"/>
      <c r="JDH1000"/>
      <c r="JDI1000"/>
      <c r="JDJ1000"/>
      <c r="JDK1000"/>
      <c r="JDL1000"/>
      <c r="JDM1000"/>
      <c r="JDN1000"/>
      <c r="JDO1000"/>
      <c r="JDP1000"/>
      <c r="JDQ1000"/>
      <c r="JDR1000"/>
      <c r="JDS1000"/>
      <c r="JDT1000"/>
      <c r="JDU1000"/>
      <c r="JDV1000"/>
      <c r="JDW1000"/>
      <c r="JDX1000"/>
      <c r="JDY1000"/>
      <c r="JDZ1000"/>
      <c r="JEA1000"/>
      <c r="JEB1000"/>
      <c r="JEC1000"/>
      <c r="JED1000"/>
      <c r="JEE1000"/>
      <c r="JEF1000"/>
      <c r="JEG1000"/>
      <c r="JEH1000"/>
      <c r="JEI1000"/>
      <c r="JEJ1000"/>
      <c r="JEK1000"/>
      <c r="JEL1000"/>
      <c r="JEM1000"/>
      <c r="JEN1000"/>
      <c r="JEO1000"/>
      <c r="JEP1000"/>
      <c r="JEQ1000"/>
      <c r="JER1000"/>
      <c r="JES1000"/>
      <c r="JET1000"/>
      <c r="JEU1000"/>
      <c r="JEV1000"/>
      <c r="JEW1000"/>
      <c r="JEX1000"/>
      <c r="JEY1000"/>
      <c r="JEZ1000"/>
      <c r="JFA1000"/>
      <c r="JFB1000"/>
      <c r="JFC1000"/>
      <c r="JFD1000"/>
      <c r="JFE1000"/>
      <c r="JFF1000"/>
      <c r="JFG1000"/>
      <c r="JFH1000"/>
      <c r="JFI1000"/>
      <c r="JFJ1000"/>
      <c r="JFK1000"/>
      <c r="JFL1000"/>
      <c r="JFM1000"/>
      <c r="JFN1000"/>
      <c r="JFO1000"/>
      <c r="JFP1000"/>
      <c r="JFQ1000"/>
      <c r="JFR1000"/>
      <c r="JFS1000"/>
      <c r="JFT1000"/>
      <c r="JFU1000"/>
      <c r="JFV1000"/>
      <c r="JFW1000"/>
      <c r="JFX1000"/>
      <c r="JFY1000"/>
      <c r="JFZ1000"/>
      <c r="JGA1000"/>
      <c r="JGB1000"/>
      <c r="JGC1000"/>
      <c r="JGD1000"/>
      <c r="JGE1000"/>
      <c r="JGF1000"/>
      <c r="JGG1000"/>
      <c r="JGH1000"/>
      <c r="JGI1000"/>
      <c r="JGJ1000"/>
      <c r="JGK1000"/>
      <c r="JGL1000"/>
      <c r="JGM1000"/>
      <c r="JGN1000"/>
      <c r="JGO1000"/>
      <c r="JGP1000"/>
      <c r="JGQ1000"/>
      <c r="JGR1000"/>
      <c r="JGS1000"/>
      <c r="JGT1000"/>
      <c r="JGU1000"/>
      <c r="JGV1000"/>
      <c r="JGW1000"/>
      <c r="JGX1000"/>
      <c r="JGY1000"/>
      <c r="JGZ1000"/>
      <c r="JHA1000"/>
      <c r="JHB1000"/>
      <c r="JHC1000"/>
      <c r="JHD1000"/>
      <c r="JHE1000"/>
      <c r="JHF1000"/>
      <c r="JHG1000"/>
      <c r="JHH1000"/>
      <c r="JHI1000"/>
      <c r="JHJ1000"/>
      <c r="JHK1000"/>
      <c r="JHL1000"/>
      <c r="JHM1000"/>
      <c r="JHN1000"/>
      <c r="JHO1000"/>
      <c r="JHP1000"/>
      <c r="JHQ1000"/>
      <c r="JHR1000"/>
      <c r="JHS1000"/>
      <c r="JHT1000"/>
      <c r="JHU1000"/>
      <c r="JHV1000"/>
      <c r="JHW1000"/>
      <c r="JHX1000"/>
      <c r="JHY1000"/>
      <c r="JHZ1000"/>
      <c r="JIA1000"/>
      <c r="JIB1000"/>
      <c r="JIC1000"/>
      <c r="JID1000"/>
      <c r="JIE1000"/>
      <c r="JIF1000"/>
      <c r="JIG1000"/>
      <c r="JIH1000"/>
      <c r="JII1000"/>
      <c r="JIJ1000"/>
      <c r="JIK1000"/>
      <c r="JIL1000"/>
      <c r="JIM1000"/>
      <c r="JIN1000"/>
      <c r="JIO1000"/>
      <c r="JIP1000"/>
      <c r="JIQ1000"/>
      <c r="JIR1000"/>
      <c r="JIS1000"/>
      <c r="JIT1000"/>
      <c r="JIU1000"/>
      <c r="JIV1000"/>
      <c r="JIW1000"/>
      <c r="JIX1000"/>
      <c r="JIY1000"/>
      <c r="JIZ1000"/>
      <c r="JJA1000"/>
      <c r="JJB1000"/>
      <c r="JJC1000"/>
      <c r="JJD1000"/>
      <c r="JJE1000"/>
      <c r="JJF1000"/>
      <c r="JJG1000"/>
      <c r="JJH1000"/>
      <c r="JJI1000"/>
      <c r="JJJ1000"/>
      <c r="JJK1000"/>
      <c r="JJL1000"/>
      <c r="JJM1000"/>
      <c r="JJN1000"/>
      <c r="JJO1000"/>
      <c r="JJP1000"/>
      <c r="JJQ1000"/>
      <c r="JJR1000"/>
      <c r="JJS1000"/>
      <c r="JJT1000"/>
      <c r="JJU1000"/>
      <c r="JJV1000"/>
      <c r="JJW1000"/>
      <c r="JJX1000"/>
      <c r="JJY1000"/>
      <c r="JJZ1000"/>
      <c r="JKA1000"/>
      <c r="JKB1000"/>
      <c r="JKC1000"/>
      <c r="JKD1000"/>
      <c r="JKE1000"/>
      <c r="JKF1000"/>
      <c r="JKG1000"/>
      <c r="JKH1000"/>
      <c r="JKI1000"/>
      <c r="JKJ1000"/>
      <c r="JKK1000"/>
      <c r="JKL1000"/>
      <c r="JKM1000"/>
      <c r="JKN1000"/>
      <c r="JKO1000"/>
      <c r="JKP1000"/>
      <c r="JKQ1000"/>
      <c r="JKR1000"/>
      <c r="JKS1000"/>
      <c r="JKT1000"/>
      <c r="JKU1000"/>
      <c r="JKV1000"/>
      <c r="JKW1000"/>
      <c r="JKX1000"/>
      <c r="JKY1000"/>
      <c r="JKZ1000"/>
      <c r="JLA1000"/>
      <c r="JLB1000"/>
      <c r="JLC1000"/>
      <c r="JLD1000"/>
      <c r="JLE1000"/>
      <c r="JLF1000"/>
      <c r="JLG1000"/>
      <c r="JLH1000"/>
      <c r="JLI1000"/>
      <c r="JLJ1000"/>
      <c r="JLK1000"/>
      <c r="JLL1000"/>
      <c r="JLM1000"/>
      <c r="JLN1000"/>
      <c r="JLO1000"/>
      <c r="JLP1000"/>
      <c r="JLQ1000"/>
      <c r="JLR1000"/>
      <c r="JLS1000"/>
      <c r="JLT1000"/>
      <c r="JLU1000"/>
      <c r="JLV1000"/>
      <c r="JLW1000"/>
      <c r="JLX1000"/>
      <c r="JLY1000"/>
      <c r="JLZ1000"/>
      <c r="JMA1000"/>
      <c r="JMB1000"/>
      <c r="JMC1000"/>
      <c r="JMD1000"/>
      <c r="JME1000"/>
      <c r="JMF1000"/>
      <c r="JMG1000"/>
      <c r="JMH1000"/>
      <c r="JMI1000"/>
      <c r="JMJ1000"/>
      <c r="JMK1000"/>
      <c r="JML1000"/>
      <c r="JMM1000"/>
      <c r="JMN1000"/>
      <c r="JMO1000"/>
      <c r="JMP1000"/>
      <c r="JMQ1000"/>
      <c r="JMR1000"/>
      <c r="JMS1000"/>
      <c r="JMT1000"/>
      <c r="JMU1000"/>
      <c r="JMV1000"/>
      <c r="JMW1000"/>
      <c r="JMX1000"/>
      <c r="JMY1000"/>
      <c r="JMZ1000"/>
      <c r="JNA1000"/>
      <c r="JNB1000"/>
      <c r="JNC1000"/>
      <c r="JND1000"/>
      <c r="JNE1000"/>
      <c r="JNF1000"/>
      <c r="JNG1000"/>
      <c r="JNH1000"/>
      <c r="JNI1000"/>
      <c r="JNJ1000"/>
      <c r="JNK1000"/>
      <c r="JNL1000"/>
      <c r="JNM1000"/>
      <c r="JNN1000"/>
      <c r="JNO1000"/>
      <c r="JNP1000"/>
      <c r="JNQ1000"/>
      <c r="JNR1000"/>
      <c r="JNS1000"/>
      <c r="JNT1000"/>
      <c r="JNU1000"/>
      <c r="JNV1000"/>
      <c r="JNW1000"/>
      <c r="JNX1000"/>
      <c r="JNY1000"/>
      <c r="JNZ1000"/>
      <c r="JOA1000"/>
      <c r="JOB1000"/>
      <c r="JOC1000"/>
      <c r="JOD1000"/>
      <c r="JOE1000"/>
      <c r="JOF1000"/>
      <c r="JOG1000"/>
      <c r="JOH1000"/>
      <c r="JOI1000"/>
      <c r="JOJ1000"/>
      <c r="JOK1000"/>
      <c r="JOL1000"/>
      <c r="JOM1000"/>
      <c r="JON1000"/>
      <c r="JOO1000"/>
      <c r="JOP1000"/>
      <c r="JOQ1000"/>
      <c r="JOR1000"/>
      <c r="JOS1000"/>
      <c r="JOT1000"/>
      <c r="JOU1000"/>
      <c r="JOV1000"/>
      <c r="JOW1000"/>
      <c r="JOX1000"/>
      <c r="JOY1000"/>
      <c r="JOZ1000"/>
      <c r="JPA1000"/>
      <c r="JPB1000"/>
      <c r="JPC1000"/>
      <c r="JPD1000"/>
      <c r="JPE1000"/>
      <c r="JPF1000"/>
      <c r="JPG1000"/>
      <c r="JPH1000"/>
      <c r="JPI1000"/>
      <c r="JPJ1000"/>
      <c r="JPK1000"/>
      <c r="JPL1000"/>
      <c r="JPM1000"/>
      <c r="JPN1000"/>
      <c r="JPO1000"/>
      <c r="JPP1000"/>
      <c r="JPQ1000"/>
      <c r="JPR1000"/>
      <c r="JPS1000"/>
      <c r="JPT1000"/>
      <c r="JPU1000"/>
      <c r="JPV1000"/>
      <c r="JPW1000"/>
      <c r="JPX1000"/>
      <c r="JPY1000"/>
      <c r="JPZ1000"/>
      <c r="JQA1000"/>
      <c r="JQB1000"/>
      <c r="JQC1000"/>
      <c r="JQD1000"/>
      <c r="JQE1000"/>
      <c r="JQF1000"/>
      <c r="JQG1000"/>
      <c r="JQH1000"/>
      <c r="JQI1000"/>
      <c r="JQJ1000"/>
      <c r="JQK1000"/>
      <c r="JQL1000"/>
      <c r="JQM1000"/>
      <c r="JQN1000"/>
      <c r="JQO1000"/>
      <c r="JQP1000"/>
      <c r="JQQ1000"/>
      <c r="JQR1000"/>
      <c r="JQS1000"/>
      <c r="JQT1000"/>
      <c r="JQU1000"/>
      <c r="JQV1000"/>
      <c r="JQW1000"/>
      <c r="JQX1000"/>
      <c r="JQY1000"/>
      <c r="JQZ1000"/>
      <c r="JRA1000"/>
      <c r="JRB1000"/>
      <c r="JRC1000"/>
      <c r="JRD1000"/>
      <c r="JRE1000"/>
      <c r="JRF1000"/>
      <c r="JRG1000"/>
      <c r="JRH1000"/>
      <c r="JRI1000"/>
      <c r="JRJ1000"/>
      <c r="JRK1000"/>
      <c r="JRL1000"/>
      <c r="JRM1000"/>
      <c r="JRN1000"/>
      <c r="JRO1000"/>
      <c r="JRP1000"/>
      <c r="JRQ1000"/>
      <c r="JRR1000"/>
      <c r="JRS1000"/>
      <c r="JRT1000"/>
      <c r="JRU1000"/>
      <c r="JRV1000"/>
      <c r="JRW1000"/>
      <c r="JRX1000"/>
      <c r="JRY1000"/>
      <c r="JRZ1000"/>
      <c r="JSA1000"/>
      <c r="JSB1000"/>
      <c r="JSC1000"/>
      <c r="JSD1000"/>
      <c r="JSE1000"/>
      <c r="JSF1000"/>
      <c r="JSG1000"/>
      <c r="JSH1000"/>
      <c r="JSI1000"/>
      <c r="JSJ1000"/>
      <c r="JSK1000"/>
      <c r="JSL1000"/>
      <c r="JSM1000"/>
      <c r="JSN1000"/>
      <c r="JSO1000"/>
      <c r="JSP1000"/>
      <c r="JSQ1000"/>
      <c r="JSR1000"/>
      <c r="JSS1000"/>
      <c r="JST1000"/>
      <c r="JSU1000"/>
      <c r="JSV1000"/>
      <c r="JSW1000"/>
      <c r="JSX1000"/>
      <c r="JSY1000"/>
      <c r="JSZ1000"/>
      <c r="JTA1000"/>
      <c r="JTB1000"/>
      <c r="JTC1000"/>
      <c r="JTD1000"/>
      <c r="JTE1000"/>
      <c r="JTF1000"/>
      <c r="JTG1000"/>
      <c r="JTH1000"/>
      <c r="JTI1000"/>
      <c r="JTJ1000"/>
      <c r="JTK1000"/>
      <c r="JTL1000"/>
      <c r="JTM1000"/>
      <c r="JTN1000"/>
      <c r="JTO1000"/>
      <c r="JTP1000"/>
      <c r="JTQ1000"/>
      <c r="JTR1000"/>
      <c r="JTS1000"/>
      <c r="JTT1000"/>
      <c r="JTU1000"/>
      <c r="JTV1000"/>
      <c r="JTW1000"/>
      <c r="JTX1000"/>
      <c r="JTY1000"/>
      <c r="JTZ1000"/>
      <c r="JUA1000"/>
      <c r="JUB1000"/>
      <c r="JUC1000"/>
      <c r="JUD1000"/>
      <c r="JUE1000"/>
      <c r="JUF1000"/>
      <c r="JUG1000"/>
      <c r="JUH1000"/>
      <c r="JUI1000"/>
      <c r="JUJ1000"/>
      <c r="JUK1000"/>
      <c r="JUL1000"/>
      <c r="JUM1000"/>
      <c r="JUN1000"/>
      <c r="JUO1000"/>
      <c r="JUP1000"/>
      <c r="JUQ1000"/>
      <c r="JUR1000"/>
      <c r="JUS1000"/>
      <c r="JUT1000"/>
      <c r="JUU1000"/>
      <c r="JUV1000"/>
      <c r="JUW1000"/>
      <c r="JUX1000"/>
      <c r="JUY1000"/>
      <c r="JUZ1000"/>
      <c r="JVA1000"/>
      <c r="JVB1000"/>
      <c r="JVC1000"/>
      <c r="JVD1000"/>
      <c r="JVE1000"/>
      <c r="JVF1000"/>
      <c r="JVG1000"/>
      <c r="JVH1000"/>
      <c r="JVI1000"/>
      <c r="JVJ1000"/>
      <c r="JVK1000"/>
      <c r="JVL1000"/>
      <c r="JVM1000"/>
      <c r="JVN1000"/>
      <c r="JVO1000"/>
      <c r="JVP1000"/>
      <c r="JVQ1000"/>
      <c r="JVR1000"/>
      <c r="JVS1000"/>
      <c r="JVT1000"/>
      <c r="JVU1000"/>
      <c r="JVV1000"/>
      <c r="JVW1000"/>
      <c r="JVX1000"/>
      <c r="JVY1000"/>
      <c r="JVZ1000"/>
      <c r="JWA1000"/>
      <c r="JWB1000"/>
      <c r="JWC1000"/>
      <c r="JWD1000"/>
      <c r="JWE1000"/>
      <c r="JWF1000"/>
      <c r="JWG1000"/>
      <c r="JWH1000"/>
      <c r="JWI1000"/>
      <c r="JWJ1000"/>
      <c r="JWK1000"/>
      <c r="JWL1000"/>
      <c r="JWM1000"/>
      <c r="JWN1000"/>
      <c r="JWO1000"/>
      <c r="JWP1000"/>
      <c r="JWQ1000"/>
      <c r="JWR1000"/>
      <c r="JWS1000"/>
      <c r="JWT1000"/>
      <c r="JWU1000"/>
      <c r="JWV1000"/>
      <c r="JWW1000"/>
      <c r="JWX1000"/>
      <c r="JWY1000"/>
      <c r="JWZ1000"/>
      <c r="JXA1000"/>
      <c r="JXB1000"/>
      <c r="JXC1000"/>
      <c r="JXD1000"/>
      <c r="JXE1000"/>
      <c r="JXF1000"/>
      <c r="JXG1000"/>
      <c r="JXH1000"/>
      <c r="JXI1000"/>
      <c r="JXJ1000"/>
      <c r="JXK1000"/>
      <c r="JXL1000"/>
      <c r="JXM1000"/>
      <c r="JXN1000"/>
      <c r="JXO1000"/>
      <c r="JXP1000"/>
      <c r="JXQ1000"/>
      <c r="JXR1000"/>
      <c r="JXS1000"/>
      <c r="JXT1000"/>
      <c r="JXU1000"/>
      <c r="JXV1000"/>
      <c r="JXW1000"/>
      <c r="JXX1000"/>
      <c r="JXY1000"/>
      <c r="JXZ1000"/>
      <c r="JYA1000"/>
      <c r="JYB1000"/>
      <c r="JYC1000"/>
      <c r="JYD1000"/>
      <c r="JYE1000"/>
      <c r="JYF1000"/>
      <c r="JYG1000"/>
      <c r="JYH1000"/>
      <c r="JYI1000"/>
      <c r="JYJ1000"/>
      <c r="JYK1000"/>
      <c r="JYL1000"/>
      <c r="JYM1000"/>
      <c r="JYN1000"/>
      <c r="JYO1000"/>
      <c r="JYP1000"/>
      <c r="JYQ1000"/>
      <c r="JYR1000"/>
      <c r="JYS1000"/>
      <c r="JYT1000"/>
      <c r="JYU1000"/>
      <c r="JYV1000"/>
      <c r="JYW1000"/>
      <c r="JYX1000"/>
      <c r="JYY1000"/>
      <c r="JYZ1000"/>
      <c r="JZA1000"/>
      <c r="JZB1000"/>
      <c r="JZC1000"/>
      <c r="JZD1000"/>
      <c r="JZE1000"/>
      <c r="JZF1000"/>
      <c r="JZG1000"/>
      <c r="JZH1000"/>
      <c r="JZI1000"/>
      <c r="JZJ1000"/>
      <c r="JZK1000"/>
      <c r="JZL1000"/>
      <c r="JZM1000"/>
      <c r="JZN1000"/>
      <c r="JZO1000"/>
      <c r="JZP1000"/>
      <c r="JZQ1000"/>
      <c r="JZR1000"/>
      <c r="JZS1000"/>
      <c r="JZT1000"/>
      <c r="JZU1000"/>
      <c r="JZV1000"/>
      <c r="JZW1000"/>
      <c r="JZX1000"/>
      <c r="JZY1000"/>
      <c r="JZZ1000"/>
      <c r="KAA1000"/>
      <c r="KAB1000"/>
      <c r="KAC1000"/>
      <c r="KAD1000"/>
      <c r="KAE1000"/>
      <c r="KAF1000"/>
      <c r="KAG1000"/>
      <c r="KAH1000"/>
      <c r="KAI1000"/>
      <c r="KAJ1000"/>
      <c r="KAK1000"/>
      <c r="KAL1000"/>
      <c r="KAM1000"/>
      <c r="KAN1000"/>
      <c r="KAO1000"/>
      <c r="KAP1000"/>
      <c r="KAQ1000"/>
      <c r="KAR1000"/>
      <c r="KAS1000"/>
      <c r="KAT1000"/>
      <c r="KAU1000"/>
      <c r="KAV1000"/>
      <c r="KAW1000"/>
      <c r="KAX1000"/>
      <c r="KAY1000"/>
      <c r="KAZ1000"/>
      <c r="KBA1000"/>
      <c r="KBB1000"/>
      <c r="KBC1000"/>
      <c r="KBD1000"/>
      <c r="KBE1000"/>
      <c r="KBF1000"/>
      <c r="KBG1000"/>
      <c r="KBH1000"/>
      <c r="KBI1000"/>
      <c r="KBJ1000"/>
      <c r="KBK1000"/>
      <c r="KBL1000"/>
      <c r="KBM1000"/>
      <c r="KBN1000"/>
      <c r="KBO1000"/>
      <c r="KBP1000"/>
      <c r="KBQ1000"/>
      <c r="KBR1000"/>
      <c r="KBS1000"/>
      <c r="KBT1000"/>
      <c r="KBU1000"/>
      <c r="KBV1000"/>
      <c r="KBW1000"/>
      <c r="KBX1000"/>
      <c r="KBY1000"/>
      <c r="KBZ1000"/>
      <c r="KCA1000"/>
      <c r="KCB1000"/>
      <c r="KCC1000"/>
      <c r="KCD1000"/>
      <c r="KCE1000"/>
      <c r="KCF1000"/>
      <c r="KCG1000"/>
      <c r="KCH1000"/>
      <c r="KCI1000"/>
      <c r="KCJ1000"/>
      <c r="KCK1000"/>
      <c r="KCL1000"/>
      <c r="KCM1000"/>
      <c r="KCN1000"/>
      <c r="KCO1000"/>
      <c r="KCP1000"/>
      <c r="KCQ1000"/>
      <c r="KCR1000"/>
      <c r="KCS1000"/>
      <c r="KCT1000"/>
      <c r="KCU1000"/>
      <c r="KCV1000"/>
      <c r="KCW1000"/>
      <c r="KCX1000"/>
      <c r="KCY1000"/>
      <c r="KCZ1000"/>
      <c r="KDA1000"/>
      <c r="KDB1000"/>
      <c r="KDC1000"/>
      <c r="KDD1000"/>
      <c r="KDE1000"/>
      <c r="KDF1000"/>
      <c r="KDG1000"/>
      <c r="KDH1000"/>
      <c r="KDI1000"/>
      <c r="KDJ1000"/>
      <c r="KDK1000"/>
      <c r="KDL1000"/>
      <c r="KDM1000"/>
      <c r="KDN1000"/>
      <c r="KDO1000"/>
      <c r="KDP1000"/>
      <c r="KDQ1000"/>
      <c r="KDR1000"/>
      <c r="KDS1000"/>
      <c r="KDT1000"/>
      <c r="KDU1000"/>
      <c r="KDV1000"/>
      <c r="KDW1000"/>
      <c r="KDX1000"/>
      <c r="KDY1000"/>
      <c r="KDZ1000"/>
      <c r="KEA1000"/>
      <c r="KEB1000"/>
      <c r="KEC1000"/>
      <c r="KED1000"/>
      <c r="KEE1000"/>
      <c r="KEF1000"/>
      <c r="KEG1000"/>
      <c r="KEH1000"/>
      <c r="KEI1000"/>
      <c r="KEJ1000"/>
      <c r="KEK1000"/>
      <c r="KEL1000"/>
      <c r="KEM1000"/>
      <c r="KEN1000"/>
      <c r="KEO1000"/>
      <c r="KEP1000"/>
      <c r="KEQ1000"/>
      <c r="KER1000"/>
      <c r="KES1000"/>
      <c r="KET1000"/>
      <c r="KEU1000"/>
      <c r="KEV1000"/>
      <c r="KEW1000"/>
      <c r="KEX1000"/>
      <c r="KEY1000"/>
      <c r="KEZ1000"/>
      <c r="KFA1000"/>
      <c r="KFB1000"/>
      <c r="KFC1000"/>
      <c r="KFD1000"/>
      <c r="KFE1000"/>
      <c r="KFF1000"/>
      <c r="KFG1000"/>
      <c r="KFH1000"/>
      <c r="KFI1000"/>
      <c r="KFJ1000"/>
      <c r="KFK1000"/>
      <c r="KFL1000"/>
      <c r="KFM1000"/>
      <c r="KFN1000"/>
      <c r="KFO1000"/>
      <c r="KFP1000"/>
      <c r="KFQ1000"/>
      <c r="KFR1000"/>
      <c r="KFS1000"/>
      <c r="KFT1000"/>
      <c r="KFU1000"/>
      <c r="KFV1000"/>
      <c r="KFW1000"/>
      <c r="KFX1000"/>
      <c r="KFY1000"/>
      <c r="KFZ1000"/>
      <c r="KGA1000"/>
      <c r="KGB1000"/>
      <c r="KGC1000"/>
      <c r="KGD1000"/>
      <c r="KGE1000"/>
      <c r="KGF1000"/>
      <c r="KGG1000"/>
      <c r="KGH1000"/>
      <c r="KGI1000"/>
      <c r="KGJ1000"/>
      <c r="KGK1000"/>
      <c r="KGL1000"/>
      <c r="KGM1000"/>
      <c r="KGN1000"/>
      <c r="KGO1000"/>
      <c r="KGP1000"/>
      <c r="KGQ1000"/>
      <c r="KGR1000"/>
      <c r="KGS1000"/>
      <c r="KGT1000"/>
      <c r="KGU1000"/>
      <c r="KGV1000"/>
      <c r="KGW1000"/>
      <c r="KGX1000"/>
      <c r="KGY1000"/>
      <c r="KGZ1000"/>
      <c r="KHA1000"/>
      <c r="KHB1000"/>
      <c r="KHC1000"/>
      <c r="KHD1000"/>
      <c r="KHE1000"/>
      <c r="KHF1000"/>
      <c r="KHG1000"/>
      <c r="KHH1000"/>
      <c r="KHI1000"/>
      <c r="KHJ1000"/>
      <c r="KHK1000"/>
      <c r="KHL1000"/>
      <c r="KHM1000"/>
      <c r="KHN1000"/>
      <c r="KHO1000"/>
      <c r="KHP1000"/>
      <c r="KHQ1000"/>
      <c r="KHR1000"/>
      <c r="KHS1000"/>
      <c r="KHT1000"/>
      <c r="KHU1000"/>
      <c r="KHV1000"/>
      <c r="KHW1000"/>
      <c r="KHX1000"/>
      <c r="KHY1000"/>
      <c r="KHZ1000"/>
      <c r="KIA1000"/>
      <c r="KIB1000"/>
      <c r="KIC1000"/>
      <c r="KID1000"/>
      <c r="KIE1000"/>
      <c r="KIF1000"/>
      <c r="KIG1000"/>
      <c r="KIH1000"/>
      <c r="KII1000"/>
      <c r="KIJ1000"/>
      <c r="KIK1000"/>
      <c r="KIL1000"/>
      <c r="KIM1000"/>
      <c r="KIN1000"/>
      <c r="KIO1000"/>
      <c r="KIP1000"/>
      <c r="KIQ1000"/>
      <c r="KIR1000"/>
      <c r="KIS1000"/>
      <c r="KIT1000"/>
      <c r="KIU1000"/>
      <c r="KIV1000"/>
      <c r="KIW1000"/>
      <c r="KIX1000"/>
      <c r="KIY1000"/>
      <c r="KIZ1000"/>
      <c r="KJA1000"/>
      <c r="KJB1000"/>
      <c r="KJC1000"/>
      <c r="KJD1000"/>
      <c r="KJE1000"/>
      <c r="KJF1000"/>
      <c r="KJG1000"/>
      <c r="KJH1000"/>
      <c r="KJI1000"/>
      <c r="KJJ1000"/>
      <c r="KJK1000"/>
      <c r="KJL1000"/>
      <c r="KJM1000"/>
      <c r="KJN1000"/>
      <c r="KJO1000"/>
      <c r="KJP1000"/>
      <c r="KJQ1000"/>
      <c r="KJR1000"/>
      <c r="KJS1000"/>
      <c r="KJT1000"/>
      <c r="KJU1000"/>
      <c r="KJV1000"/>
      <c r="KJW1000"/>
      <c r="KJX1000"/>
      <c r="KJY1000"/>
      <c r="KJZ1000"/>
      <c r="KKA1000"/>
      <c r="KKB1000"/>
      <c r="KKC1000"/>
      <c r="KKD1000"/>
      <c r="KKE1000"/>
      <c r="KKF1000"/>
      <c r="KKG1000"/>
      <c r="KKH1000"/>
      <c r="KKI1000"/>
      <c r="KKJ1000"/>
      <c r="KKK1000"/>
      <c r="KKL1000"/>
      <c r="KKM1000"/>
      <c r="KKN1000"/>
      <c r="KKO1000"/>
      <c r="KKP1000"/>
      <c r="KKQ1000"/>
      <c r="KKR1000"/>
      <c r="KKS1000"/>
      <c r="KKT1000"/>
      <c r="KKU1000"/>
      <c r="KKV1000"/>
      <c r="KKW1000"/>
      <c r="KKX1000"/>
      <c r="KKY1000"/>
      <c r="KKZ1000"/>
      <c r="KLA1000"/>
      <c r="KLB1000"/>
      <c r="KLC1000"/>
      <c r="KLD1000"/>
      <c r="KLE1000"/>
      <c r="KLF1000"/>
      <c r="KLG1000"/>
      <c r="KLH1000"/>
      <c r="KLI1000"/>
      <c r="KLJ1000"/>
      <c r="KLK1000"/>
      <c r="KLL1000"/>
      <c r="KLM1000"/>
      <c r="KLN1000"/>
      <c r="KLO1000"/>
      <c r="KLP1000"/>
      <c r="KLQ1000"/>
      <c r="KLR1000"/>
      <c r="KLS1000"/>
      <c r="KLT1000"/>
      <c r="KLU1000"/>
      <c r="KLV1000"/>
      <c r="KLW1000"/>
      <c r="KLX1000"/>
      <c r="KLY1000"/>
      <c r="KLZ1000"/>
      <c r="KMA1000"/>
      <c r="KMB1000"/>
      <c r="KMC1000"/>
      <c r="KMD1000"/>
      <c r="KME1000"/>
      <c r="KMF1000"/>
      <c r="KMG1000"/>
      <c r="KMH1000"/>
      <c r="KMI1000"/>
      <c r="KMJ1000"/>
      <c r="KMK1000"/>
      <c r="KML1000"/>
      <c r="KMM1000"/>
      <c r="KMN1000"/>
      <c r="KMO1000"/>
      <c r="KMP1000"/>
      <c r="KMQ1000"/>
      <c r="KMR1000"/>
      <c r="KMS1000"/>
      <c r="KMT1000"/>
      <c r="KMU1000"/>
      <c r="KMV1000"/>
      <c r="KMW1000"/>
      <c r="KMX1000"/>
      <c r="KMY1000"/>
      <c r="KMZ1000"/>
      <c r="KNA1000"/>
      <c r="KNB1000"/>
      <c r="KNC1000"/>
      <c r="KND1000"/>
      <c r="KNE1000"/>
      <c r="KNF1000"/>
      <c r="KNG1000"/>
      <c r="KNH1000"/>
      <c r="KNI1000"/>
      <c r="KNJ1000"/>
      <c r="KNK1000"/>
      <c r="KNL1000"/>
      <c r="KNM1000"/>
      <c r="KNN1000"/>
      <c r="KNO1000"/>
      <c r="KNP1000"/>
      <c r="KNQ1000"/>
      <c r="KNR1000"/>
      <c r="KNS1000"/>
      <c r="KNT1000"/>
      <c r="KNU1000"/>
      <c r="KNV1000"/>
      <c r="KNW1000"/>
      <c r="KNX1000"/>
      <c r="KNY1000"/>
      <c r="KNZ1000"/>
      <c r="KOA1000"/>
      <c r="KOB1000"/>
      <c r="KOC1000"/>
      <c r="KOD1000"/>
      <c r="KOE1000"/>
      <c r="KOF1000"/>
      <c r="KOG1000"/>
      <c r="KOH1000"/>
      <c r="KOI1000"/>
      <c r="KOJ1000"/>
      <c r="KOK1000"/>
      <c r="KOL1000"/>
      <c r="KOM1000"/>
      <c r="KON1000"/>
      <c r="KOO1000"/>
      <c r="KOP1000"/>
      <c r="KOQ1000"/>
      <c r="KOR1000"/>
      <c r="KOS1000"/>
      <c r="KOT1000"/>
      <c r="KOU1000"/>
      <c r="KOV1000"/>
      <c r="KOW1000"/>
      <c r="KOX1000"/>
      <c r="KOY1000"/>
      <c r="KOZ1000"/>
      <c r="KPA1000"/>
      <c r="KPB1000"/>
      <c r="KPC1000"/>
      <c r="KPD1000"/>
      <c r="KPE1000"/>
      <c r="KPF1000"/>
      <c r="KPG1000"/>
      <c r="KPH1000"/>
      <c r="KPI1000"/>
      <c r="KPJ1000"/>
      <c r="KPK1000"/>
      <c r="KPL1000"/>
      <c r="KPM1000"/>
      <c r="KPN1000"/>
      <c r="KPO1000"/>
      <c r="KPP1000"/>
      <c r="KPQ1000"/>
      <c r="KPR1000"/>
      <c r="KPS1000"/>
      <c r="KPT1000"/>
      <c r="KPU1000"/>
      <c r="KPV1000"/>
      <c r="KPW1000"/>
      <c r="KPX1000"/>
      <c r="KPY1000"/>
      <c r="KPZ1000"/>
      <c r="KQA1000"/>
      <c r="KQB1000"/>
      <c r="KQC1000"/>
      <c r="KQD1000"/>
      <c r="KQE1000"/>
      <c r="KQF1000"/>
      <c r="KQG1000"/>
      <c r="KQH1000"/>
      <c r="KQI1000"/>
      <c r="KQJ1000"/>
      <c r="KQK1000"/>
      <c r="KQL1000"/>
      <c r="KQM1000"/>
      <c r="KQN1000"/>
      <c r="KQO1000"/>
      <c r="KQP1000"/>
      <c r="KQQ1000"/>
      <c r="KQR1000"/>
      <c r="KQS1000"/>
      <c r="KQT1000"/>
      <c r="KQU1000"/>
      <c r="KQV1000"/>
      <c r="KQW1000"/>
      <c r="KQX1000"/>
      <c r="KQY1000"/>
      <c r="KQZ1000"/>
      <c r="KRA1000"/>
      <c r="KRB1000"/>
      <c r="KRC1000"/>
      <c r="KRD1000"/>
      <c r="KRE1000"/>
      <c r="KRF1000"/>
      <c r="KRG1000"/>
      <c r="KRH1000"/>
      <c r="KRI1000"/>
      <c r="KRJ1000"/>
      <c r="KRK1000"/>
      <c r="KRL1000"/>
      <c r="KRM1000"/>
      <c r="KRN1000"/>
      <c r="KRO1000"/>
      <c r="KRP1000"/>
      <c r="KRQ1000"/>
      <c r="KRR1000"/>
      <c r="KRS1000"/>
      <c r="KRT1000"/>
      <c r="KRU1000"/>
      <c r="KRV1000"/>
      <c r="KRW1000"/>
      <c r="KRX1000"/>
      <c r="KRY1000"/>
      <c r="KRZ1000"/>
      <c r="KSA1000"/>
      <c r="KSB1000"/>
      <c r="KSC1000"/>
      <c r="KSD1000"/>
      <c r="KSE1000"/>
      <c r="KSF1000"/>
      <c r="KSG1000"/>
      <c r="KSH1000"/>
      <c r="KSI1000"/>
      <c r="KSJ1000"/>
      <c r="KSK1000"/>
      <c r="KSL1000"/>
      <c r="KSM1000"/>
      <c r="KSN1000"/>
      <c r="KSO1000"/>
      <c r="KSP1000"/>
      <c r="KSQ1000"/>
      <c r="KSR1000"/>
      <c r="KSS1000"/>
      <c r="KST1000"/>
      <c r="KSU1000"/>
      <c r="KSV1000"/>
      <c r="KSW1000"/>
      <c r="KSX1000"/>
      <c r="KSY1000"/>
      <c r="KSZ1000"/>
      <c r="KTA1000"/>
      <c r="KTB1000"/>
      <c r="KTC1000"/>
      <c r="KTD1000"/>
      <c r="KTE1000"/>
      <c r="KTF1000"/>
      <c r="KTG1000"/>
      <c r="KTH1000"/>
      <c r="KTI1000"/>
      <c r="KTJ1000"/>
      <c r="KTK1000"/>
      <c r="KTL1000"/>
      <c r="KTM1000"/>
      <c r="KTN1000"/>
      <c r="KTO1000"/>
      <c r="KTP1000"/>
      <c r="KTQ1000"/>
      <c r="KTR1000"/>
      <c r="KTS1000"/>
      <c r="KTT1000"/>
      <c r="KTU1000"/>
      <c r="KTV1000"/>
      <c r="KTW1000"/>
      <c r="KTX1000"/>
      <c r="KTY1000"/>
      <c r="KTZ1000"/>
      <c r="KUA1000"/>
      <c r="KUB1000"/>
      <c r="KUC1000"/>
      <c r="KUD1000"/>
      <c r="KUE1000"/>
      <c r="KUF1000"/>
      <c r="KUG1000"/>
      <c r="KUH1000"/>
      <c r="KUI1000"/>
      <c r="KUJ1000"/>
      <c r="KUK1000"/>
      <c r="KUL1000"/>
      <c r="KUM1000"/>
      <c r="KUN1000"/>
      <c r="KUO1000"/>
      <c r="KUP1000"/>
      <c r="KUQ1000"/>
      <c r="KUR1000"/>
      <c r="KUS1000"/>
      <c r="KUT1000"/>
      <c r="KUU1000"/>
      <c r="KUV1000"/>
      <c r="KUW1000"/>
      <c r="KUX1000"/>
      <c r="KUY1000"/>
      <c r="KUZ1000"/>
      <c r="KVA1000"/>
      <c r="KVB1000"/>
      <c r="KVC1000"/>
      <c r="KVD1000"/>
      <c r="KVE1000"/>
      <c r="KVF1000"/>
      <c r="KVG1000"/>
      <c r="KVH1000"/>
      <c r="KVI1000"/>
      <c r="KVJ1000"/>
      <c r="KVK1000"/>
      <c r="KVL1000"/>
      <c r="KVM1000"/>
      <c r="KVN1000"/>
      <c r="KVO1000"/>
      <c r="KVP1000"/>
      <c r="KVQ1000"/>
      <c r="KVR1000"/>
      <c r="KVS1000"/>
      <c r="KVT1000"/>
      <c r="KVU1000"/>
      <c r="KVV1000"/>
      <c r="KVW1000"/>
      <c r="KVX1000"/>
      <c r="KVY1000"/>
      <c r="KVZ1000"/>
      <c r="KWA1000"/>
      <c r="KWB1000"/>
      <c r="KWC1000"/>
      <c r="KWD1000"/>
      <c r="KWE1000"/>
      <c r="KWF1000"/>
      <c r="KWG1000"/>
      <c r="KWH1000"/>
      <c r="KWI1000"/>
      <c r="KWJ1000"/>
      <c r="KWK1000"/>
      <c r="KWL1000"/>
      <c r="KWM1000"/>
      <c r="KWN1000"/>
      <c r="KWO1000"/>
      <c r="KWP1000"/>
      <c r="KWQ1000"/>
      <c r="KWR1000"/>
      <c r="KWS1000"/>
      <c r="KWT1000"/>
      <c r="KWU1000"/>
      <c r="KWV1000"/>
      <c r="KWW1000"/>
      <c r="KWX1000"/>
      <c r="KWY1000"/>
      <c r="KWZ1000"/>
      <c r="KXA1000"/>
      <c r="KXB1000"/>
      <c r="KXC1000"/>
      <c r="KXD1000"/>
      <c r="KXE1000"/>
      <c r="KXF1000"/>
      <c r="KXG1000"/>
      <c r="KXH1000"/>
      <c r="KXI1000"/>
      <c r="KXJ1000"/>
      <c r="KXK1000"/>
      <c r="KXL1000"/>
      <c r="KXM1000"/>
      <c r="KXN1000"/>
      <c r="KXO1000"/>
      <c r="KXP1000"/>
      <c r="KXQ1000"/>
      <c r="KXR1000"/>
      <c r="KXS1000"/>
      <c r="KXT1000"/>
      <c r="KXU1000"/>
      <c r="KXV1000"/>
      <c r="KXW1000"/>
      <c r="KXX1000"/>
      <c r="KXY1000"/>
      <c r="KXZ1000"/>
      <c r="KYA1000"/>
      <c r="KYB1000"/>
      <c r="KYC1000"/>
      <c r="KYD1000"/>
      <c r="KYE1000"/>
      <c r="KYF1000"/>
      <c r="KYG1000"/>
      <c r="KYH1000"/>
      <c r="KYI1000"/>
      <c r="KYJ1000"/>
      <c r="KYK1000"/>
      <c r="KYL1000"/>
      <c r="KYM1000"/>
      <c r="KYN1000"/>
      <c r="KYO1000"/>
      <c r="KYP1000"/>
      <c r="KYQ1000"/>
      <c r="KYR1000"/>
      <c r="KYS1000"/>
      <c r="KYT1000"/>
      <c r="KYU1000"/>
      <c r="KYV1000"/>
      <c r="KYW1000"/>
      <c r="KYX1000"/>
      <c r="KYY1000"/>
      <c r="KYZ1000"/>
      <c r="KZA1000"/>
      <c r="KZB1000"/>
      <c r="KZC1000"/>
      <c r="KZD1000"/>
      <c r="KZE1000"/>
      <c r="KZF1000"/>
      <c r="KZG1000"/>
      <c r="KZH1000"/>
      <c r="KZI1000"/>
      <c r="KZJ1000"/>
      <c r="KZK1000"/>
      <c r="KZL1000"/>
      <c r="KZM1000"/>
      <c r="KZN1000"/>
      <c r="KZO1000"/>
      <c r="KZP1000"/>
      <c r="KZQ1000"/>
      <c r="KZR1000"/>
      <c r="KZS1000"/>
      <c r="KZT1000"/>
      <c r="KZU1000"/>
      <c r="KZV1000"/>
      <c r="KZW1000"/>
      <c r="KZX1000"/>
      <c r="KZY1000"/>
      <c r="KZZ1000"/>
      <c r="LAA1000"/>
      <c r="LAB1000"/>
      <c r="LAC1000"/>
      <c r="LAD1000"/>
      <c r="LAE1000"/>
      <c r="LAF1000"/>
      <c r="LAG1000"/>
      <c r="LAH1000"/>
      <c r="LAI1000"/>
      <c r="LAJ1000"/>
      <c r="LAK1000"/>
      <c r="LAL1000"/>
      <c r="LAM1000"/>
      <c r="LAN1000"/>
      <c r="LAO1000"/>
      <c r="LAP1000"/>
      <c r="LAQ1000"/>
      <c r="LAR1000"/>
      <c r="LAS1000"/>
      <c r="LAT1000"/>
      <c r="LAU1000"/>
      <c r="LAV1000"/>
      <c r="LAW1000"/>
      <c r="LAX1000"/>
      <c r="LAY1000"/>
      <c r="LAZ1000"/>
      <c r="LBA1000"/>
      <c r="LBB1000"/>
      <c r="LBC1000"/>
      <c r="LBD1000"/>
      <c r="LBE1000"/>
      <c r="LBF1000"/>
      <c r="LBG1000"/>
      <c r="LBH1000"/>
      <c r="LBI1000"/>
      <c r="LBJ1000"/>
      <c r="LBK1000"/>
      <c r="LBL1000"/>
      <c r="LBM1000"/>
      <c r="LBN1000"/>
      <c r="LBO1000"/>
      <c r="LBP1000"/>
      <c r="LBQ1000"/>
      <c r="LBR1000"/>
      <c r="LBS1000"/>
      <c r="LBT1000"/>
      <c r="LBU1000"/>
      <c r="LBV1000"/>
      <c r="LBW1000"/>
      <c r="LBX1000"/>
      <c r="LBY1000"/>
      <c r="LBZ1000"/>
      <c r="LCA1000"/>
      <c r="LCB1000"/>
      <c r="LCC1000"/>
      <c r="LCD1000"/>
      <c r="LCE1000"/>
      <c r="LCF1000"/>
      <c r="LCG1000"/>
      <c r="LCH1000"/>
      <c r="LCI1000"/>
      <c r="LCJ1000"/>
      <c r="LCK1000"/>
      <c r="LCL1000"/>
      <c r="LCM1000"/>
      <c r="LCN1000"/>
      <c r="LCO1000"/>
      <c r="LCP1000"/>
      <c r="LCQ1000"/>
      <c r="LCR1000"/>
      <c r="LCS1000"/>
      <c r="LCT1000"/>
      <c r="LCU1000"/>
      <c r="LCV1000"/>
      <c r="LCW1000"/>
      <c r="LCX1000"/>
      <c r="LCY1000"/>
      <c r="LCZ1000"/>
      <c r="LDA1000"/>
      <c r="LDB1000"/>
      <c r="LDC1000"/>
      <c r="LDD1000"/>
      <c r="LDE1000"/>
      <c r="LDF1000"/>
      <c r="LDG1000"/>
      <c r="LDH1000"/>
      <c r="LDI1000"/>
      <c r="LDJ1000"/>
      <c r="LDK1000"/>
      <c r="LDL1000"/>
      <c r="LDM1000"/>
      <c r="LDN1000"/>
      <c r="LDO1000"/>
      <c r="LDP1000"/>
      <c r="LDQ1000"/>
      <c r="LDR1000"/>
      <c r="LDS1000"/>
      <c r="LDT1000"/>
      <c r="LDU1000"/>
      <c r="LDV1000"/>
      <c r="LDW1000"/>
      <c r="LDX1000"/>
      <c r="LDY1000"/>
      <c r="LDZ1000"/>
      <c r="LEA1000"/>
      <c r="LEB1000"/>
      <c r="LEC1000"/>
      <c r="LED1000"/>
      <c r="LEE1000"/>
      <c r="LEF1000"/>
      <c r="LEG1000"/>
      <c r="LEH1000"/>
      <c r="LEI1000"/>
      <c r="LEJ1000"/>
      <c r="LEK1000"/>
      <c r="LEL1000"/>
      <c r="LEM1000"/>
      <c r="LEN1000"/>
      <c r="LEO1000"/>
      <c r="LEP1000"/>
      <c r="LEQ1000"/>
      <c r="LER1000"/>
      <c r="LES1000"/>
      <c r="LET1000"/>
      <c r="LEU1000"/>
      <c r="LEV1000"/>
      <c r="LEW1000"/>
      <c r="LEX1000"/>
      <c r="LEY1000"/>
      <c r="LEZ1000"/>
      <c r="LFA1000"/>
      <c r="LFB1000"/>
      <c r="LFC1000"/>
      <c r="LFD1000"/>
      <c r="LFE1000"/>
      <c r="LFF1000"/>
      <c r="LFG1000"/>
      <c r="LFH1000"/>
      <c r="LFI1000"/>
      <c r="LFJ1000"/>
      <c r="LFK1000"/>
      <c r="LFL1000"/>
      <c r="LFM1000"/>
      <c r="LFN1000"/>
      <c r="LFO1000"/>
      <c r="LFP1000"/>
      <c r="LFQ1000"/>
      <c r="LFR1000"/>
      <c r="LFS1000"/>
      <c r="LFT1000"/>
      <c r="LFU1000"/>
      <c r="LFV1000"/>
      <c r="LFW1000"/>
      <c r="LFX1000"/>
      <c r="LFY1000"/>
      <c r="LFZ1000"/>
      <c r="LGA1000"/>
      <c r="LGB1000"/>
      <c r="LGC1000"/>
      <c r="LGD1000"/>
      <c r="LGE1000"/>
      <c r="LGF1000"/>
      <c r="LGG1000"/>
      <c r="LGH1000"/>
      <c r="LGI1000"/>
      <c r="LGJ1000"/>
      <c r="LGK1000"/>
      <c r="LGL1000"/>
      <c r="LGM1000"/>
      <c r="LGN1000"/>
      <c r="LGO1000"/>
      <c r="LGP1000"/>
      <c r="LGQ1000"/>
      <c r="LGR1000"/>
      <c r="LGS1000"/>
      <c r="LGT1000"/>
      <c r="LGU1000"/>
      <c r="LGV1000"/>
      <c r="LGW1000"/>
      <c r="LGX1000"/>
      <c r="LGY1000"/>
      <c r="LGZ1000"/>
      <c r="LHA1000"/>
      <c r="LHB1000"/>
      <c r="LHC1000"/>
      <c r="LHD1000"/>
      <c r="LHE1000"/>
      <c r="LHF1000"/>
      <c r="LHG1000"/>
      <c r="LHH1000"/>
      <c r="LHI1000"/>
      <c r="LHJ1000"/>
      <c r="LHK1000"/>
      <c r="LHL1000"/>
      <c r="LHM1000"/>
      <c r="LHN1000"/>
      <c r="LHO1000"/>
      <c r="LHP1000"/>
      <c r="LHQ1000"/>
      <c r="LHR1000"/>
      <c r="LHS1000"/>
      <c r="LHT1000"/>
      <c r="LHU1000"/>
      <c r="LHV1000"/>
      <c r="LHW1000"/>
      <c r="LHX1000"/>
      <c r="LHY1000"/>
      <c r="LHZ1000"/>
      <c r="LIA1000"/>
      <c r="LIB1000"/>
      <c r="LIC1000"/>
      <c r="LID1000"/>
      <c r="LIE1000"/>
      <c r="LIF1000"/>
      <c r="LIG1000"/>
      <c r="LIH1000"/>
      <c r="LII1000"/>
      <c r="LIJ1000"/>
      <c r="LIK1000"/>
      <c r="LIL1000"/>
      <c r="LIM1000"/>
      <c r="LIN1000"/>
      <c r="LIO1000"/>
      <c r="LIP1000"/>
      <c r="LIQ1000"/>
      <c r="LIR1000"/>
      <c r="LIS1000"/>
      <c r="LIT1000"/>
      <c r="LIU1000"/>
      <c r="LIV1000"/>
      <c r="LIW1000"/>
      <c r="LIX1000"/>
      <c r="LIY1000"/>
      <c r="LIZ1000"/>
      <c r="LJA1000"/>
      <c r="LJB1000"/>
      <c r="LJC1000"/>
      <c r="LJD1000"/>
      <c r="LJE1000"/>
      <c r="LJF1000"/>
      <c r="LJG1000"/>
      <c r="LJH1000"/>
      <c r="LJI1000"/>
      <c r="LJJ1000"/>
      <c r="LJK1000"/>
      <c r="LJL1000"/>
      <c r="LJM1000"/>
      <c r="LJN1000"/>
      <c r="LJO1000"/>
      <c r="LJP1000"/>
      <c r="LJQ1000"/>
      <c r="LJR1000"/>
      <c r="LJS1000"/>
      <c r="LJT1000"/>
      <c r="LJU1000"/>
      <c r="LJV1000"/>
      <c r="LJW1000"/>
      <c r="LJX1000"/>
      <c r="LJY1000"/>
      <c r="LJZ1000"/>
      <c r="LKA1000"/>
      <c r="LKB1000"/>
      <c r="LKC1000"/>
      <c r="LKD1000"/>
      <c r="LKE1000"/>
      <c r="LKF1000"/>
      <c r="LKG1000"/>
      <c r="LKH1000"/>
      <c r="LKI1000"/>
      <c r="LKJ1000"/>
      <c r="LKK1000"/>
      <c r="LKL1000"/>
      <c r="LKM1000"/>
      <c r="LKN1000"/>
      <c r="LKO1000"/>
      <c r="LKP1000"/>
      <c r="LKQ1000"/>
      <c r="LKR1000"/>
      <c r="LKS1000"/>
      <c r="LKT1000"/>
      <c r="LKU1000"/>
      <c r="LKV1000"/>
      <c r="LKW1000"/>
      <c r="LKX1000"/>
      <c r="LKY1000"/>
      <c r="LKZ1000"/>
      <c r="LLA1000"/>
      <c r="LLB1000"/>
      <c r="LLC1000"/>
      <c r="LLD1000"/>
      <c r="LLE1000"/>
      <c r="LLF1000"/>
      <c r="LLG1000"/>
      <c r="LLH1000"/>
      <c r="LLI1000"/>
      <c r="LLJ1000"/>
      <c r="LLK1000"/>
      <c r="LLL1000"/>
      <c r="LLM1000"/>
      <c r="LLN1000"/>
      <c r="LLO1000"/>
      <c r="LLP1000"/>
      <c r="LLQ1000"/>
      <c r="LLR1000"/>
      <c r="LLS1000"/>
      <c r="LLT1000"/>
      <c r="LLU1000"/>
      <c r="LLV1000"/>
      <c r="LLW1000"/>
      <c r="LLX1000"/>
      <c r="LLY1000"/>
      <c r="LLZ1000"/>
      <c r="LMA1000"/>
      <c r="LMB1000"/>
      <c r="LMC1000"/>
      <c r="LMD1000"/>
      <c r="LME1000"/>
      <c r="LMF1000"/>
      <c r="LMG1000"/>
      <c r="LMH1000"/>
      <c r="LMI1000"/>
      <c r="LMJ1000"/>
      <c r="LMK1000"/>
      <c r="LML1000"/>
      <c r="LMM1000"/>
      <c r="LMN1000"/>
      <c r="LMO1000"/>
      <c r="LMP1000"/>
      <c r="LMQ1000"/>
      <c r="LMR1000"/>
      <c r="LMS1000"/>
      <c r="LMT1000"/>
      <c r="LMU1000"/>
      <c r="LMV1000"/>
      <c r="LMW1000"/>
      <c r="LMX1000"/>
      <c r="LMY1000"/>
      <c r="LMZ1000"/>
      <c r="LNA1000"/>
      <c r="LNB1000"/>
      <c r="LNC1000"/>
      <c r="LND1000"/>
      <c r="LNE1000"/>
      <c r="LNF1000"/>
      <c r="LNG1000"/>
      <c r="LNH1000"/>
      <c r="LNI1000"/>
      <c r="LNJ1000"/>
      <c r="LNK1000"/>
      <c r="LNL1000"/>
      <c r="LNM1000"/>
      <c r="LNN1000"/>
      <c r="LNO1000"/>
      <c r="LNP1000"/>
      <c r="LNQ1000"/>
      <c r="LNR1000"/>
      <c r="LNS1000"/>
      <c r="LNT1000"/>
      <c r="LNU1000"/>
      <c r="LNV1000"/>
      <c r="LNW1000"/>
      <c r="LNX1000"/>
      <c r="LNY1000"/>
      <c r="LNZ1000"/>
      <c r="LOA1000"/>
      <c r="LOB1000"/>
      <c r="LOC1000"/>
      <c r="LOD1000"/>
      <c r="LOE1000"/>
      <c r="LOF1000"/>
      <c r="LOG1000"/>
      <c r="LOH1000"/>
      <c r="LOI1000"/>
      <c r="LOJ1000"/>
      <c r="LOK1000"/>
      <c r="LOL1000"/>
      <c r="LOM1000"/>
      <c r="LON1000"/>
      <c r="LOO1000"/>
      <c r="LOP1000"/>
      <c r="LOQ1000"/>
      <c r="LOR1000"/>
      <c r="LOS1000"/>
      <c r="LOT1000"/>
      <c r="LOU1000"/>
      <c r="LOV1000"/>
      <c r="LOW1000"/>
      <c r="LOX1000"/>
      <c r="LOY1000"/>
      <c r="LOZ1000"/>
      <c r="LPA1000"/>
      <c r="LPB1000"/>
      <c r="LPC1000"/>
      <c r="LPD1000"/>
      <c r="LPE1000"/>
      <c r="LPF1000"/>
      <c r="LPG1000"/>
      <c r="LPH1000"/>
      <c r="LPI1000"/>
      <c r="LPJ1000"/>
      <c r="LPK1000"/>
      <c r="LPL1000"/>
      <c r="LPM1000"/>
      <c r="LPN1000"/>
      <c r="LPO1000"/>
      <c r="LPP1000"/>
      <c r="LPQ1000"/>
      <c r="LPR1000"/>
      <c r="LPS1000"/>
      <c r="LPT1000"/>
      <c r="LPU1000"/>
      <c r="LPV1000"/>
      <c r="LPW1000"/>
      <c r="LPX1000"/>
      <c r="LPY1000"/>
      <c r="LPZ1000"/>
      <c r="LQA1000"/>
      <c r="LQB1000"/>
      <c r="LQC1000"/>
      <c r="LQD1000"/>
      <c r="LQE1000"/>
      <c r="LQF1000"/>
      <c r="LQG1000"/>
      <c r="LQH1000"/>
      <c r="LQI1000"/>
      <c r="LQJ1000"/>
      <c r="LQK1000"/>
      <c r="LQL1000"/>
      <c r="LQM1000"/>
      <c r="LQN1000"/>
      <c r="LQO1000"/>
      <c r="LQP1000"/>
      <c r="LQQ1000"/>
      <c r="LQR1000"/>
      <c r="LQS1000"/>
      <c r="LQT1000"/>
      <c r="LQU1000"/>
      <c r="LQV1000"/>
      <c r="LQW1000"/>
      <c r="LQX1000"/>
      <c r="LQY1000"/>
      <c r="LQZ1000"/>
      <c r="LRA1000"/>
      <c r="LRB1000"/>
      <c r="LRC1000"/>
      <c r="LRD1000"/>
      <c r="LRE1000"/>
      <c r="LRF1000"/>
      <c r="LRG1000"/>
      <c r="LRH1000"/>
      <c r="LRI1000"/>
      <c r="LRJ1000"/>
      <c r="LRK1000"/>
      <c r="LRL1000"/>
      <c r="LRM1000"/>
      <c r="LRN1000"/>
      <c r="LRO1000"/>
      <c r="LRP1000"/>
      <c r="LRQ1000"/>
      <c r="LRR1000"/>
      <c r="LRS1000"/>
      <c r="LRT1000"/>
      <c r="LRU1000"/>
      <c r="LRV1000"/>
      <c r="LRW1000"/>
      <c r="LRX1000"/>
      <c r="LRY1000"/>
      <c r="LRZ1000"/>
      <c r="LSA1000"/>
      <c r="LSB1000"/>
      <c r="LSC1000"/>
      <c r="LSD1000"/>
      <c r="LSE1000"/>
      <c r="LSF1000"/>
      <c r="LSG1000"/>
      <c r="LSH1000"/>
      <c r="LSI1000"/>
      <c r="LSJ1000"/>
      <c r="LSK1000"/>
      <c r="LSL1000"/>
      <c r="LSM1000"/>
      <c r="LSN1000"/>
      <c r="LSO1000"/>
      <c r="LSP1000"/>
      <c r="LSQ1000"/>
      <c r="LSR1000"/>
      <c r="LSS1000"/>
      <c r="LST1000"/>
      <c r="LSU1000"/>
      <c r="LSV1000"/>
      <c r="LSW1000"/>
      <c r="LSX1000"/>
      <c r="LSY1000"/>
      <c r="LSZ1000"/>
      <c r="LTA1000"/>
      <c r="LTB1000"/>
      <c r="LTC1000"/>
      <c r="LTD1000"/>
      <c r="LTE1000"/>
      <c r="LTF1000"/>
      <c r="LTG1000"/>
      <c r="LTH1000"/>
      <c r="LTI1000"/>
      <c r="LTJ1000"/>
      <c r="LTK1000"/>
      <c r="LTL1000"/>
      <c r="LTM1000"/>
      <c r="LTN1000"/>
      <c r="LTO1000"/>
      <c r="LTP1000"/>
      <c r="LTQ1000"/>
      <c r="LTR1000"/>
      <c r="LTS1000"/>
      <c r="LTT1000"/>
      <c r="LTU1000"/>
      <c r="LTV1000"/>
      <c r="LTW1000"/>
      <c r="LTX1000"/>
      <c r="LTY1000"/>
      <c r="LTZ1000"/>
      <c r="LUA1000"/>
      <c r="LUB1000"/>
      <c r="LUC1000"/>
      <c r="LUD1000"/>
      <c r="LUE1000"/>
      <c r="LUF1000"/>
      <c r="LUG1000"/>
      <c r="LUH1000"/>
      <c r="LUI1000"/>
      <c r="LUJ1000"/>
      <c r="LUK1000"/>
      <c r="LUL1000"/>
      <c r="LUM1000"/>
      <c r="LUN1000"/>
      <c r="LUO1000"/>
      <c r="LUP1000"/>
      <c r="LUQ1000"/>
      <c r="LUR1000"/>
      <c r="LUS1000"/>
      <c r="LUT1000"/>
      <c r="LUU1000"/>
      <c r="LUV1000"/>
      <c r="LUW1000"/>
      <c r="LUX1000"/>
      <c r="LUY1000"/>
      <c r="LUZ1000"/>
      <c r="LVA1000"/>
      <c r="LVB1000"/>
      <c r="LVC1000"/>
      <c r="LVD1000"/>
      <c r="LVE1000"/>
      <c r="LVF1000"/>
      <c r="LVG1000"/>
      <c r="LVH1000"/>
      <c r="LVI1000"/>
      <c r="LVJ1000"/>
      <c r="LVK1000"/>
      <c r="LVL1000"/>
      <c r="LVM1000"/>
      <c r="LVN1000"/>
      <c r="LVO1000"/>
      <c r="LVP1000"/>
      <c r="LVQ1000"/>
      <c r="LVR1000"/>
      <c r="LVS1000"/>
      <c r="LVT1000"/>
      <c r="LVU1000"/>
      <c r="LVV1000"/>
      <c r="LVW1000"/>
      <c r="LVX1000"/>
      <c r="LVY1000"/>
      <c r="LVZ1000"/>
      <c r="LWA1000"/>
      <c r="LWB1000"/>
      <c r="LWC1000"/>
      <c r="LWD1000"/>
      <c r="LWE1000"/>
      <c r="LWF1000"/>
      <c r="LWG1000"/>
      <c r="LWH1000"/>
      <c r="LWI1000"/>
      <c r="LWJ1000"/>
      <c r="LWK1000"/>
      <c r="LWL1000"/>
      <c r="LWM1000"/>
      <c r="LWN1000"/>
      <c r="LWO1000"/>
      <c r="LWP1000"/>
      <c r="LWQ1000"/>
      <c r="LWR1000"/>
      <c r="LWS1000"/>
      <c r="LWT1000"/>
      <c r="LWU1000"/>
      <c r="LWV1000"/>
      <c r="LWW1000"/>
      <c r="LWX1000"/>
      <c r="LWY1000"/>
      <c r="LWZ1000"/>
      <c r="LXA1000"/>
      <c r="LXB1000"/>
      <c r="LXC1000"/>
      <c r="LXD1000"/>
      <c r="LXE1000"/>
      <c r="LXF1000"/>
      <c r="LXG1000"/>
      <c r="LXH1000"/>
      <c r="LXI1000"/>
      <c r="LXJ1000"/>
      <c r="LXK1000"/>
      <c r="LXL1000"/>
      <c r="LXM1000"/>
      <c r="LXN1000"/>
      <c r="LXO1000"/>
      <c r="LXP1000"/>
      <c r="LXQ1000"/>
      <c r="LXR1000"/>
      <c r="LXS1000"/>
      <c r="LXT1000"/>
      <c r="LXU1000"/>
      <c r="LXV1000"/>
      <c r="LXW1000"/>
      <c r="LXX1000"/>
      <c r="LXY1000"/>
      <c r="LXZ1000"/>
      <c r="LYA1000"/>
      <c r="LYB1000"/>
      <c r="LYC1000"/>
      <c r="LYD1000"/>
      <c r="LYE1000"/>
      <c r="LYF1000"/>
      <c r="LYG1000"/>
      <c r="LYH1000"/>
      <c r="LYI1000"/>
      <c r="LYJ1000"/>
      <c r="LYK1000"/>
      <c r="LYL1000"/>
      <c r="LYM1000"/>
      <c r="LYN1000"/>
      <c r="LYO1000"/>
      <c r="LYP1000"/>
      <c r="LYQ1000"/>
      <c r="LYR1000"/>
      <c r="LYS1000"/>
      <c r="LYT1000"/>
      <c r="LYU1000"/>
      <c r="LYV1000"/>
      <c r="LYW1000"/>
      <c r="LYX1000"/>
      <c r="LYY1000"/>
      <c r="LYZ1000"/>
      <c r="LZA1000"/>
      <c r="LZB1000"/>
      <c r="LZC1000"/>
      <c r="LZD1000"/>
      <c r="LZE1000"/>
      <c r="LZF1000"/>
      <c r="LZG1000"/>
      <c r="LZH1000"/>
      <c r="LZI1000"/>
      <c r="LZJ1000"/>
      <c r="LZK1000"/>
      <c r="LZL1000"/>
      <c r="LZM1000"/>
      <c r="LZN1000"/>
      <c r="LZO1000"/>
      <c r="LZP1000"/>
      <c r="LZQ1000"/>
      <c r="LZR1000"/>
      <c r="LZS1000"/>
      <c r="LZT1000"/>
      <c r="LZU1000"/>
      <c r="LZV1000"/>
      <c r="LZW1000"/>
      <c r="LZX1000"/>
      <c r="LZY1000"/>
      <c r="LZZ1000"/>
      <c r="MAA1000"/>
      <c r="MAB1000"/>
      <c r="MAC1000"/>
      <c r="MAD1000"/>
      <c r="MAE1000"/>
      <c r="MAF1000"/>
      <c r="MAG1000"/>
      <c r="MAH1000"/>
      <c r="MAI1000"/>
      <c r="MAJ1000"/>
      <c r="MAK1000"/>
      <c r="MAL1000"/>
      <c r="MAM1000"/>
      <c r="MAN1000"/>
      <c r="MAO1000"/>
      <c r="MAP1000"/>
      <c r="MAQ1000"/>
      <c r="MAR1000"/>
      <c r="MAS1000"/>
      <c r="MAT1000"/>
      <c r="MAU1000"/>
      <c r="MAV1000"/>
      <c r="MAW1000"/>
      <c r="MAX1000"/>
      <c r="MAY1000"/>
      <c r="MAZ1000"/>
      <c r="MBA1000"/>
      <c r="MBB1000"/>
      <c r="MBC1000"/>
      <c r="MBD1000"/>
      <c r="MBE1000"/>
      <c r="MBF1000"/>
      <c r="MBG1000"/>
      <c r="MBH1000"/>
      <c r="MBI1000"/>
      <c r="MBJ1000"/>
      <c r="MBK1000"/>
      <c r="MBL1000"/>
      <c r="MBM1000"/>
      <c r="MBN1000"/>
      <c r="MBO1000"/>
      <c r="MBP1000"/>
      <c r="MBQ1000"/>
      <c r="MBR1000"/>
      <c r="MBS1000"/>
      <c r="MBT1000"/>
      <c r="MBU1000"/>
      <c r="MBV1000"/>
      <c r="MBW1000"/>
      <c r="MBX1000"/>
      <c r="MBY1000"/>
      <c r="MBZ1000"/>
      <c r="MCA1000"/>
      <c r="MCB1000"/>
      <c r="MCC1000"/>
      <c r="MCD1000"/>
      <c r="MCE1000"/>
      <c r="MCF1000"/>
      <c r="MCG1000"/>
      <c r="MCH1000"/>
      <c r="MCI1000"/>
      <c r="MCJ1000"/>
      <c r="MCK1000"/>
      <c r="MCL1000"/>
      <c r="MCM1000"/>
      <c r="MCN1000"/>
      <c r="MCO1000"/>
      <c r="MCP1000"/>
      <c r="MCQ1000"/>
      <c r="MCR1000"/>
      <c r="MCS1000"/>
      <c r="MCT1000"/>
      <c r="MCU1000"/>
      <c r="MCV1000"/>
      <c r="MCW1000"/>
      <c r="MCX1000"/>
      <c r="MCY1000"/>
      <c r="MCZ1000"/>
      <c r="MDA1000"/>
      <c r="MDB1000"/>
      <c r="MDC1000"/>
      <c r="MDD1000"/>
      <c r="MDE1000"/>
      <c r="MDF1000"/>
      <c r="MDG1000"/>
      <c r="MDH1000"/>
      <c r="MDI1000"/>
      <c r="MDJ1000"/>
      <c r="MDK1000"/>
      <c r="MDL1000"/>
      <c r="MDM1000"/>
      <c r="MDN1000"/>
      <c r="MDO1000"/>
      <c r="MDP1000"/>
      <c r="MDQ1000"/>
      <c r="MDR1000"/>
      <c r="MDS1000"/>
      <c r="MDT1000"/>
      <c r="MDU1000"/>
      <c r="MDV1000"/>
      <c r="MDW1000"/>
      <c r="MDX1000"/>
      <c r="MDY1000"/>
      <c r="MDZ1000"/>
      <c r="MEA1000"/>
      <c r="MEB1000"/>
      <c r="MEC1000"/>
      <c r="MED1000"/>
      <c r="MEE1000"/>
      <c r="MEF1000"/>
      <c r="MEG1000"/>
      <c r="MEH1000"/>
      <c r="MEI1000"/>
      <c r="MEJ1000"/>
      <c r="MEK1000"/>
      <c r="MEL1000"/>
      <c r="MEM1000"/>
      <c r="MEN1000"/>
      <c r="MEO1000"/>
      <c r="MEP1000"/>
      <c r="MEQ1000"/>
      <c r="MER1000"/>
      <c r="MES1000"/>
      <c r="MET1000"/>
      <c r="MEU1000"/>
      <c r="MEV1000"/>
      <c r="MEW1000"/>
      <c r="MEX1000"/>
      <c r="MEY1000"/>
      <c r="MEZ1000"/>
      <c r="MFA1000"/>
      <c r="MFB1000"/>
      <c r="MFC1000"/>
      <c r="MFD1000"/>
      <c r="MFE1000"/>
      <c r="MFF1000"/>
      <c r="MFG1000"/>
      <c r="MFH1000"/>
      <c r="MFI1000"/>
      <c r="MFJ1000"/>
      <c r="MFK1000"/>
      <c r="MFL1000"/>
      <c r="MFM1000"/>
      <c r="MFN1000"/>
      <c r="MFO1000"/>
      <c r="MFP1000"/>
      <c r="MFQ1000"/>
      <c r="MFR1000"/>
      <c r="MFS1000"/>
      <c r="MFT1000"/>
      <c r="MFU1000"/>
      <c r="MFV1000"/>
      <c r="MFW1000"/>
      <c r="MFX1000"/>
      <c r="MFY1000"/>
      <c r="MFZ1000"/>
      <c r="MGA1000"/>
      <c r="MGB1000"/>
      <c r="MGC1000"/>
      <c r="MGD1000"/>
      <c r="MGE1000"/>
      <c r="MGF1000"/>
      <c r="MGG1000"/>
      <c r="MGH1000"/>
      <c r="MGI1000"/>
      <c r="MGJ1000"/>
      <c r="MGK1000"/>
      <c r="MGL1000"/>
      <c r="MGM1000"/>
      <c r="MGN1000"/>
      <c r="MGO1000"/>
      <c r="MGP1000"/>
      <c r="MGQ1000"/>
      <c r="MGR1000"/>
      <c r="MGS1000"/>
      <c r="MGT1000"/>
      <c r="MGU1000"/>
      <c r="MGV1000"/>
      <c r="MGW1000"/>
      <c r="MGX1000"/>
      <c r="MGY1000"/>
      <c r="MGZ1000"/>
      <c r="MHA1000"/>
      <c r="MHB1000"/>
      <c r="MHC1000"/>
      <c r="MHD1000"/>
      <c r="MHE1000"/>
      <c r="MHF1000"/>
      <c r="MHG1000"/>
      <c r="MHH1000"/>
      <c r="MHI1000"/>
      <c r="MHJ1000"/>
      <c r="MHK1000"/>
      <c r="MHL1000"/>
      <c r="MHM1000"/>
      <c r="MHN1000"/>
      <c r="MHO1000"/>
      <c r="MHP1000"/>
      <c r="MHQ1000"/>
      <c r="MHR1000"/>
      <c r="MHS1000"/>
      <c r="MHT1000"/>
      <c r="MHU1000"/>
      <c r="MHV1000"/>
      <c r="MHW1000"/>
      <c r="MHX1000"/>
      <c r="MHY1000"/>
      <c r="MHZ1000"/>
      <c r="MIA1000"/>
      <c r="MIB1000"/>
      <c r="MIC1000"/>
      <c r="MID1000"/>
      <c r="MIE1000"/>
      <c r="MIF1000"/>
      <c r="MIG1000"/>
      <c r="MIH1000"/>
      <c r="MII1000"/>
      <c r="MIJ1000"/>
      <c r="MIK1000"/>
      <c r="MIL1000"/>
      <c r="MIM1000"/>
      <c r="MIN1000"/>
      <c r="MIO1000"/>
      <c r="MIP1000"/>
      <c r="MIQ1000"/>
      <c r="MIR1000"/>
      <c r="MIS1000"/>
      <c r="MIT1000"/>
      <c r="MIU1000"/>
      <c r="MIV1000"/>
      <c r="MIW1000"/>
      <c r="MIX1000"/>
      <c r="MIY1000"/>
      <c r="MIZ1000"/>
      <c r="MJA1000"/>
      <c r="MJB1000"/>
      <c r="MJC1000"/>
      <c r="MJD1000"/>
      <c r="MJE1000"/>
      <c r="MJF1000"/>
      <c r="MJG1000"/>
      <c r="MJH1000"/>
      <c r="MJI1000"/>
      <c r="MJJ1000"/>
      <c r="MJK1000"/>
      <c r="MJL1000"/>
      <c r="MJM1000"/>
      <c r="MJN1000"/>
      <c r="MJO1000"/>
      <c r="MJP1000"/>
      <c r="MJQ1000"/>
      <c r="MJR1000"/>
      <c r="MJS1000"/>
      <c r="MJT1000"/>
      <c r="MJU1000"/>
      <c r="MJV1000"/>
      <c r="MJW1000"/>
      <c r="MJX1000"/>
      <c r="MJY1000"/>
      <c r="MJZ1000"/>
      <c r="MKA1000"/>
      <c r="MKB1000"/>
      <c r="MKC1000"/>
      <c r="MKD1000"/>
      <c r="MKE1000"/>
      <c r="MKF1000"/>
      <c r="MKG1000"/>
      <c r="MKH1000"/>
      <c r="MKI1000"/>
      <c r="MKJ1000"/>
      <c r="MKK1000"/>
      <c r="MKL1000"/>
      <c r="MKM1000"/>
      <c r="MKN1000"/>
      <c r="MKO1000"/>
      <c r="MKP1000"/>
      <c r="MKQ1000"/>
      <c r="MKR1000"/>
      <c r="MKS1000"/>
      <c r="MKT1000"/>
      <c r="MKU1000"/>
      <c r="MKV1000"/>
      <c r="MKW1000"/>
      <c r="MKX1000"/>
      <c r="MKY1000"/>
      <c r="MKZ1000"/>
      <c r="MLA1000"/>
      <c r="MLB1000"/>
      <c r="MLC1000"/>
      <c r="MLD1000"/>
      <c r="MLE1000"/>
      <c r="MLF1000"/>
      <c r="MLG1000"/>
      <c r="MLH1000"/>
      <c r="MLI1000"/>
      <c r="MLJ1000"/>
      <c r="MLK1000"/>
      <c r="MLL1000"/>
      <c r="MLM1000"/>
      <c r="MLN1000"/>
      <c r="MLO1000"/>
      <c r="MLP1000"/>
      <c r="MLQ1000"/>
      <c r="MLR1000"/>
      <c r="MLS1000"/>
      <c r="MLT1000"/>
      <c r="MLU1000"/>
      <c r="MLV1000"/>
      <c r="MLW1000"/>
      <c r="MLX1000"/>
      <c r="MLY1000"/>
      <c r="MLZ1000"/>
      <c r="MMA1000"/>
      <c r="MMB1000"/>
      <c r="MMC1000"/>
      <c r="MMD1000"/>
      <c r="MME1000"/>
      <c r="MMF1000"/>
      <c r="MMG1000"/>
      <c r="MMH1000"/>
      <c r="MMI1000"/>
      <c r="MMJ1000"/>
      <c r="MMK1000"/>
      <c r="MML1000"/>
      <c r="MMM1000"/>
      <c r="MMN1000"/>
      <c r="MMO1000"/>
      <c r="MMP1000"/>
      <c r="MMQ1000"/>
      <c r="MMR1000"/>
      <c r="MMS1000"/>
      <c r="MMT1000"/>
      <c r="MMU1000"/>
      <c r="MMV1000"/>
      <c r="MMW1000"/>
      <c r="MMX1000"/>
      <c r="MMY1000"/>
      <c r="MMZ1000"/>
      <c r="MNA1000"/>
      <c r="MNB1000"/>
      <c r="MNC1000"/>
      <c r="MND1000"/>
      <c r="MNE1000"/>
      <c r="MNF1000"/>
      <c r="MNG1000"/>
      <c r="MNH1000"/>
      <c r="MNI1000"/>
      <c r="MNJ1000"/>
      <c r="MNK1000"/>
      <c r="MNL1000"/>
      <c r="MNM1000"/>
      <c r="MNN1000"/>
      <c r="MNO1000"/>
      <c r="MNP1000"/>
      <c r="MNQ1000"/>
      <c r="MNR1000"/>
      <c r="MNS1000"/>
      <c r="MNT1000"/>
      <c r="MNU1000"/>
      <c r="MNV1000"/>
      <c r="MNW1000"/>
      <c r="MNX1000"/>
      <c r="MNY1000"/>
      <c r="MNZ1000"/>
      <c r="MOA1000"/>
      <c r="MOB1000"/>
      <c r="MOC1000"/>
      <c r="MOD1000"/>
      <c r="MOE1000"/>
      <c r="MOF1000"/>
      <c r="MOG1000"/>
      <c r="MOH1000"/>
      <c r="MOI1000"/>
      <c r="MOJ1000"/>
      <c r="MOK1000"/>
      <c r="MOL1000"/>
      <c r="MOM1000"/>
      <c r="MON1000"/>
      <c r="MOO1000"/>
      <c r="MOP1000"/>
      <c r="MOQ1000"/>
      <c r="MOR1000"/>
      <c r="MOS1000"/>
      <c r="MOT1000"/>
      <c r="MOU1000"/>
      <c r="MOV1000"/>
      <c r="MOW1000"/>
      <c r="MOX1000"/>
      <c r="MOY1000"/>
      <c r="MOZ1000"/>
      <c r="MPA1000"/>
      <c r="MPB1000"/>
      <c r="MPC1000"/>
      <c r="MPD1000"/>
      <c r="MPE1000"/>
      <c r="MPF1000"/>
      <c r="MPG1000"/>
      <c r="MPH1000"/>
      <c r="MPI1000"/>
      <c r="MPJ1000"/>
      <c r="MPK1000"/>
      <c r="MPL1000"/>
      <c r="MPM1000"/>
      <c r="MPN1000"/>
      <c r="MPO1000"/>
      <c r="MPP1000"/>
      <c r="MPQ1000"/>
      <c r="MPR1000"/>
      <c r="MPS1000"/>
      <c r="MPT1000"/>
      <c r="MPU1000"/>
      <c r="MPV1000"/>
      <c r="MPW1000"/>
      <c r="MPX1000"/>
      <c r="MPY1000"/>
      <c r="MPZ1000"/>
      <c r="MQA1000"/>
      <c r="MQB1000"/>
      <c r="MQC1000"/>
      <c r="MQD1000"/>
      <c r="MQE1000"/>
      <c r="MQF1000"/>
      <c r="MQG1000"/>
      <c r="MQH1000"/>
      <c r="MQI1000"/>
      <c r="MQJ1000"/>
      <c r="MQK1000"/>
      <c r="MQL1000"/>
      <c r="MQM1000"/>
      <c r="MQN1000"/>
      <c r="MQO1000"/>
      <c r="MQP1000"/>
      <c r="MQQ1000"/>
      <c r="MQR1000"/>
      <c r="MQS1000"/>
      <c r="MQT1000"/>
      <c r="MQU1000"/>
      <c r="MQV1000"/>
      <c r="MQW1000"/>
      <c r="MQX1000"/>
      <c r="MQY1000"/>
      <c r="MQZ1000"/>
      <c r="MRA1000"/>
      <c r="MRB1000"/>
      <c r="MRC1000"/>
      <c r="MRD1000"/>
      <c r="MRE1000"/>
      <c r="MRF1000"/>
      <c r="MRG1000"/>
      <c r="MRH1000"/>
      <c r="MRI1000"/>
      <c r="MRJ1000"/>
      <c r="MRK1000"/>
      <c r="MRL1000"/>
      <c r="MRM1000"/>
      <c r="MRN1000"/>
      <c r="MRO1000"/>
      <c r="MRP1000"/>
      <c r="MRQ1000"/>
      <c r="MRR1000"/>
      <c r="MRS1000"/>
      <c r="MRT1000"/>
      <c r="MRU1000"/>
      <c r="MRV1000"/>
      <c r="MRW1000"/>
      <c r="MRX1000"/>
      <c r="MRY1000"/>
      <c r="MRZ1000"/>
      <c r="MSA1000"/>
      <c r="MSB1000"/>
      <c r="MSC1000"/>
      <c r="MSD1000"/>
      <c r="MSE1000"/>
      <c r="MSF1000"/>
      <c r="MSG1000"/>
      <c r="MSH1000"/>
      <c r="MSI1000"/>
      <c r="MSJ1000"/>
      <c r="MSK1000"/>
      <c r="MSL1000"/>
      <c r="MSM1000"/>
      <c r="MSN1000"/>
      <c r="MSO1000"/>
      <c r="MSP1000"/>
      <c r="MSQ1000"/>
      <c r="MSR1000"/>
      <c r="MSS1000"/>
      <c r="MST1000"/>
      <c r="MSU1000"/>
      <c r="MSV1000"/>
      <c r="MSW1000"/>
      <c r="MSX1000"/>
      <c r="MSY1000"/>
      <c r="MSZ1000"/>
      <c r="MTA1000"/>
      <c r="MTB1000"/>
      <c r="MTC1000"/>
      <c r="MTD1000"/>
      <c r="MTE1000"/>
      <c r="MTF1000"/>
      <c r="MTG1000"/>
      <c r="MTH1000"/>
      <c r="MTI1000"/>
      <c r="MTJ1000"/>
      <c r="MTK1000"/>
      <c r="MTL1000"/>
      <c r="MTM1000"/>
      <c r="MTN1000"/>
      <c r="MTO1000"/>
      <c r="MTP1000"/>
      <c r="MTQ1000"/>
      <c r="MTR1000"/>
      <c r="MTS1000"/>
      <c r="MTT1000"/>
      <c r="MTU1000"/>
      <c r="MTV1000"/>
      <c r="MTW1000"/>
      <c r="MTX1000"/>
      <c r="MTY1000"/>
      <c r="MTZ1000"/>
      <c r="MUA1000"/>
      <c r="MUB1000"/>
      <c r="MUC1000"/>
      <c r="MUD1000"/>
      <c r="MUE1000"/>
      <c r="MUF1000"/>
      <c r="MUG1000"/>
      <c r="MUH1000"/>
      <c r="MUI1000"/>
      <c r="MUJ1000"/>
      <c r="MUK1000"/>
      <c r="MUL1000"/>
      <c r="MUM1000"/>
      <c r="MUN1000"/>
      <c r="MUO1000"/>
      <c r="MUP1000"/>
      <c r="MUQ1000"/>
      <c r="MUR1000"/>
      <c r="MUS1000"/>
      <c r="MUT1000"/>
      <c r="MUU1000"/>
      <c r="MUV1000"/>
      <c r="MUW1000"/>
      <c r="MUX1000"/>
      <c r="MUY1000"/>
      <c r="MUZ1000"/>
      <c r="MVA1000"/>
      <c r="MVB1000"/>
      <c r="MVC1000"/>
      <c r="MVD1000"/>
      <c r="MVE1000"/>
      <c r="MVF1000"/>
      <c r="MVG1000"/>
      <c r="MVH1000"/>
      <c r="MVI1000"/>
      <c r="MVJ1000"/>
      <c r="MVK1000"/>
      <c r="MVL1000"/>
      <c r="MVM1000"/>
      <c r="MVN1000"/>
      <c r="MVO1000"/>
      <c r="MVP1000"/>
      <c r="MVQ1000"/>
      <c r="MVR1000"/>
      <c r="MVS1000"/>
      <c r="MVT1000"/>
      <c r="MVU1000"/>
      <c r="MVV1000"/>
      <c r="MVW1000"/>
      <c r="MVX1000"/>
      <c r="MVY1000"/>
      <c r="MVZ1000"/>
      <c r="MWA1000"/>
      <c r="MWB1000"/>
      <c r="MWC1000"/>
      <c r="MWD1000"/>
      <c r="MWE1000"/>
      <c r="MWF1000"/>
      <c r="MWG1000"/>
      <c r="MWH1000"/>
      <c r="MWI1000"/>
      <c r="MWJ1000"/>
      <c r="MWK1000"/>
      <c r="MWL1000"/>
      <c r="MWM1000"/>
      <c r="MWN1000"/>
      <c r="MWO1000"/>
      <c r="MWP1000"/>
      <c r="MWQ1000"/>
      <c r="MWR1000"/>
      <c r="MWS1000"/>
      <c r="MWT1000"/>
      <c r="MWU1000"/>
      <c r="MWV1000"/>
      <c r="MWW1000"/>
      <c r="MWX1000"/>
      <c r="MWY1000"/>
      <c r="MWZ1000"/>
      <c r="MXA1000"/>
      <c r="MXB1000"/>
      <c r="MXC1000"/>
      <c r="MXD1000"/>
      <c r="MXE1000"/>
      <c r="MXF1000"/>
      <c r="MXG1000"/>
      <c r="MXH1000"/>
      <c r="MXI1000"/>
      <c r="MXJ1000"/>
      <c r="MXK1000"/>
      <c r="MXL1000"/>
      <c r="MXM1000"/>
      <c r="MXN1000"/>
      <c r="MXO1000"/>
      <c r="MXP1000"/>
      <c r="MXQ1000"/>
      <c r="MXR1000"/>
      <c r="MXS1000"/>
      <c r="MXT1000"/>
      <c r="MXU1000"/>
      <c r="MXV1000"/>
      <c r="MXW1000"/>
      <c r="MXX1000"/>
      <c r="MXY1000"/>
      <c r="MXZ1000"/>
      <c r="MYA1000"/>
      <c r="MYB1000"/>
      <c r="MYC1000"/>
      <c r="MYD1000"/>
      <c r="MYE1000"/>
      <c r="MYF1000"/>
      <c r="MYG1000"/>
      <c r="MYH1000"/>
      <c r="MYI1000"/>
      <c r="MYJ1000"/>
      <c r="MYK1000"/>
      <c r="MYL1000"/>
      <c r="MYM1000"/>
      <c r="MYN1000"/>
      <c r="MYO1000"/>
      <c r="MYP1000"/>
      <c r="MYQ1000"/>
      <c r="MYR1000"/>
      <c r="MYS1000"/>
      <c r="MYT1000"/>
      <c r="MYU1000"/>
      <c r="MYV1000"/>
      <c r="MYW1000"/>
      <c r="MYX1000"/>
      <c r="MYY1000"/>
      <c r="MYZ1000"/>
      <c r="MZA1000"/>
      <c r="MZB1000"/>
      <c r="MZC1000"/>
      <c r="MZD1000"/>
      <c r="MZE1000"/>
      <c r="MZF1000"/>
      <c r="MZG1000"/>
      <c r="MZH1000"/>
      <c r="MZI1000"/>
      <c r="MZJ1000"/>
      <c r="MZK1000"/>
      <c r="MZL1000"/>
      <c r="MZM1000"/>
      <c r="MZN1000"/>
      <c r="MZO1000"/>
      <c r="MZP1000"/>
      <c r="MZQ1000"/>
      <c r="MZR1000"/>
      <c r="MZS1000"/>
      <c r="MZT1000"/>
      <c r="MZU1000"/>
      <c r="MZV1000"/>
      <c r="MZW1000"/>
      <c r="MZX1000"/>
      <c r="MZY1000"/>
      <c r="MZZ1000"/>
      <c r="NAA1000"/>
      <c r="NAB1000"/>
      <c r="NAC1000"/>
      <c r="NAD1000"/>
      <c r="NAE1000"/>
      <c r="NAF1000"/>
      <c r="NAG1000"/>
      <c r="NAH1000"/>
      <c r="NAI1000"/>
      <c r="NAJ1000"/>
      <c r="NAK1000"/>
      <c r="NAL1000"/>
      <c r="NAM1000"/>
      <c r="NAN1000"/>
      <c r="NAO1000"/>
      <c r="NAP1000"/>
      <c r="NAQ1000"/>
      <c r="NAR1000"/>
      <c r="NAS1000"/>
      <c r="NAT1000"/>
      <c r="NAU1000"/>
      <c r="NAV1000"/>
      <c r="NAW1000"/>
      <c r="NAX1000"/>
      <c r="NAY1000"/>
      <c r="NAZ1000"/>
      <c r="NBA1000"/>
      <c r="NBB1000"/>
      <c r="NBC1000"/>
      <c r="NBD1000"/>
      <c r="NBE1000"/>
      <c r="NBF1000"/>
      <c r="NBG1000"/>
      <c r="NBH1000"/>
      <c r="NBI1000"/>
      <c r="NBJ1000"/>
      <c r="NBK1000"/>
      <c r="NBL1000"/>
      <c r="NBM1000"/>
      <c r="NBN1000"/>
      <c r="NBO1000"/>
      <c r="NBP1000"/>
      <c r="NBQ1000"/>
      <c r="NBR1000"/>
      <c r="NBS1000"/>
      <c r="NBT1000"/>
      <c r="NBU1000"/>
      <c r="NBV1000"/>
      <c r="NBW1000"/>
      <c r="NBX1000"/>
      <c r="NBY1000"/>
      <c r="NBZ1000"/>
      <c r="NCA1000"/>
      <c r="NCB1000"/>
      <c r="NCC1000"/>
      <c r="NCD1000"/>
      <c r="NCE1000"/>
      <c r="NCF1000"/>
      <c r="NCG1000"/>
      <c r="NCH1000"/>
      <c r="NCI1000"/>
      <c r="NCJ1000"/>
      <c r="NCK1000"/>
      <c r="NCL1000"/>
      <c r="NCM1000"/>
      <c r="NCN1000"/>
      <c r="NCO1000"/>
      <c r="NCP1000"/>
      <c r="NCQ1000"/>
      <c r="NCR1000"/>
      <c r="NCS1000"/>
      <c r="NCT1000"/>
      <c r="NCU1000"/>
      <c r="NCV1000"/>
      <c r="NCW1000"/>
      <c r="NCX1000"/>
      <c r="NCY1000"/>
      <c r="NCZ1000"/>
      <c r="NDA1000"/>
      <c r="NDB1000"/>
      <c r="NDC1000"/>
      <c r="NDD1000"/>
      <c r="NDE1000"/>
      <c r="NDF1000"/>
      <c r="NDG1000"/>
      <c r="NDH1000"/>
      <c r="NDI1000"/>
      <c r="NDJ1000"/>
      <c r="NDK1000"/>
      <c r="NDL1000"/>
      <c r="NDM1000"/>
      <c r="NDN1000"/>
      <c r="NDO1000"/>
      <c r="NDP1000"/>
      <c r="NDQ1000"/>
      <c r="NDR1000"/>
      <c r="NDS1000"/>
      <c r="NDT1000"/>
      <c r="NDU1000"/>
      <c r="NDV1000"/>
      <c r="NDW1000"/>
      <c r="NDX1000"/>
      <c r="NDY1000"/>
      <c r="NDZ1000"/>
      <c r="NEA1000"/>
      <c r="NEB1000"/>
      <c r="NEC1000"/>
      <c r="NED1000"/>
      <c r="NEE1000"/>
      <c r="NEF1000"/>
      <c r="NEG1000"/>
      <c r="NEH1000"/>
      <c r="NEI1000"/>
      <c r="NEJ1000"/>
      <c r="NEK1000"/>
      <c r="NEL1000"/>
      <c r="NEM1000"/>
      <c r="NEN1000"/>
      <c r="NEO1000"/>
      <c r="NEP1000"/>
      <c r="NEQ1000"/>
      <c r="NER1000"/>
      <c r="NES1000"/>
      <c r="NET1000"/>
      <c r="NEU1000"/>
      <c r="NEV1000"/>
      <c r="NEW1000"/>
      <c r="NEX1000"/>
      <c r="NEY1000"/>
      <c r="NEZ1000"/>
      <c r="NFA1000"/>
      <c r="NFB1000"/>
      <c r="NFC1000"/>
      <c r="NFD1000"/>
      <c r="NFE1000"/>
      <c r="NFF1000"/>
      <c r="NFG1000"/>
      <c r="NFH1000"/>
      <c r="NFI1000"/>
      <c r="NFJ1000"/>
      <c r="NFK1000"/>
      <c r="NFL1000"/>
      <c r="NFM1000"/>
      <c r="NFN1000"/>
      <c r="NFO1000"/>
      <c r="NFP1000"/>
      <c r="NFQ1000"/>
      <c r="NFR1000"/>
      <c r="NFS1000"/>
      <c r="NFT1000"/>
      <c r="NFU1000"/>
      <c r="NFV1000"/>
      <c r="NFW1000"/>
      <c r="NFX1000"/>
      <c r="NFY1000"/>
      <c r="NFZ1000"/>
      <c r="NGA1000"/>
      <c r="NGB1000"/>
      <c r="NGC1000"/>
      <c r="NGD1000"/>
      <c r="NGE1000"/>
      <c r="NGF1000"/>
      <c r="NGG1000"/>
      <c r="NGH1000"/>
      <c r="NGI1000"/>
      <c r="NGJ1000"/>
      <c r="NGK1000"/>
      <c r="NGL1000"/>
      <c r="NGM1000"/>
      <c r="NGN1000"/>
      <c r="NGO1000"/>
      <c r="NGP1000"/>
      <c r="NGQ1000"/>
      <c r="NGR1000"/>
      <c r="NGS1000"/>
      <c r="NGT1000"/>
      <c r="NGU1000"/>
      <c r="NGV1000"/>
      <c r="NGW1000"/>
      <c r="NGX1000"/>
      <c r="NGY1000"/>
      <c r="NGZ1000"/>
      <c r="NHA1000"/>
      <c r="NHB1000"/>
      <c r="NHC1000"/>
      <c r="NHD1000"/>
      <c r="NHE1000"/>
      <c r="NHF1000"/>
      <c r="NHG1000"/>
      <c r="NHH1000"/>
      <c r="NHI1000"/>
      <c r="NHJ1000"/>
      <c r="NHK1000"/>
      <c r="NHL1000"/>
      <c r="NHM1000"/>
      <c r="NHN1000"/>
      <c r="NHO1000"/>
      <c r="NHP1000"/>
      <c r="NHQ1000"/>
      <c r="NHR1000"/>
      <c r="NHS1000"/>
      <c r="NHT1000"/>
      <c r="NHU1000"/>
      <c r="NHV1000"/>
      <c r="NHW1000"/>
      <c r="NHX1000"/>
      <c r="NHY1000"/>
      <c r="NHZ1000"/>
      <c r="NIA1000"/>
      <c r="NIB1000"/>
      <c r="NIC1000"/>
      <c r="NID1000"/>
      <c r="NIE1000"/>
      <c r="NIF1000"/>
      <c r="NIG1000"/>
      <c r="NIH1000"/>
      <c r="NII1000"/>
      <c r="NIJ1000"/>
      <c r="NIK1000"/>
      <c r="NIL1000"/>
      <c r="NIM1000"/>
      <c r="NIN1000"/>
      <c r="NIO1000"/>
      <c r="NIP1000"/>
      <c r="NIQ1000"/>
      <c r="NIR1000"/>
      <c r="NIS1000"/>
      <c r="NIT1000"/>
      <c r="NIU1000"/>
      <c r="NIV1000"/>
      <c r="NIW1000"/>
      <c r="NIX1000"/>
      <c r="NIY1000"/>
      <c r="NIZ1000"/>
      <c r="NJA1000"/>
      <c r="NJB1000"/>
      <c r="NJC1000"/>
      <c r="NJD1000"/>
      <c r="NJE1000"/>
      <c r="NJF1000"/>
      <c r="NJG1000"/>
      <c r="NJH1000"/>
      <c r="NJI1000"/>
      <c r="NJJ1000"/>
      <c r="NJK1000"/>
      <c r="NJL1000"/>
      <c r="NJM1000"/>
      <c r="NJN1000"/>
      <c r="NJO1000"/>
      <c r="NJP1000"/>
      <c r="NJQ1000"/>
      <c r="NJR1000"/>
      <c r="NJS1000"/>
      <c r="NJT1000"/>
      <c r="NJU1000"/>
      <c r="NJV1000"/>
      <c r="NJW1000"/>
      <c r="NJX1000"/>
      <c r="NJY1000"/>
      <c r="NJZ1000"/>
      <c r="NKA1000"/>
      <c r="NKB1000"/>
      <c r="NKC1000"/>
      <c r="NKD1000"/>
      <c r="NKE1000"/>
      <c r="NKF1000"/>
      <c r="NKG1000"/>
      <c r="NKH1000"/>
      <c r="NKI1000"/>
      <c r="NKJ1000"/>
      <c r="NKK1000"/>
      <c r="NKL1000"/>
      <c r="NKM1000"/>
      <c r="NKN1000"/>
      <c r="NKO1000"/>
      <c r="NKP1000"/>
      <c r="NKQ1000"/>
      <c r="NKR1000"/>
      <c r="NKS1000"/>
      <c r="NKT1000"/>
      <c r="NKU1000"/>
      <c r="NKV1000"/>
      <c r="NKW1000"/>
      <c r="NKX1000"/>
      <c r="NKY1000"/>
      <c r="NKZ1000"/>
      <c r="NLA1000"/>
      <c r="NLB1000"/>
      <c r="NLC1000"/>
      <c r="NLD1000"/>
      <c r="NLE1000"/>
      <c r="NLF1000"/>
      <c r="NLG1000"/>
      <c r="NLH1000"/>
      <c r="NLI1000"/>
      <c r="NLJ1000"/>
      <c r="NLK1000"/>
      <c r="NLL1000"/>
      <c r="NLM1000"/>
      <c r="NLN1000"/>
      <c r="NLO1000"/>
      <c r="NLP1000"/>
      <c r="NLQ1000"/>
      <c r="NLR1000"/>
      <c r="NLS1000"/>
      <c r="NLT1000"/>
      <c r="NLU1000"/>
      <c r="NLV1000"/>
      <c r="NLW1000"/>
      <c r="NLX1000"/>
      <c r="NLY1000"/>
      <c r="NLZ1000"/>
      <c r="NMA1000"/>
      <c r="NMB1000"/>
      <c r="NMC1000"/>
      <c r="NMD1000"/>
      <c r="NME1000"/>
      <c r="NMF1000"/>
      <c r="NMG1000"/>
      <c r="NMH1000"/>
      <c r="NMI1000"/>
      <c r="NMJ1000"/>
      <c r="NMK1000"/>
      <c r="NML1000"/>
      <c r="NMM1000"/>
      <c r="NMN1000"/>
      <c r="NMO1000"/>
      <c r="NMP1000"/>
      <c r="NMQ1000"/>
      <c r="NMR1000"/>
      <c r="NMS1000"/>
      <c r="NMT1000"/>
      <c r="NMU1000"/>
      <c r="NMV1000"/>
      <c r="NMW1000"/>
      <c r="NMX1000"/>
      <c r="NMY1000"/>
      <c r="NMZ1000"/>
      <c r="NNA1000"/>
      <c r="NNB1000"/>
      <c r="NNC1000"/>
      <c r="NND1000"/>
      <c r="NNE1000"/>
      <c r="NNF1000"/>
      <c r="NNG1000"/>
      <c r="NNH1000"/>
      <c r="NNI1000"/>
      <c r="NNJ1000"/>
      <c r="NNK1000"/>
      <c r="NNL1000"/>
      <c r="NNM1000"/>
      <c r="NNN1000"/>
      <c r="NNO1000"/>
      <c r="NNP1000"/>
      <c r="NNQ1000"/>
      <c r="NNR1000"/>
      <c r="NNS1000"/>
      <c r="NNT1000"/>
      <c r="NNU1000"/>
      <c r="NNV1000"/>
      <c r="NNW1000"/>
      <c r="NNX1000"/>
      <c r="NNY1000"/>
      <c r="NNZ1000"/>
      <c r="NOA1000"/>
      <c r="NOB1000"/>
      <c r="NOC1000"/>
      <c r="NOD1000"/>
      <c r="NOE1000"/>
      <c r="NOF1000"/>
      <c r="NOG1000"/>
      <c r="NOH1000"/>
      <c r="NOI1000"/>
      <c r="NOJ1000"/>
      <c r="NOK1000"/>
      <c r="NOL1000"/>
      <c r="NOM1000"/>
      <c r="NON1000"/>
      <c r="NOO1000"/>
      <c r="NOP1000"/>
      <c r="NOQ1000"/>
      <c r="NOR1000"/>
      <c r="NOS1000"/>
      <c r="NOT1000"/>
      <c r="NOU1000"/>
      <c r="NOV1000"/>
      <c r="NOW1000"/>
      <c r="NOX1000"/>
      <c r="NOY1000"/>
      <c r="NOZ1000"/>
      <c r="NPA1000"/>
      <c r="NPB1000"/>
      <c r="NPC1000"/>
      <c r="NPD1000"/>
      <c r="NPE1000"/>
      <c r="NPF1000"/>
      <c r="NPG1000"/>
      <c r="NPH1000"/>
      <c r="NPI1000"/>
      <c r="NPJ1000"/>
      <c r="NPK1000"/>
      <c r="NPL1000"/>
      <c r="NPM1000"/>
      <c r="NPN1000"/>
      <c r="NPO1000"/>
      <c r="NPP1000"/>
      <c r="NPQ1000"/>
      <c r="NPR1000"/>
      <c r="NPS1000"/>
      <c r="NPT1000"/>
      <c r="NPU1000"/>
      <c r="NPV1000"/>
      <c r="NPW1000"/>
      <c r="NPX1000"/>
      <c r="NPY1000"/>
      <c r="NPZ1000"/>
      <c r="NQA1000"/>
      <c r="NQB1000"/>
      <c r="NQC1000"/>
      <c r="NQD1000"/>
      <c r="NQE1000"/>
      <c r="NQF1000"/>
      <c r="NQG1000"/>
      <c r="NQH1000"/>
      <c r="NQI1000"/>
      <c r="NQJ1000"/>
      <c r="NQK1000"/>
      <c r="NQL1000"/>
      <c r="NQM1000"/>
      <c r="NQN1000"/>
      <c r="NQO1000"/>
      <c r="NQP1000"/>
      <c r="NQQ1000"/>
      <c r="NQR1000"/>
      <c r="NQS1000"/>
      <c r="NQT1000"/>
      <c r="NQU1000"/>
      <c r="NQV1000"/>
      <c r="NQW1000"/>
      <c r="NQX1000"/>
      <c r="NQY1000"/>
      <c r="NQZ1000"/>
      <c r="NRA1000"/>
      <c r="NRB1000"/>
      <c r="NRC1000"/>
      <c r="NRD1000"/>
      <c r="NRE1000"/>
      <c r="NRF1000"/>
      <c r="NRG1000"/>
      <c r="NRH1000"/>
      <c r="NRI1000"/>
      <c r="NRJ1000"/>
      <c r="NRK1000"/>
      <c r="NRL1000"/>
      <c r="NRM1000"/>
      <c r="NRN1000"/>
      <c r="NRO1000"/>
      <c r="NRP1000"/>
      <c r="NRQ1000"/>
      <c r="NRR1000"/>
      <c r="NRS1000"/>
      <c r="NRT1000"/>
      <c r="NRU1000"/>
      <c r="NRV1000"/>
      <c r="NRW1000"/>
      <c r="NRX1000"/>
      <c r="NRY1000"/>
      <c r="NRZ1000"/>
      <c r="NSA1000"/>
      <c r="NSB1000"/>
      <c r="NSC1000"/>
      <c r="NSD1000"/>
      <c r="NSE1000"/>
      <c r="NSF1000"/>
      <c r="NSG1000"/>
      <c r="NSH1000"/>
      <c r="NSI1000"/>
      <c r="NSJ1000"/>
      <c r="NSK1000"/>
      <c r="NSL1000"/>
      <c r="NSM1000"/>
      <c r="NSN1000"/>
      <c r="NSO1000"/>
      <c r="NSP1000"/>
      <c r="NSQ1000"/>
      <c r="NSR1000"/>
      <c r="NSS1000"/>
      <c r="NST1000"/>
      <c r="NSU1000"/>
      <c r="NSV1000"/>
      <c r="NSW1000"/>
      <c r="NSX1000"/>
      <c r="NSY1000"/>
      <c r="NSZ1000"/>
      <c r="NTA1000"/>
      <c r="NTB1000"/>
      <c r="NTC1000"/>
      <c r="NTD1000"/>
      <c r="NTE1000"/>
      <c r="NTF1000"/>
      <c r="NTG1000"/>
      <c r="NTH1000"/>
      <c r="NTI1000"/>
      <c r="NTJ1000"/>
      <c r="NTK1000"/>
      <c r="NTL1000"/>
      <c r="NTM1000"/>
      <c r="NTN1000"/>
      <c r="NTO1000"/>
      <c r="NTP1000"/>
      <c r="NTQ1000"/>
      <c r="NTR1000"/>
      <c r="NTS1000"/>
      <c r="NTT1000"/>
      <c r="NTU1000"/>
      <c r="NTV1000"/>
      <c r="NTW1000"/>
      <c r="NTX1000"/>
      <c r="NTY1000"/>
      <c r="NTZ1000"/>
      <c r="NUA1000"/>
      <c r="NUB1000"/>
      <c r="NUC1000"/>
      <c r="NUD1000"/>
      <c r="NUE1000"/>
      <c r="NUF1000"/>
      <c r="NUG1000"/>
      <c r="NUH1000"/>
      <c r="NUI1000"/>
      <c r="NUJ1000"/>
      <c r="NUK1000"/>
      <c r="NUL1000"/>
      <c r="NUM1000"/>
      <c r="NUN1000"/>
      <c r="NUO1000"/>
      <c r="NUP1000"/>
      <c r="NUQ1000"/>
      <c r="NUR1000"/>
      <c r="NUS1000"/>
      <c r="NUT1000"/>
      <c r="NUU1000"/>
      <c r="NUV1000"/>
      <c r="NUW1000"/>
      <c r="NUX1000"/>
      <c r="NUY1000"/>
      <c r="NUZ1000"/>
      <c r="NVA1000"/>
      <c r="NVB1000"/>
      <c r="NVC1000"/>
      <c r="NVD1000"/>
      <c r="NVE1000"/>
      <c r="NVF1000"/>
      <c r="NVG1000"/>
      <c r="NVH1000"/>
      <c r="NVI1000"/>
      <c r="NVJ1000"/>
      <c r="NVK1000"/>
      <c r="NVL1000"/>
      <c r="NVM1000"/>
      <c r="NVN1000"/>
      <c r="NVO1000"/>
      <c r="NVP1000"/>
      <c r="NVQ1000"/>
      <c r="NVR1000"/>
      <c r="NVS1000"/>
      <c r="NVT1000"/>
      <c r="NVU1000"/>
      <c r="NVV1000"/>
      <c r="NVW1000"/>
      <c r="NVX1000"/>
      <c r="NVY1000"/>
      <c r="NVZ1000"/>
      <c r="NWA1000"/>
      <c r="NWB1000"/>
      <c r="NWC1000"/>
      <c r="NWD1000"/>
      <c r="NWE1000"/>
      <c r="NWF1000"/>
      <c r="NWG1000"/>
      <c r="NWH1000"/>
      <c r="NWI1000"/>
      <c r="NWJ1000"/>
      <c r="NWK1000"/>
      <c r="NWL1000"/>
      <c r="NWM1000"/>
      <c r="NWN1000"/>
      <c r="NWO1000"/>
      <c r="NWP1000"/>
      <c r="NWQ1000"/>
      <c r="NWR1000"/>
      <c r="NWS1000"/>
      <c r="NWT1000"/>
      <c r="NWU1000"/>
      <c r="NWV1000"/>
      <c r="NWW1000"/>
      <c r="NWX1000"/>
      <c r="NWY1000"/>
      <c r="NWZ1000"/>
      <c r="NXA1000"/>
      <c r="NXB1000"/>
      <c r="NXC1000"/>
      <c r="NXD1000"/>
      <c r="NXE1000"/>
      <c r="NXF1000"/>
      <c r="NXG1000"/>
      <c r="NXH1000"/>
      <c r="NXI1000"/>
      <c r="NXJ1000"/>
      <c r="NXK1000"/>
      <c r="NXL1000"/>
      <c r="NXM1000"/>
      <c r="NXN1000"/>
      <c r="NXO1000"/>
      <c r="NXP1000"/>
      <c r="NXQ1000"/>
      <c r="NXR1000"/>
      <c r="NXS1000"/>
      <c r="NXT1000"/>
      <c r="NXU1000"/>
      <c r="NXV1000"/>
      <c r="NXW1000"/>
      <c r="NXX1000"/>
      <c r="NXY1000"/>
      <c r="NXZ1000"/>
      <c r="NYA1000"/>
      <c r="NYB1000"/>
      <c r="NYC1000"/>
      <c r="NYD1000"/>
      <c r="NYE1000"/>
      <c r="NYF1000"/>
      <c r="NYG1000"/>
      <c r="NYH1000"/>
      <c r="NYI1000"/>
      <c r="NYJ1000"/>
      <c r="NYK1000"/>
      <c r="NYL1000"/>
      <c r="NYM1000"/>
      <c r="NYN1000"/>
      <c r="NYO1000"/>
      <c r="NYP1000"/>
      <c r="NYQ1000"/>
      <c r="NYR1000"/>
      <c r="NYS1000"/>
      <c r="NYT1000"/>
      <c r="NYU1000"/>
      <c r="NYV1000"/>
      <c r="NYW1000"/>
      <c r="NYX1000"/>
      <c r="NYY1000"/>
      <c r="NYZ1000"/>
      <c r="NZA1000"/>
      <c r="NZB1000"/>
      <c r="NZC1000"/>
      <c r="NZD1000"/>
      <c r="NZE1000"/>
      <c r="NZF1000"/>
      <c r="NZG1000"/>
      <c r="NZH1000"/>
      <c r="NZI1000"/>
      <c r="NZJ1000"/>
      <c r="NZK1000"/>
      <c r="NZL1000"/>
      <c r="NZM1000"/>
      <c r="NZN1000"/>
      <c r="NZO1000"/>
      <c r="NZP1000"/>
      <c r="NZQ1000"/>
      <c r="NZR1000"/>
      <c r="NZS1000"/>
      <c r="NZT1000"/>
      <c r="NZU1000"/>
      <c r="NZV1000"/>
      <c r="NZW1000"/>
      <c r="NZX1000"/>
      <c r="NZY1000"/>
      <c r="NZZ1000"/>
      <c r="OAA1000"/>
      <c r="OAB1000"/>
      <c r="OAC1000"/>
      <c r="OAD1000"/>
      <c r="OAE1000"/>
      <c r="OAF1000"/>
      <c r="OAG1000"/>
      <c r="OAH1000"/>
      <c r="OAI1000"/>
      <c r="OAJ1000"/>
      <c r="OAK1000"/>
      <c r="OAL1000"/>
      <c r="OAM1000"/>
      <c r="OAN1000"/>
      <c r="OAO1000"/>
      <c r="OAP1000"/>
      <c r="OAQ1000"/>
      <c r="OAR1000"/>
      <c r="OAS1000"/>
      <c r="OAT1000"/>
      <c r="OAU1000"/>
      <c r="OAV1000"/>
      <c r="OAW1000"/>
      <c r="OAX1000"/>
      <c r="OAY1000"/>
      <c r="OAZ1000"/>
      <c r="OBA1000"/>
      <c r="OBB1000"/>
      <c r="OBC1000"/>
      <c r="OBD1000"/>
      <c r="OBE1000"/>
      <c r="OBF1000"/>
      <c r="OBG1000"/>
      <c r="OBH1000"/>
      <c r="OBI1000"/>
      <c r="OBJ1000"/>
      <c r="OBK1000"/>
      <c r="OBL1000"/>
      <c r="OBM1000"/>
      <c r="OBN1000"/>
      <c r="OBO1000"/>
      <c r="OBP1000"/>
      <c r="OBQ1000"/>
      <c r="OBR1000"/>
      <c r="OBS1000"/>
      <c r="OBT1000"/>
      <c r="OBU1000"/>
      <c r="OBV1000"/>
      <c r="OBW1000"/>
      <c r="OBX1000"/>
      <c r="OBY1000"/>
      <c r="OBZ1000"/>
      <c r="OCA1000"/>
      <c r="OCB1000"/>
      <c r="OCC1000"/>
      <c r="OCD1000"/>
      <c r="OCE1000"/>
      <c r="OCF1000"/>
      <c r="OCG1000"/>
      <c r="OCH1000"/>
      <c r="OCI1000"/>
      <c r="OCJ1000"/>
      <c r="OCK1000"/>
      <c r="OCL1000"/>
      <c r="OCM1000"/>
      <c r="OCN1000"/>
      <c r="OCO1000"/>
      <c r="OCP1000"/>
      <c r="OCQ1000"/>
      <c r="OCR1000"/>
      <c r="OCS1000"/>
      <c r="OCT1000"/>
      <c r="OCU1000"/>
      <c r="OCV1000"/>
      <c r="OCW1000"/>
      <c r="OCX1000"/>
      <c r="OCY1000"/>
      <c r="OCZ1000"/>
      <c r="ODA1000"/>
      <c r="ODB1000"/>
      <c r="ODC1000"/>
      <c r="ODD1000"/>
      <c r="ODE1000"/>
      <c r="ODF1000"/>
      <c r="ODG1000"/>
      <c r="ODH1000"/>
      <c r="ODI1000"/>
      <c r="ODJ1000"/>
      <c r="ODK1000"/>
      <c r="ODL1000"/>
      <c r="ODM1000"/>
      <c r="ODN1000"/>
      <c r="ODO1000"/>
      <c r="ODP1000"/>
      <c r="ODQ1000"/>
      <c r="ODR1000"/>
      <c r="ODS1000"/>
      <c r="ODT1000"/>
      <c r="ODU1000"/>
      <c r="ODV1000"/>
      <c r="ODW1000"/>
      <c r="ODX1000"/>
      <c r="ODY1000"/>
      <c r="ODZ1000"/>
      <c r="OEA1000"/>
      <c r="OEB1000"/>
      <c r="OEC1000"/>
      <c r="OED1000"/>
      <c r="OEE1000"/>
      <c r="OEF1000"/>
      <c r="OEG1000"/>
      <c r="OEH1000"/>
      <c r="OEI1000"/>
      <c r="OEJ1000"/>
      <c r="OEK1000"/>
      <c r="OEL1000"/>
      <c r="OEM1000"/>
      <c r="OEN1000"/>
      <c r="OEO1000"/>
      <c r="OEP1000"/>
      <c r="OEQ1000"/>
      <c r="OER1000"/>
      <c r="OES1000"/>
      <c r="OET1000"/>
      <c r="OEU1000"/>
      <c r="OEV1000"/>
      <c r="OEW1000"/>
      <c r="OEX1000"/>
      <c r="OEY1000"/>
      <c r="OEZ1000"/>
      <c r="OFA1000"/>
      <c r="OFB1000"/>
      <c r="OFC1000"/>
      <c r="OFD1000"/>
      <c r="OFE1000"/>
      <c r="OFF1000"/>
      <c r="OFG1000"/>
      <c r="OFH1000"/>
      <c r="OFI1000"/>
      <c r="OFJ1000"/>
      <c r="OFK1000"/>
      <c r="OFL1000"/>
      <c r="OFM1000"/>
      <c r="OFN1000"/>
      <c r="OFO1000"/>
      <c r="OFP1000"/>
      <c r="OFQ1000"/>
      <c r="OFR1000"/>
      <c r="OFS1000"/>
      <c r="OFT1000"/>
      <c r="OFU1000"/>
      <c r="OFV1000"/>
      <c r="OFW1000"/>
      <c r="OFX1000"/>
      <c r="OFY1000"/>
      <c r="OFZ1000"/>
      <c r="OGA1000"/>
      <c r="OGB1000"/>
      <c r="OGC1000"/>
      <c r="OGD1000"/>
      <c r="OGE1000"/>
      <c r="OGF1000"/>
      <c r="OGG1000"/>
      <c r="OGH1000"/>
      <c r="OGI1000"/>
      <c r="OGJ1000"/>
      <c r="OGK1000"/>
      <c r="OGL1000"/>
      <c r="OGM1000"/>
      <c r="OGN1000"/>
      <c r="OGO1000"/>
      <c r="OGP1000"/>
      <c r="OGQ1000"/>
      <c r="OGR1000"/>
      <c r="OGS1000"/>
      <c r="OGT1000"/>
      <c r="OGU1000"/>
      <c r="OGV1000"/>
      <c r="OGW1000"/>
      <c r="OGX1000"/>
      <c r="OGY1000"/>
      <c r="OGZ1000"/>
      <c r="OHA1000"/>
      <c r="OHB1000"/>
      <c r="OHC1000"/>
      <c r="OHD1000"/>
      <c r="OHE1000"/>
      <c r="OHF1000"/>
      <c r="OHG1000"/>
      <c r="OHH1000"/>
      <c r="OHI1000"/>
      <c r="OHJ1000"/>
      <c r="OHK1000"/>
      <c r="OHL1000"/>
      <c r="OHM1000"/>
      <c r="OHN1000"/>
      <c r="OHO1000"/>
      <c r="OHP1000"/>
      <c r="OHQ1000"/>
      <c r="OHR1000"/>
      <c r="OHS1000"/>
      <c r="OHT1000"/>
      <c r="OHU1000"/>
      <c r="OHV1000"/>
      <c r="OHW1000"/>
      <c r="OHX1000"/>
      <c r="OHY1000"/>
      <c r="OHZ1000"/>
      <c r="OIA1000"/>
      <c r="OIB1000"/>
      <c r="OIC1000"/>
      <c r="OID1000"/>
      <c r="OIE1000"/>
      <c r="OIF1000"/>
      <c r="OIG1000"/>
      <c r="OIH1000"/>
      <c r="OII1000"/>
      <c r="OIJ1000"/>
      <c r="OIK1000"/>
      <c r="OIL1000"/>
      <c r="OIM1000"/>
      <c r="OIN1000"/>
      <c r="OIO1000"/>
      <c r="OIP1000"/>
      <c r="OIQ1000"/>
      <c r="OIR1000"/>
      <c r="OIS1000"/>
      <c r="OIT1000"/>
      <c r="OIU1000"/>
      <c r="OIV1000"/>
      <c r="OIW1000"/>
      <c r="OIX1000"/>
      <c r="OIY1000"/>
      <c r="OIZ1000"/>
      <c r="OJA1000"/>
      <c r="OJB1000"/>
      <c r="OJC1000"/>
      <c r="OJD1000"/>
      <c r="OJE1000"/>
      <c r="OJF1000"/>
      <c r="OJG1000"/>
      <c r="OJH1000"/>
      <c r="OJI1000"/>
      <c r="OJJ1000"/>
      <c r="OJK1000"/>
      <c r="OJL1000"/>
      <c r="OJM1000"/>
      <c r="OJN1000"/>
      <c r="OJO1000"/>
      <c r="OJP1000"/>
      <c r="OJQ1000"/>
      <c r="OJR1000"/>
      <c r="OJS1000"/>
      <c r="OJT1000"/>
      <c r="OJU1000"/>
      <c r="OJV1000"/>
      <c r="OJW1000"/>
      <c r="OJX1000"/>
      <c r="OJY1000"/>
      <c r="OJZ1000"/>
      <c r="OKA1000"/>
      <c r="OKB1000"/>
      <c r="OKC1000"/>
      <c r="OKD1000"/>
      <c r="OKE1000"/>
      <c r="OKF1000"/>
      <c r="OKG1000"/>
      <c r="OKH1000"/>
      <c r="OKI1000"/>
      <c r="OKJ1000"/>
      <c r="OKK1000"/>
      <c r="OKL1000"/>
      <c r="OKM1000"/>
      <c r="OKN1000"/>
      <c r="OKO1000"/>
      <c r="OKP1000"/>
      <c r="OKQ1000"/>
      <c r="OKR1000"/>
      <c r="OKS1000"/>
      <c r="OKT1000"/>
      <c r="OKU1000"/>
      <c r="OKV1000"/>
      <c r="OKW1000"/>
      <c r="OKX1000"/>
      <c r="OKY1000"/>
      <c r="OKZ1000"/>
      <c r="OLA1000"/>
      <c r="OLB1000"/>
      <c r="OLC1000"/>
      <c r="OLD1000"/>
      <c r="OLE1000"/>
      <c r="OLF1000"/>
      <c r="OLG1000"/>
      <c r="OLH1000"/>
      <c r="OLI1000"/>
      <c r="OLJ1000"/>
      <c r="OLK1000"/>
      <c r="OLL1000"/>
      <c r="OLM1000"/>
      <c r="OLN1000"/>
      <c r="OLO1000"/>
      <c r="OLP1000"/>
      <c r="OLQ1000"/>
      <c r="OLR1000"/>
      <c r="OLS1000"/>
      <c r="OLT1000"/>
      <c r="OLU1000"/>
      <c r="OLV1000"/>
      <c r="OLW1000"/>
      <c r="OLX1000"/>
      <c r="OLY1000"/>
      <c r="OLZ1000"/>
      <c r="OMA1000"/>
      <c r="OMB1000"/>
      <c r="OMC1000"/>
      <c r="OMD1000"/>
      <c r="OME1000"/>
      <c r="OMF1000"/>
      <c r="OMG1000"/>
      <c r="OMH1000"/>
      <c r="OMI1000"/>
      <c r="OMJ1000"/>
      <c r="OMK1000"/>
      <c r="OML1000"/>
      <c r="OMM1000"/>
      <c r="OMN1000"/>
      <c r="OMO1000"/>
      <c r="OMP1000"/>
      <c r="OMQ1000"/>
      <c r="OMR1000"/>
      <c r="OMS1000"/>
      <c r="OMT1000"/>
      <c r="OMU1000"/>
      <c r="OMV1000"/>
      <c r="OMW1000"/>
      <c r="OMX1000"/>
      <c r="OMY1000"/>
      <c r="OMZ1000"/>
      <c r="ONA1000"/>
      <c r="ONB1000"/>
      <c r="ONC1000"/>
      <c r="OND1000"/>
      <c r="ONE1000"/>
      <c r="ONF1000"/>
      <c r="ONG1000"/>
      <c r="ONH1000"/>
      <c r="ONI1000"/>
      <c r="ONJ1000"/>
      <c r="ONK1000"/>
      <c r="ONL1000"/>
      <c r="ONM1000"/>
      <c r="ONN1000"/>
      <c r="ONO1000"/>
      <c r="ONP1000"/>
      <c r="ONQ1000"/>
      <c r="ONR1000"/>
      <c r="ONS1000"/>
      <c r="ONT1000"/>
      <c r="ONU1000"/>
      <c r="ONV1000"/>
      <c r="ONW1000"/>
      <c r="ONX1000"/>
      <c r="ONY1000"/>
      <c r="ONZ1000"/>
      <c r="OOA1000"/>
      <c r="OOB1000"/>
      <c r="OOC1000"/>
      <c r="OOD1000"/>
      <c r="OOE1000"/>
      <c r="OOF1000"/>
      <c r="OOG1000"/>
      <c r="OOH1000"/>
      <c r="OOI1000"/>
      <c r="OOJ1000"/>
      <c r="OOK1000"/>
      <c r="OOL1000"/>
      <c r="OOM1000"/>
      <c r="OON1000"/>
      <c r="OOO1000"/>
      <c r="OOP1000"/>
      <c r="OOQ1000"/>
      <c r="OOR1000"/>
      <c r="OOS1000"/>
      <c r="OOT1000"/>
      <c r="OOU1000"/>
      <c r="OOV1000"/>
      <c r="OOW1000"/>
      <c r="OOX1000"/>
      <c r="OOY1000"/>
      <c r="OOZ1000"/>
      <c r="OPA1000"/>
      <c r="OPB1000"/>
      <c r="OPC1000"/>
      <c r="OPD1000"/>
      <c r="OPE1000"/>
      <c r="OPF1000"/>
      <c r="OPG1000"/>
      <c r="OPH1000"/>
      <c r="OPI1000"/>
      <c r="OPJ1000"/>
      <c r="OPK1000"/>
      <c r="OPL1000"/>
      <c r="OPM1000"/>
      <c r="OPN1000"/>
      <c r="OPO1000"/>
      <c r="OPP1000"/>
      <c r="OPQ1000"/>
      <c r="OPR1000"/>
      <c r="OPS1000"/>
      <c r="OPT1000"/>
      <c r="OPU1000"/>
      <c r="OPV1000"/>
      <c r="OPW1000"/>
      <c r="OPX1000"/>
      <c r="OPY1000"/>
      <c r="OPZ1000"/>
      <c r="OQA1000"/>
      <c r="OQB1000"/>
      <c r="OQC1000"/>
      <c r="OQD1000"/>
      <c r="OQE1000"/>
      <c r="OQF1000"/>
      <c r="OQG1000"/>
      <c r="OQH1000"/>
      <c r="OQI1000"/>
      <c r="OQJ1000"/>
      <c r="OQK1000"/>
      <c r="OQL1000"/>
      <c r="OQM1000"/>
      <c r="OQN1000"/>
      <c r="OQO1000"/>
      <c r="OQP1000"/>
      <c r="OQQ1000"/>
      <c r="OQR1000"/>
      <c r="OQS1000"/>
      <c r="OQT1000"/>
      <c r="OQU1000"/>
      <c r="OQV1000"/>
      <c r="OQW1000"/>
      <c r="OQX1000"/>
      <c r="OQY1000"/>
      <c r="OQZ1000"/>
      <c r="ORA1000"/>
      <c r="ORB1000"/>
      <c r="ORC1000"/>
      <c r="ORD1000"/>
      <c r="ORE1000"/>
      <c r="ORF1000"/>
      <c r="ORG1000"/>
      <c r="ORH1000"/>
      <c r="ORI1000"/>
      <c r="ORJ1000"/>
      <c r="ORK1000"/>
      <c r="ORL1000"/>
      <c r="ORM1000"/>
      <c r="ORN1000"/>
      <c r="ORO1000"/>
      <c r="ORP1000"/>
      <c r="ORQ1000"/>
      <c r="ORR1000"/>
      <c r="ORS1000"/>
      <c r="ORT1000"/>
      <c r="ORU1000"/>
      <c r="ORV1000"/>
      <c r="ORW1000"/>
      <c r="ORX1000"/>
      <c r="ORY1000"/>
      <c r="ORZ1000"/>
      <c r="OSA1000"/>
      <c r="OSB1000"/>
      <c r="OSC1000"/>
      <c r="OSD1000"/>
      <c r="OSE1000"/>
      <c r="OSF1000"/>
      <c r="OSG1000"/>
      <c r="OSH1000"/>
      <c r="OSI1000"/>
      <c r="OSJ1000"/>
      <c r="OSK1000"/>
      <c r="OSL1000"/>
      <c r="OSM1000"/>
      <c r="OSN1000"/>
      <c r="OSO1000"/>
      <c r="OSP1000"/>
      <c r="OSQ1000"/>
      <c r="OSR1000"/>
      <c r="OSS1000"/>
      <c r="OST1000"/>
      <c r="OSU1000"/>
      <c r="OSV1000"/>
      <c r="OSW1000"/>
      <c r="OSX1000"/>
      <c r="OSY1000"/>
      <c r="OSZ1000"/>
      <c r="OTA1000"/>
      <c r="OTB1000"/>
      <c r="OTC1000"/>
      <c r="OTD1000"/>
      <c r="OTE1000"/>
      <c r="OTF1000"/>
      <c r="OTG1000"/>
      <c r="OTH1000"/>
      <c r="OTI1000"/>
      <c r="OTJ1000"/>
      <c r="OTK1000"/>
      <c r="OTL1000"/>
      <c r="OTM1000"/>
      <c r="OTN1000"/>
      <c r="OTO1000"/>
      <c r="OTP1000"/>
      <c r="OTQ1000"/>
      <c r="OTR1000"/>
      <c r="OTS1000"/>
      <c r="OTT1000"/>
      <c r="OTU1000"/>
      <c r="OTV1000"/>
      <c r="OTW1000"/>
      <c r="OTX1000"/>
      <c r="OTY1000"/>
      <c r="OTZ1000"/>
      <c r="OUA1000"/>
      <c r="OUB1000"/>
      <c r="OUC1000"/>
      <c r="OUD1000"/>
      <c r="OUE1000"/>
      <c r="OUF1000"/>
      <c r="OUG1000"/>
      <c r="OUH1000"/>
      <c r="OUI1000"/>
      <c r="OUJ1000"/>
      <c r="OUK1000"/>
      <c r="OUL1000"/>
      <c r="OUM1000"/>
      <c r="OUN1000"/>
      <c r="OUO1000"/>
      <c r="OUP1000"/>
      <c r="OUQ1000"/>
      <c r="OUR1000"/>
      <c r="OUS1000"/>
      <c r="OUT1000"/>
      <c r="OUU1000"/>
      <c r="OUV1000"/>
      <c r="OUW1000"/>
      <c r="OUX1000"/>
      <c r="OUY1000"/>
      <c r="OUZ1000"/>
      <c r="OVA1000"/>
      <c r="OVB1000"/>
      <c r="OVC1000"/>
      <c r="OVD1000"/>
      <c r="OVE1000"/>
      <c r="OVF1000"/>
      <c r="OVG1000"/>
      <c r="OVH1000"/>
      <c r="OVI1000"/>
      <c r="OVJ1000"/>
      <c r="OVK1000"/>
      <c r="OVL1000"/>
      <c r="OVM1000"/>
      <c r="OVN1000"/>
      <c r="OVO1000"/>
      <c r="OVP1000"/>
      <c r="OVQ1000"/>
      <c r="OVR1000"/>
      <c r="OVS1000"/>
      <c r="OVT1000"/>
      <c r="OVU1000"/>
      <c r="OVV1000"/>
      <c r="OVW1000"/>
      <c r="OVX1000"/>
      <c r="OVY1000"/>
      <c r="OVZ1000"/>
      <c r="OWA1000"/>
      <c r="OWB1000"/>
      <c r="OWC1000"/>
      <c r="OWD1000"/>
      <c r="OWE1000"/>
      <c r="OWF1000"/>
      <c r="OWG1000"/>
      <c r="OWH1000"/>
      <c r="OWI1000"/>
      <c r="OWJ1000"/>
      <c r="OWK1000"/>
      <c r="OWL1000"/>
      <c r="OWM1000"/>
      <c r="OWN1000"/>
      <c r="OWO1000"/>
      <c r="OWP1000"/>
      <c r="OWQ1000"/>
      <c r="OWR1000"/>
      <c r="OWS1000"/>
      <c r="OWT1000"/>
      <c r="OWU1000"/>
      <c r="OWV1000"/>
      <c r="OWW1000"/>
      <c r="OWX1000"/>
      <c r="OWY1000"/>
      <c r="OWZ1000"/>
      <c r="OXA1000"/>
      <c r="OXB1000"/>
      <c r="OXC1000"/>
      <c r="OXD1000"/>
      <c r="OXE1000"/>
      <c r="OXF1000"/>
      <c r="OXG1000"/>
      <c r="OXH1000"/>
      <c r="OXI1000"/>
      <c r="OXJ1000"/>
      <c r="OXK1000"/>
      <c r="OXL1000"/>
      <c r="OXM1000"/>
      <c r="OXN1000"/>
      <c r="OXO1000"/>
      <c r="OXP1000"/>
      <c r="OXQ1000"/>
      <c r="OXR1000"/>
      <c r="OXS1000"/>
      <c r="OXT1000"/>
      <c r="OXU1000"/>
      <c r="OXV1000"/>
      <c r="OXW1000"/>
      <c r="OXX1000"/>
      <c r="OXY1000"/>
      <c r="OXZ1000"/>
      <c r="OYA1000"/>
      <c r="OYB1000"/>
      <c r="OYC1000"/>
      <c r="OYD1000"/>
      <c r="OYE1000"/>
      <c r="OYF1000"/>
      <c r="OYG1000"/>
      <c r="OYH1000"/>
      <c r="OYI1000"/>
      <c r="OYJ1000"/>
      <c r="OYK1000"/>
      <c r="OYL1000"/>
      <c r="OYM1000"/>
      <c r="OYN1000"/>
      <c r="OYO1000"/>
      <c r="OYP1000"/>
      <c r="OYQ1000"/>
      <c r="OYR1000"/>
      <c r="OYS1000"/>
      <c r="OYT1000"/>
      <c r="OYU1000"/>
      <c r="OYV1000"/>
      <c r="OYW1000"/>
      <c r="OYX1000"/>
      <c r="OYY1000"/>
      <c r="OYZ1000"/>
      <c r="OZA1000"/>
      <c r="OZB1000"/>
      <c r="OZC1000"/>
      <c r="OZD1000"/>
      <c r="OZE1000"/>
      <c r="OZF1000"/>
      <c r="OZG1000"/>
      <c r="OZH1000"/>
      <c r="OZI1000"/>
      <c r="OZJ1000"/>
      <c r="OZK1000"/>
      <c r="OZL1000"/>
      <c r="OZM1000"/>
      <c r="OZN1000"/>
      <c r="OZO1000"/>
      <c r="OZP1000"/>
      <c r="OZQ1000"/>
      <c r="OZR1000"/>
      <c r="OZS1000"/>
      <c r="OZT1000"/>
      <c r="OZU1000"/>
      <c r="OZV1000"/>
      <c r="OZW1000"/>
      <c r="OZX1000"/>
      <c r="OZY1000"/>
      <c r="OZZ1000"/>
      <c r="PAA1000"/>
      <c r="PAB1000"/>
      <c r="PAC1000"/>
      <c r="PAD1000"/>
      <c r="PAE1000"/>
      <c r="PAF1000"/>
      <c r="PAG1000"/>
      <c r="PAH1000"/>
      <c r="PAI1000"/>
      <c r="PAJ1000"/>
      <c r="PAK1000"/>
      <c r="PAL1000"/>
      <c r="PAM1000"/>
      <c r="PAN1000"/>
      <c r="PAO1000"/>
      <c r="PAP1000"/>
      <c r="PAQ1000"/>
      <c r="PAR1000"/>
      <c r="PAS1000"/>
      <c r="PAT1000"/>
      <c r="PAU1000"/>
      <c r="PAV1000"/>
      <c r="PAW1000"/>
      <c r="PAX1000"/>
      <c r="PAY1000"/>
      <c r="PAZ1000"/>
      <c r="PBA1000"/>
      <c r="PBB1000"/>
      <c r="PBC1000"/>
      <c r="PBD1000"/>
      <c r="PBE1000"/>
      <c r="PBF1000"/>
      <c r="PBG1000"/>
      <c r="PBH1000"/>
      <c r="PBI1000"/>
      <c r="PBJ1000"/>
      <c r="PBK1000"/>
      <c r="PBL1000"/>
      <c r="PBM1000"/>
      <c r="PBN1000"/>
      <c r="PBO1000"/>
      <c r="PBP1000"/>
      <c r="PBQ1000"/>
      <c r="PBR1000"/>
      <c r="PBS1000"/>
      <c r="PBT1000"/>
      <c r="PBU1000"/>
      <c r="PBV1000"/>
      <c r="PBW1000"/>
      <c r="PBX1000"/>
      <c r="PBY1000"/>
      <c r="PBZ1000"/>
      <c r="PCA1000"/>
      <c r="PCB1000"/>
      <c r="PCC1000"/>
      <c r="PCD1000"/>
      <c r="PCE1000"/>
      <c r="PCF1000"/>
      <c r="PCG1000"/>
      <c r="PCH1000"/>
      <c r="PCI1000"/>
      <c r="PCJ1000"/>
      <c r="PCK1000"/>
      <c r="PCL1000"/>
      <c r="PCM1000"/>
      <c r="PCN1000"/>
      <c r="PCO1000"/>
      <c r="PCP1000"/>
      <c r="PCQ1000"/>
      <c r="PCR1000"/>
      <c r="PCS1000"/>
      <c r="PCT1000"/>
      <c r="PCU1000"/>
      <c r="PCV1000"/>
      <c r="PCW1000"/>
      <c r="PCX1000"/>
      <c r="PCY1000"/>
      <c r="PCZ1000"/>
      <c r="PDA1000"/>
      <c r="PDB1000"/>
      <c r="PDC1000"/>
      <c r="PDD1000"/>
      <c r="PDE1000"/>
      <c r="PDF1000"/>
      <c r="PDG1000"/>
      <c r="PDH1000"/>
      <c r="PDI1000"/>
      <c r="PDJ1000"/>
      <c r="PDK1000"/>
      <c r="PDL1000"/>
      <c r="PDM1000"/>
      <c r="PDN1000"/>
      <c r="PDO1000"/>
      <c r="PDP1000"/>
      <c r="PDQ1000"/>
      <c r="PDR1000"/>
      <c r="PDS1000"/>
      <c r="PDT1000"/>
      <c r="PDU1000"/>
      <c r="PDV1000"/>
      <c r="PDW1000"/>
      <c r="PDX1000"/>
      <c r="PDY1000"/>
      <c r="PDZ1000"/>
      <c r="PEA1000"/>
      <c r="PEB1000"/>
      <c r="PEC1000"/>
      <c r="PED1000"/>
      <c r="PEE1000"/>
      <c r="PEF1000"/>
      <c r="PEG1000"/>
      <c r="PEH1000"/>
      <c r="PEI1000"/>
      <c r="PEJ1000"/>
      <c r="PEK1000"/>
      <c r="PEL1000"/>
      <c r="PEM1000"/>
      <c r="PEN1000"/>
      <c r="PEO1000"/>
      <c r="PEP1000"/>
      <c r="PEQ1000"/>
      <c r="PER1000"/>
      <c r="PES1000"/>
      <c r="PET1000"/>
      <c r="PEU1000"/>
      <c r="PEV1000"/>
      <c r="PEW1000"/>
      <c r="PEX1000"/>
      <c r="PEY1000"/>
      <c r="PEZ1000"/>
      <c r="PFA1000"/>
      <c r="PFB1000"/>
      <c r="PFC1000"/>
      <c r="PFD1000"/>
      <c r="PFE1000"/>
      <c r="PFF1000"/>
      <c r="PFG1000"/>
      <c r="PFH1000"/>
      <c r="PFI1000"/>
      <c r="PFJ1000"/>
      <c r="PFK1000"/>
      <c r="PFL1000"/>
      <c r="PFM1000"/>
      <c r="PFN1000"/>
      <c r="PFO1000"/>
      <c r="PFP1000"/>
      <c r="PFQ1000"/>
      <c r="PFR1000"/>
      <c r="PFS1000"/>
      <c r="PFT1000"/>
      <c r="PFU1000"/>
      <c r="PFV1000"/>
      <c r="PFW1000"/>
      <c r="PFX1000"/>
      <c r="PFY1000"/>
      <c r="PFZ1000"/>
      <c r="PGA1000"/>
      <c r="PGB1000"/>
      <c r="PGC1000"/>
      <c r="PGD1000"/>
      <c r="PGE1000"/>
      <c r="PGF1000"/>
      <c r="PGG1000"/>
      <c r="PGH1000"/>
      <c r="PGI1000"/>
      <c r="PGJ1000"/>
      <c r="PGK1000"/>
      <c r="PGL1000"/>
      <c r="PGM1000"/>
      <c r="PGN1000"/>
      <c r="PGO1000"/>
      <c r="PGP1000"/>
      <c r="PGQ1000"/>
      <c r="PGR1000"/>
      <c r="PGS1000"/>
      <c r="PGT1000"/>
      <c r="PGU1000"/>
      <c r="PGV1000"/>
      <c r="PGW1000"/>
      <c r="PGX1000"/>
      <c r="PGY1000"/>
      <c r="PGZ1000"/>
      <c r="PHA1000"/>
      <c r="PHB1000"/>
      <c r="PHC1000"/>
      <c r="PHD1000"/>
      <c r="PHE1000"/>
      <c r="PHF1000"/>
      <c r="PHG1000"/>
      <c r="PHH1000"/>
      <c r="PHI1000"/>
      <c r="PHJ1000"/>
      <c r="PHK1000"/>
      <c r="PHL1000"/>
      <c r="PHM1000"/>
      <c r="PHN1000"/>
      <c r="PHO1000"/>
      <c r="PHP1000"/>
      <c r="PHQ1000"/>
      <c r="PHR1000"/>
      <c r="PHS1000"/>
      <c r="PHT1000"/>
      <c r="PHU1000"/>
      <c r="PHV1000"/>
      <c r="PHW1000"/>
      <c r="PHX1000"/>
      <c r="PHY1000"/>
      <c r="PHZ1000"/>
      <c r="PIA1000"/>
      <c r="PIB1000"/>
      <c r="PIC1000"/>
      <c r="PID1000"/>
      <c r="PIE1000"/>
      <c r="PIF1000"/>
      <c r="PIG1000"/>
      <c r="PIH1000"/>
      <c r="PII1000"/>
      <c r="PIJ1000"/>
      <c r="PIK1000"/>
      <c r="PIL1000"/>
      <c r="PIM1000"/>
      <c r="PIN1000"/>
      <c r="PIO1000"/>
      <c r="PIP1000"/>
      <c r="PIQ1000"/>
      <c r="PIR1000"/>
      <c r="PIS1000"/>
      <c r="PIT1000"/>
      <c r="PIU1000"/>
      <c r="PIV1000"/>
      <c r="PIW1000"/>
      <c r="PIX1000"/>
      <c r="PIY1000"/>
      <c r="PIZ1000"/>
      <c r="PJA1000"/>
      <c r="PJB1000"/>
      <c r="PJC1000"/>
      <c r="PJD1000"/>
      <c r="PJE1000"/>
      <c r="PJF1000"/>
      <c r="PJG1000"/>
      <c r="PJH1000"/>
      <c r="PJI1000"/>
      <c r="PJJ1000"/>
      <c r="PJK1000"/>
      <c r="PJL1000"/>
      <c r="PJM1000"/>
      <c r="PJN1000"/>
      <c r="PJO1000"/>
      <c r="PJP1000"/>
      <c r="PJQ1000"/>
      <c r="PJR1000"/>
      <c r="PJS1000"/>
      <c r="PJT1000"/>
      <c r="PJU1000"/>
      <c r="PJV1000"/>
      <c r="PJW1000"/>
      <c r="PJX1000"/>
      <c r="PJY1000"/>
      <c r="PJZ1000"/>
      <c r="PKA1000"/>
      <c r="PKB1000"/>
      <c r="PKC1000"/>
      <c r="PKD1000"/>
      <c r="PKE1000"/>
      <c r="PKF1000"/>
      <c r="PKG1000"/>
      <c r="PKH1000"/>
      <c r="PKI1000"/>
      <c r="PKJ1000"/>
      <c r="PKK1000"/>
      <c r="PKL1000"/>
      <c r="PKM1000"/>
      <c r="PKN1000"/>
      <c r="PKO1000"/>
      <c r="PKP1000"/>
      <c r="PKQ1000"/>
      <c r="PKR1000"/>
      <c r="PKS1000"/>
      <c r="PKT1000"/>
      <c r="PKU1000"/>
      <c r="PKV1000"/>
      <c r="PKW1000"/>
      <c r="PKX1000"/>
      <c r="PKY1000"/>
      <c r="PKZ1000"/>
      <c r="PLA1000"/>
      <c r="PLB1000"/>
      <c r="PLC1000"/>
      <c r="PLD1000"/>
      <c r="PLE1000"/>
      <c r="PLF1000"/>
      <c r="PLG1000"/>
      <c r="PLH1000"/>
      <c r="PLI1000"/>
      <c r="PLJ1000"/>
      <c r="PLK1000"/>
      <c r="PLL1000"/>
      <c r="PLM1000"/>
      <c r="PLN1000"/>
      <c r="PLO1000"/>
      <c r="PLP1000"/>
      <c r="PLQ1000"/>
      <c r="PLR1000"/>
      <c r="PLS1000"/>
      <c r="PLT1000"/>
      <c r="PLU1000"/>
      <c r="PLV1000"/>
      <c r="PLW1000"/>
      <c r="PLX1000"/>
      <c r="PLY1000"/>
      <c r="PLZ1000"/>
      <c r="PMA1000"/>
      <c r="PMB1000"/>
      <c r="PMC1000"/>
      <c r="PMD1000"/>
      <c r="PME1000"/>
      <c r="PMF1000"/>
      <c r="PMG1000"/>
      <c r="PMH1000"/>
      <c r="PMI1000"/>
      <c r="PMJ1000"/>
      <c r="PMK1000"/>
      <c r="PML1000"/>
      <c r="PMM1000"/>
      <c r="PMN1000"/>
      <c r="PMO1000"/>
      <c r="PMP1000"/>
      <c r="PMQ1000"/>
      <c r="PMR1000"/>
      <c r="PMS1000"/>
      <c r="PMT1000"/>
      <c r="PMU1000"/>
      <c r="PMV1000"/>
      <c r="PMW1000"/>
      <c r="PMX1000"/>
      <c r="PMY1000"/>
      <c r="PMZ1000"/>
      <c r="PNA1000"/>
      <c r="PNB1000"/>
      <c r="PNC1000"/>
      <c r="PND1000"/>
      <c r="PNE1000"/>
      <c r="PNF1000"/>
      <c r="PNG1000"/>
      <c r="PNH1000"/>
      <c r="PNI1000"/>
      <c r="PNJ1000"/>
      <c r="PNK1000"/>
      <c r="PNL1000"/>
      <c r="PNM1000"/>
      <c r="PNN1000"/>
      <c r="PNO1000"/>
      <c r="PNP1000"/>
      <c r="PNQ1000"/>
      <c r="PNR1000"/>
      <c r="PNS1000"/>
      <c r="PNT1000"/>
      <c r="PNU1000"/>
      <c r="PNV1000"/>
      <c r="PNW1000"/>
      <c r="PNX1000"/>
      <c r="PNY1000"/>
      <c r="PNZ1000"/>
      <c r="POA1000"/>
      <c r="POB1000"/>
      <c r="POC1000"/>
      <c r="POD1000"/>
      <c r="POE1000"/>
      <c r="POF1000"/>
      <c r="POG1000"/>
      <c r="POH1000"/>
      <c r="POI1000"/>
      <c r="POJ1000"/>
      <c r="POK1000"/>
      <c r="POL1000"/>
      <c r="POM1000"/>
      <c r="PON1000"/>
      <c r="POO1000"/>
      <c r="POP1000"/>
      <c r="POQ1000"/>
      <c r="POR1000"/>
      <c r="POS1000"/>
      <c r="POT1000"/>
      <c r="POU1000"/>
      <c r="POV1000"/>
      <c r="POW1000"/>
      <c r="POX1000"/>
      <c r="POY1000"/>
      <c r="POZ1000"/>
      <c r="PPA1000"/>
      <c r="PPB1000"/>
      <c r="PPC1000"/>
      <c r="PPD1000"/>
      <c r="PPE1000"/>
      <c r="PPF1000"/>
      <c r="PPG1000"/>
      <c r="PPH1000"/>
      <c r="PPI1000"/>
      <c r="PPJ1000"/>
      <c r="PPK1000"/>
      <c r="PPL1000"/>
      <c r="PPM1000"/>
      <c r="PPN1000"/>
      <c r="PPO1000"/>
      <c r="PPP1000"/>
      <c r="PPQ1000"/>
      <c r="PPR1000"/>
      <c r="PPS1000"/>
      <c r="PPT1000"/>
      <c r="PPU1000"/>
      <c r="PPV1000"/>
      <c r="PPW1000"/>
      <c r="PPX1000"/>
      <c r="PPY1000"/>
      <c r="PPZ1000"/>
      <c r="PQA1000"/>
      <c r="PQB1000"/>
      <c r="PQC1000"/>
      <c r="PQD1000"/>
      <c r="PQE1000"/>
      <c r="PQF1000"/>
      <c r="PQG1000"/>
      <c r="PQH1000"/>
      <c r="PQI1000"/>
      <c r="PQJ1000"/>
      <c r="PQK1000"/>
      <c r="PQL1000"/>
      <c r="PQM1000"/>
      <c r="PQN1000"/>
      <c r="PQO1000"/>
      <c r="PQP1000"/>
      <c r="PQQ1000"/>
      <c r="PQR1000"/>
      <c r="PQS1000"/>
      <c r="PQT1000"/>
      <c r="PQU1000"/>
      <c r="PQV1000"/>
      <c r="PQW1000"/>
      <c r="PQX1000"/>
      <c r="PQY1000"/>
      <c r="PQZ1000"/>
      <c r="PRA1000"/>
      <c r="PRB1000"/>
      <c r="PRC1000"/>
      <c r="PRD1000"/>
      <c r="PRE1000"/>
      <c r="PRF1000"/>
      <c r="PRG1000"/>
      <c r="PRH1000"/>
      <c r="PRI1000"/>
      <c r="PRJ1000"/>
      <c r="PRK1000"/>
      <c r="PRL1000"/>
      <c r="PRM1000"/>
      <c r="PRN1000"/>
      <c r="PRO1000"/>
      <c r="PRP1000"/>
      <c r="PRQ1000"/>
      <c r="PRR1000"/>
      <c r="PRS1000"/>
      <c r="PRT1000"/>
      <c r="PRU1000"/>
      <c r="PRV1000"/>
      <c r="PRW1000"/>
      <c r="PRX1000"/>
      <c r="PRY1000"/>
      <c r="PRZ1000"/>
      <c r="PSA1000"/>
      <c r="PSB1000"/>
      <c r="PSC1000"/>
      <c r="PSD1000"/>
      <c r="PSE1000"/>
      <c r="PSF1000"/>
      <c r="PSG1000"/>
      <c r="PSH1000"/>
      <c r="PSI1000"/>
      <c r="PSJ1000"/>
      <c r="PSK1000"/>
      <c r="PSL1000"/>
      <c r="PSM1000"/>
      <c r="PSN1000"/>
      <c r="PSO1000"/>
      <c r="PSP1000"/>
      <c r="PSQ1000"/>
      <c r="PSR1000"/>
      <c r="PSS1000"/>
      <c r="PST1000"/>
      <c r="PSU1000"/>
      <c r="PSV1000"/>
      <c r="PSW1000"/>
      <c r="PSX1000"/>
      <c r="PSY1000"/>
      <c r="PSZ1000"/>
      <c r="PTA1000"/>
      <c r="PTB1000"/>
      <c r="PTC1000"/>
      <c r="PTD1000"/>
      <c r="PTE1000"/>
      <c r="PTF1000"/>
      <c r="PTG1000"/>
      <c r="PTH1000"/>
      <c r="PTI1000"/>
      <c r="PTJ1000"/>
      <c r="PTK1000"/>
      <c r="PTL1000"/>
      <c r="PTM1000"/>
      <c r="PTN1000"/>
      <c r="PTO1000"/>
      <c r="PTP1000"/>
      <c r="PTQ1000"/>
      <c r="PTR1000"/>
      <c r="PTS1000"/>
      <c r="PTT1000"/>
      <c r="PTU1000"/>
      <c r="PTV1000"/>
      <c r="PTW1000"/>
      <c r="PTX1000"/>
      <c r="PTY1000"/>
      <c r="PTZ1000"/>
      <c r="PUA1000"/>
      <c r="PUB1000"/>
      <c r="PUC1000"/>
      <c r="PUD1000"/>
      <c r="PUE1000"/>
      <c r="PUF1000"/>
      <c r="PUG1000"/>
      <c r="PUH1000"/>
      <c r="PUI1000"/>
      <c r="PUJ1000"/>
      <c r="PUK1000"/>
      <c r="PUL1000"/>
      <c r="PUM1000"/>
      <c r="PUN1000"/>
      <c r="PUO1000"/>
      <c r="PUP1000"/>
      <c r="PUQ1000"/>
      <c r="PUR1000"/>
      <c r="PUS1000"/>
      <c r="PUT1000"/>
      <c r="PUU1000"/>
      <c r="PUV1000"/>
      <c r="PUW1000"/>
      <c r="PUX1000"/>
      <c r="PUY1000"/>
      <c r="PUZ1000"/>
      <c r="PVA1000"/>
      <c r="PVB1000"/>
      <c r="PVC1000"/>
      <c r="PVD1000"/>
      <c r="PVE1000"/>
      <c r="PVF1000"/>
      <c r="PVG1000"/>
      <c r="PVH1000"/>
      <c r="PVI1000"/>
      <c r="PVJ1000"/>
      <c r="PVK1000"/>
      <c r="PVL1000"/>
      <c r="PVM1000"/>
      <c r="PVN1000"/>
      <c r="PVO1000"/>
      <c r="PVP1000"/>
      <c r="PVQ1000"/>
      <c r="PVR1000"/>
      <c r="PVS1000"/>
      <c r="PVT1000"/>
      <c r="PVU1000"/>
      <c r="PVV1000"/>
      <c r="PVW1000"/>
      <c r="PVX1000"/>
      <c r="PVY1000"/>
      <c r="PVZ1000"/>
      <c r="PWA1000"/>
      <c r="PWB1000"/>
      <c r="PWC1000"/>
      <c r="PWD1000"/>
      <c r="PWE1000"/>
      <c r="PWF1000"/>
      <c r="PWG1000"/>
      <c r="PWH1000"/>
      <c r="PWI1000"/>
      <c r="PWJ1000"/>
      <c r="PWK1000"/>
      <c r="PWL1000"/>
      <c r="PWM1000"/>
      <c r="PWN1000"/>
      <c r="PWO1000"/>
      <c r="PWP1000"/>
      <c r="PWQ1000"/>
      <c r="PWR1000"/>
      <c r="PWS1000"/>
      <c r="PWT1000"/>
      <c r="PWU1000"/>
      <c r="PWV1000"/>
      <c r="PWW1000"/>
      <c r="PWX1000"/>
      <c r="PWY1000"/>
      <c r="PWZ1000"/>
      <c r="PXA1000"/>
      <c r="PXB1000"/>
      <c r="PXC1000"/>
      <c r="PXD1000"/>
      <c r="PXE1000"/>
      <c r="PXF1000"/>
      <c r="PXG1000"/>
      <c r="PXH1000"/>
      <c r="PXI1000"/>
      <c r="PXJ1000"/>
      <c r="PXK1000"/>
      <c r="PXL1000"/>
      <c r="PXM1000"/>
      <c r="PXN1000"/>
      <c r="PXO1000"/>
      <c r="PXP1000"/>
      <c r="PXQ1000"/>
      <c r="PXR1000"/>
      <c r="PXS1000"/>
      <c r="PXT1000"/>
      <c r="PXU1000"/>
      <c r="PXV1000"/>
      <c r="PXW1000"/>
      <c r="PXX1000"/>
      <c r="PXY1000"/>
      <c r="PXZ1000"/>
      <c r="PYA1000"/>
      <c r="PYB1000"/>
      <c r="PYC1000"/>
      <c r="PYD1000"/>
      <c r="PYE1000"/>
      <c r="PYF1000"/>
      <c r="PYG1000"/>
      <c r="PYH1000"/>
      <c r="PYI1000"/>
      <c r="PYJ1000"/>
      <c r="PYK1000"/>
      <c r="PYL1000"/>
      <c r="PYM1000"/>
      <c r="PYN1000"/>
      <c r="PYO1000"/>
      <c r="PYP1000"/>
      <c r="PYQ1000"/>
      <c r="PYR1000"/>
      <c r="PYS1000"/>
      <c r="PYT1000"/>
      <c r="PYU1000"/>
      <c r="PYV1000"/>
      <c r="PYW1000"/>
      <c r="PYX1000"/>
      <c r="PYY1000"/>
      <c r="PYZ1000"/>
      <c r="PZA1000"/>
      <c r="PZB1000"/>
      <c r="PZC1000"/>
      <c r="PZD1000"/>
      <c r="PZE1000"/>
      <c r="PZF1000"/>
      <c r="PZG1000"/>
      <c r="PZH1000"/>
      <c r="PZI1000"/>
      <c r="PZJ1000"/>
      <c r="PZK1000"/>
      <c r="PZL1000"/>
      <c r="PZM1000"/>
      <c r="PZN1000"/>
      <c r="PZO1000"/>
      <c r="PZP1000"/>
      <c r="PZQ1000"/>
      <c r="PZR1000"/>
      <c r="PZS1000"/>
      <c r="PZT1000"/>
      <c r="PZU1000"/>
      <c r="PZV1000"/>
      <c r="PZW1000"/>
      <c r="PZX1000"/>
      <c r="PZY1000"/>
      <c r="PZZ1000"/>
      <c r="QAA1000"/>
      <c r="QAB1000"/>
      <c r="QAC1000"/>
      <c r="QAD1000"/>
      <c r="QAE1000"/>
      <c r="QAF1000"/>
      <c r="QAG1000"/>
      <c r="QAH1000"/>
      <c r="QAI1000"/>
      <c r="QAJ1000"/>
      <c r="QAK1000"/>
      <c r="QAL1000"/>
      <c r="QAM1000"/>
      <c r="QAN1000"/>
      <c r="QAO1000"/>
      <c r="QAP1000"/>
      <c r="QAQ1000"/>
      <c r="QAR1000"/>
      <c r="QAS1000"/>
      <c r="QAT1000"/>
      <c r="QAU1000"/>
      <c r="QAV1000"/>
      <c r="QAW1000"/>
      <c r="QAX1000"/>
      <c r="QAY1000"/>
      <c r="QAZ1000"/>
      <c r="QBA1000"/>
      <c r="QBB1000"/>
      <c r="QBC1000"/>
      <c r="QBD1000"/>
      <c r="QBE1000"/>
      <c r="QBF1000"/>
      <c r="QBG1000"/>
      <c r="QBH1000"/>
      <c r="QBI1000"/>
      <c r="QBJ1000"/>
      <c r="QBK1000"/>
      <c r="QBL1000"/>
      <c r="QBM1000"/>
      <c r="QBN1000"/>
      <c r="QBO1000"/>
      <c r="QBP1000"/>
      <c r="QBQ1000"/>
      <c r="QBR1000"/>
      <c r="QBS1000"/>
      <c r="QBT1000"/>
      <c r="QBU1000"/>
      <c r="QBV1000"/>
      <c r="QBW1000"/>
      <c r="QBX1000"/>
      <c r="QBY1000"/>
      <c r="QBZ1000"/>
      <c r="QCA1000"/>
      <c r="QCB1000"/>
      <c r="QCC1000"/>
      <c r="QCD1000"/>
      <c r="QCE1000"/>
      <c r="QCF1000"/>
      <c r="QCG1000"/>
      <c r="QCH1000"/>
      <c r="QCI1000"/>
      <c r="QCJ1000"/>
      <c r="QCK1000"/>
      <c r="QCL1000"/>
      <c r="QCM1000"/>
      <c r="QCN1000"/>
      <c r="QCO1000"/>
      <c r="QCP1000"/>
      <c r="QCQ1000"/>
      <c r="QCR1000"/>
      <c r="QCS1000"/>
      <c r="QCT1000"/>
      <c r="QCU1000"/>
      <c r="QCV1000"/>
      <c r="QCW1000"/>
      <c r="QCX1000"/>
      <c r="QCY1000"/>
      <c r="QCZ1000"/>
      <c r="QDA1000"/>
      <c r="QDB1000"/>
      <c r="QDC1000"/>
      <c r="QDD1000"/>
      <c r="QDE1000"/>
      <c r="QDF1000"/>
      <c r="QDG1000"/>
      <c r="QDH1000"/>
      <c r="QDI1000"/>
      <c r="QDJ1000"/>
      <c r="QDK1000"/>
      <c r="QDL1000"/>
      <c r="QDM1000"/>
      <c r="QDN1000"/>
      <c r="QDO1000"/>
      <c r="QDP1000"/>
      <c r="QDQ1000"/>
      <c r="QDR1000"/>
      <c r="QDS1000"/>
      <c r="QDT1000"/>
      <c r="QDU1000"/>
      <c r="QDV1000"/>
      <c r="QDW1000"/>
      <c r="QDX1000"/>
      <c r="QDY1000"/>
      <c r="QDZ1000"/>
      <c r="QEA1000"/>
      <c r="QEB1000"/>
      <c r="QEC1000"/>
      <c r="QED1000"/>
      <c r="QEE1000"/>
      <c r="QEF1000"/>
      <c r="QEG1000"/>
      <c r="QEH1000"/>
      <c r="QEI1000"/>
      <c r="QEJ1000"/>
      <c r="QEK1000"/>
      <c r="QEL1000"/>
      <c r="QEM1000"/>
      <c r="QEN1000"/>
      <c r="QEO1000"/>
      <c r="QEP1000"/>
      <c r="QEQ1000"/>
      <c r="QER1000"/>
      <c r="QES1000"/>
      <c r="QET1000"/>
      <c r="QEU1000"/>
      <c r="QEV1000"/>
      <c r="QEW1000"/>
      <c r="QEX1000"/>
      <c r="QEY1000"/>
      <c r="QEZ1000"/>
      <c r="QFA1000"/>
      <c r="QFB1000"/>
      <c r="QFC1000"/>
      <c r="QFD1000"/>
      <c r="QFE1000"/>
      <c r="QFF1000"/>
      <c r="QFG1000"/>
      <c r="QFH1000"/>
      <c r="QFI1000"/>
      <c r="QFJ1000"/>
      <c r="QFK1000"/>
      <c r="QFL1000"/>
      <c r="QFM1000"/>
      <c r="QFN1000"/>
      <c r="QFO1000"/>
      <c r="QFP1000"/>
      <c r="QFQ1000"/>
      <c r="QFR1000"/>
      <c r="QFS1000"/>
      <c r="QFT1000"/>
      <c r="QFU1000"/>
      <c r="QFV1000"/>
      <c r="QFW1000"/>
      <c r="QFX1000"/>
      <c r="QFY1000"/>
      <c r="QFZ1000"/>
      <c r="QGA1000"/>
      <c r="QGB1000"/>
      <c r="QGC1000"/>
      <c r="QGD1000"/>
      <c r="QGE1000"/>
      <c r="QGF1000"/>
      <c r="QGG1000"/>
      <c r="QGH1000"/>
      <c r="QGI1000"/>
      <c r="QGJ1000"/>
      <c r="QGK1000"/>
      <c r="QGL1000"/>
      <c r="QGM1000"/>
      <c r="QGN1000"/>
      <c r="QGO1000"/>
      <c r="QGP1000"/>
      <c r="QGQ1000"/>
      <c r="QGR1000"/>
      <c r="QGS1000"/>
      <c r="QGT1000"/>
      <c r="QGU1000"/>
      <c r="QGV1000"/>
      <c r="QGW1000"/>
      <c r="QGX1000"/>
      <c r="QGY1000"/>
      <c r="QGZ1000"/>
      <c r="QHA1000"/>
      <c r="QHB1000"/>
      <c r="QHC1000"/>
      <c r="QHD1000"/>
      <c r="QHE1000"/>
      <c r="QHF1000"/>
      <c r="QHG1000"/>
      <c r="QHH1000"/>
      <c r="QHI1000"/>
      <c r="QHJ1000"/>
      <c r="QHK1000"/>
      <c r="QHL1000"/>
      <c r="QHM1000"/>
      <c r="QHN1000"/>
      <c r="QHO1000"/>
      <c r="QHP1000"/>
      <c r="QHQ1000"/>
      <c r="QHR1000"/>
      <c r="QHS1000"/>
      <c r="QHT1000"/>
      <c r="QHU1000"/>
      <c r="QHV1000"/>
      <c r="QHW1000"/>
      <c r="QHX1000"/>
      <c r="QHY1000"/>
      <c r="QHZ1000"/>
      <c r="QIA1000"/>
      <c r="QIB1000"/>
      <c r="QIC1000"/>
      <c r="QID1000"/>
      <c r="QIE1000"/>
      <c r="QIF1000"/>
      <c r="QIG1000"/>
      <c r="QIH1000"/>
      <c r="QII1000"/>
      <c r="QIJ1000"/>
      <c r="QIK1000"/>
      <c r="QIL1000"/>
      <c r="QIM1000"/>
      <c r="QIN1000"/>
      <c r="QIO1000"/>
      <c r="QIP1000"/>
      <c r="QIQ1000"/>
      <c r="QIR1000"/>
      <c r="QIS1000"/>
      <c r="QIT1000"/>
      <c r="QIU1000"/>
      <c r="QIV1000"/>
      <c r="QIW1000"/>
      <c r="QIX1000"/>
      <c r="QIY1000"/>
      <c r="QIZ1000"/>
      <c r="QJA1000"/>
      <c r="QJB1000"/>
      <c r="QJC1000"/>
      <c r="QJD1000"/>
      <c r="QJE1000"/>
      <c r="QJF1000"/>
      <c r="QJG1000"/>
      <c r="QJH1000"/>
      <c r="QJI1000"/>
      <c r="QJJ1000"/>
      <c r="QJK1000"/>
      <c r="QJL1000"/>
      <c r="QJM1000"/>
      <c r="QJN1000"/>
      <c r="QJO1000"/>
      <c r="QJP1000"/>
      <c r="QJQ1000"/>
      <c r="QJR1000"/>
      <c r="QJS1000"/>
      <c r="QJT1000"/>
      <c r="QJU1000"/>
      <c r="QJV1000"/>
      <c r="QJW1000"/>
      <c r="QJX1000"/>
      <c r="QJY1000"/>
      <c r="QJZ1000"/>
      <c r="QKA1000"/>
      <c r="QKB1000"/>
      <c r="QKC1000"/>
      <c r="QKD1000"/>
      <c r="QKE1000"/>
      <c r="QKF1000"/>
      <c r="QKG1000"/>
      <c r="QKH1000"/>
      <c r="QKI1000"/>
      <c r="QKJ1000"/>
      <c r="QKK1000"/>
      <c r="QKL1000"/>
      <c r="QKM1000"/>
      <c r="QKN1000"/>
      <c r="QKO1000"/>
      <c r="QKP1000"/>
      <c r="QKQ1000"/>
      <c r="QKR1000"/>
      <c r="QKS1000"/>
      <c r="QKT1000"/>
      <c r="QKU1000"/>
      <c r="QKV1000"/>
      <c r="QKW1000"/>
      <c r="QKX1000"/>
      <c r="QKY1000"/>
      <c r="QKZ1000"/>
      <c r="QLA1000"/>
      <c r="QLB1000"/>
      <c r="QLC1000"/>
      <c r="QLD1000"/>
      <c r="QLE1000"/>
      <c r="QLF1000"/>
      <c r="QLG1000"/>
      <c r="QLH1000"/>
      <c r="QLI1000"/>
      <c r="QLJ1000"/>
      <c r="QLK1000"/>
      <c r="QLL1000"/>
      <c r="QLM1000"/>
      <c r="QLN1000"/>
      <c r="QLO1000"/>
      <c r="QLP1000"/>
      <c r="QLQ1000"/>
      <c r="QLR1000"/>
      <c r="QLS1000"/>
      <c r="QLT1000"/>
      <c r="QLU1000"/>
      <c r="QLV1000"/>
      <c r="QLW1000"/>
      <c r="QLX1000"/>
      <c r="QLY1000"/>
      <c r="QLZ1000"/>
      <c r="QMA1000"/>
      <c r="QMB1000"/>
      <c r="QMC1000"/>
      <c r="QMD1000"/>
      <c r="QME1000"/>
      <c r="QMF1000"/>
      <c r="QMG1000"/>
      <c r="QMH1000"/>
      <c r="QMI1000"/>
      <c r="QMJ1000"/>
      <c r="QMK1000"/>
      <c r="QML1000"/>
      <c r="QMM1000"/>
      <c r="QMN1000"/>
      <c r="QMO1000"/>
      <c r="QMP1000"/>
      <c r="QMQ1000"/>
      <c r="QMR1000"/>
      <c r="QMS1000"/>
      <c r="QMT1000"/>
      <c r="QMU1000"/>
      <c r="QMV1000"/>
      <c r="QMW1000"/>
      <c r="QMX1000"/>
      <c r="QMY1000"/>
      <c r="QMZ1000"/>
      <c r="QNA1000"/>
      <c r="QNB1000"/>
      <c r="QNC1000"/>
      <c r="QND1000"/>
      <c r="QNE1000"/>
      <c r="QNF1000"/>
      <c r="QNG1000"/>
      <c r="QNH1000"/>
      <c r="QNI1000"/>
      <c r="QNJ1000"/>
      <c r="QNK1000"/>
      <c r="QNL1000"/>
      <c r="QNM1000"/>
      <c r="QNN1000"/>
      <c r="QNO1000"/>
      <c r="QNP1000"/>
      <c r="QNQ1000"/>
      <c r="QNR1000"/>
      <c r="QNS1000"/>
      <c r="QNT1000"/>
      <c r="QNU1000"/>
      <c r="QNV1000"/>
      <c r="QNW1000"/>
      <c r="QNX1000"/>
      <c r="QNY1000"/>
      <c r="QNZ1000"/>
      <c r="QOA1000"/>
      <c r="QOB1000"/>
      <c r="QOC1000"/>
      <c r="QOD1000"/>
      <c r="QOE1000"/>
      <c r="QOF1000"/>
      <c r="QOG1000"/>
      <c r="QOH1000"/>
      <c r="QOI1000"/>
      <c r="QOJ1000"/>
      <c r="QOK1000"/>
      <c r="QOL1000"/>
      <c r="QOM1000"/>
      <c r="QON1000"/>
      <c r="QOO1000"/>
      <c r="QOP1000"/>
      <c r="QOQ1000"/>
      <c r="QOR1000"/>
      <c r="QOS1000"/>
      <c r="QOT1000"/>
      <c r="QOU1000"/>
      <c r="QOV1000"/>
      <c r="QOW1000"/>
      <c r="QOX1000"/>
      <c r="QOY1000"/>
      <c r="QOZ1000"/>
      <c r="QPA1000"/>
      <c r="QPB1000"/>
      <c r="QPC1000"/>
      <c r="QPD1000"/>
      <c r="QPE1000"/>
      <c r="QPF1000"/>
      <c r="QPG1000"/>
      <c r="QPH1000"/>
      <c r="QPI1000"/>
      <c r="QPJ1000"/>
      <c r="QPK1000"/>
      <c r="QPL1000"/>
      <c r="QPM1000"/>
      <c r="QPN1000"/>
      <c r="QPO1000"/>
      <c r="QPP1000"/>
      <c r="QPQ1000"/>
      <c r="QPR1000"/>
      <c r="QPS1000"/>
      <c r="QPT1000"/>
      <c r="QPU1000"/>
      <c r="QPV1000"/>
      <c r="QPW1000"/>
      <c r="QPX1000"/>
      <c r="QPY1000"/>
      <c r="QPZ1000"/>
      <c r="QQA1000"/>
      <c r="QQB1000"/>
      <c r="QQC1000"/>
      <c r="QQD1000"/>
      <c r="QQE1000"/>
      <c r="QQF1000"/>
      <c r="QQG1000"/>
      <c r="QQH1000"/>
      <c r="QQI1000"/>
      <c r="QQJ1000"/>
      <c r="QQK1000"/>
      <c r="QQL1000"/>
      <c r="QQM1000"/>
      <c r="QQN1000"/>
      <c r="QQO1000"/>
      <c r="QQP1000"/>
      <c r="QQQ1000"/>
      <c r="QQR1000"/>
      <c r="QQS1000"/>
      <c r="QQT1000"/>
      <c r="QQU1000"/>
      <c r="QQV1000"/>
      <c r="QQW1000"/>
      <c r="QQX1000"/>
      <c r="QQY1000"/>
      <c r="QQZ1000"/>
      <c r="QRA1000"/>
      <c r="QRB1000"/>
      <c r="QRC1000"/>
      <c r="QRD1000"/>
      <c r="QRE1000"/>
      <c r="QRF1000"/>
      <c r="QRG1000"/>
      <c r="QRH1000"/>
      <c r="QRI1000"/>
      <c r="QRJ1000"/>
      <c r="QRK1000"/>
      <c r="QRL1000"/>
      <c r="QRM1000"/>
      <c r="QRN1000"/>
      <c r="QRO1000"/>
      <c r="QRP1000"/>
      <c r="QRQ1000"/>
      <c r="QRR1000"/>
      <c r="QRS1000"/>
      <c r="QRT1000"/>
      <c r="QRU1000"/>
      <c r="QRV1000"/>
      <c r="QRW1000"/>
      <c r="QRX1000"/>
      <c r="QRY1000"/>
      <c r="QRZ1000"/>
      <c r="QSA1000"/>
      <c r="QSB1000"/>
      <c r="QSC1000"/>
      <c r="QSD1000"/>
      <c r="QSE1000"/>
      <c r="QSF1000"/>
      <c r="QSG1000"/>
      <c r="QSH1000"/>
      <c r="QSI1000"/>
      <c r="QSJ1000"/>
      <c r="QSK1000"/>
      <c r="QSL1000"/>
      <c r="QSM1000"/>
      <c r="QSN1000"/>
      <c r="QSO1000"/>
      <c r="QSP1000"/>
      <c r="QSQ1000"/>
      <c r="QSR1000"/>
      <c r="QSS1000"/>
      <c r="QST1000"/>
      <c r="QSU1000"/>
      <c r="QSV1000"/>
      <c r="QSW1000"/>
      <c r="QSX1000"/>
      <c r="QSY1000"/>
      <c r="QSZ1000"/>
      <c r="QTA1000"/>
      <c r="QTB1000"/>
      <c r="QTC1000"/>
      <c r="QTD1000"/>
      <c r="QTE1000"/>
      <c r="QTF1000"/>
      <c r="QTG1000"/>
      <c r="QTH1000"/>
      <c r="QTI1000"/>
      <c r="QTJ1000"/>
      <c r="QTK1000"/>
      <c r="QTL1000"/>
      <c r="QTM1000"/>
      <c r="QTN1000"/>
      <c r="QTO1000"/>
      <c r="QTP1000"/>
      <c r="QTQ1000"/>
      <c r="QTR1000"/>
      <c r="QTS1000"/>
      <c r="QTT1000"/>
      <c r="QTU1000"/>
      <c r="QTV1000"/>
      <c r="QTW1000"/>
      <c r="QTX1000"/>
      <c r="QTY1000"/>
      <c r="QTZ1000"/>
      <c r="QUA1000"/>
      <c r="QUB1000"/>
      <c r="QUC1000"/>
      <c r="QUD1000"/>
      <c r="QUE1000"/>
      <c r="QUF1000"/>
      <c r="QUG1000"/>
      <c r="QUH1000"/>
      <c r="QUI1000"/>
      <c r="QUJ1000"/>
      <c r="QUK1000"/>
      <c r="QUL1000"/>
      <c r="QUM1000"/>
      <c r="QUN1000"/>
      <c r="QUO1000"/>
      <c r="QUP1000"/>
      <c r="QUQ1000"/>
      <c r="QUR1000"/>
      <c r="QUS1000"/>
      <c r="QUT1000"/>
      <c r="QUU1000"/>
      <c r="QUV1000"/>
      <c r="QUW1000"/>
      <c r="QUX1000"/>
      <c r="QUY1000"/>
      <c r="QUZ1000"/>
      <c r="QVA1000"/>
      <c r="QVB1000"/>
      <c r="QVC1000"/>
      <c r="QVD1000"/>
      <c r="QVE1000"/>
      <c r="QVF1000"/>
      <c r="QVG1000"/>
      <c r="QVH1000"/>
      <c r="QVI1000"/>
      <c r="QVJ1000"/>
      <c r="QVK1000"/>
      <c r="QVL1000"/>
      <c r="QVM1000"/>
      <c r="QVN1000"/>
      <c r="QVO1000"/>
      <c r="QVP1000"/>
      <c r="QVQ1000"/>
      <c r="QVR1000"/>
      <c r="QVS1000"/>
      <c r="QVT1000"/>
      <c r="QVU1000"/>
      <c r="QVV1000"/>
      <c r="QVW1000"/>
      <c r="QVX1000"/>
      <c r="QVY1000"/>
      <c r="QVZ1000"/>
      <c r="QWA1000"/>
      <c r="QWB1000"/>
      <c r="QWC1000"/>
      <c r="QWD1000"/>
      <c r="QWE1000"/>
      <c r="QWF1000"/>
      <c r="QWG1000"/>
      <c r="QWH1000"/>
      <c r="QWI1000"/>
      <c r="QWJ1000"/>
      <c r="QWK1000"/>
      <c r="QWL1000"/>
      <c r="QWM1000"/>
      <c r="QWN1000"/>
      <c r="QWO1000"/>
      <c r="QWP1000"/>
      <c r="QWQ1000"/>
      <c r="QWR1000"/>
      <c r="QWS1000"/>
      <c r="QWT1000"/>
      <c r="QWU1000"/>
      <c r="QWV1000"/>
      <c r="QWW1000"/>
      <c r="QWX1000"/>
      <c r="QWY1000"/>
      <c r="QWZ1000"/>
      <c r="QXA1000"/>
      <c r="QXB1000"/>
      <c r="QXC1000"/>
      <c r="QXD1000"/>
      <c r="QXE1000"/>
      <c r="QXF1000"/>
      <c r="QXG1000"/>
      <c r="QXH1000"/>
      <c r="QXI1000"/>
      <c r="QXJ1000"/>
      <c r="QXK1000"/>
      <c r="QXL1000"/>
      <c r="QXM1000"/>
      <c r="QXN1000"/>
      <c r="QXO1000"/>
      <c r="QXP1000"/>
      <c r="QXQ1000"/>
      <c r="QXR1000"/>
      <c r="QXS1000"/>
      <c r="QXT1000"/>
      <c r="QXU1000"/>
      <c r="QXV1000"/>
      <c r="QXW1000"/>
      <c r="QXX1000"/>
      <c r="QXY1000"/>
      <c r="QXZ1000"/>
      <c r="QYA1000"/>
      <c r="QYB1000"/>
      <c r="QYC1000"/>
      <c r="QYD1000"/>
      <c r="QYE1000"/>
      <c r="QYF1000"/>
      <c r="QYG1000"/>
      <c r="QYH1000"/>
      <c r="QYI1000"/>
      <c r="QYJ1000"/>
      <c r="QYK1000"/>
      <c r="QYL1000"/>
      <c r="QYM1000"/>
      <c r="QYN1000"/>
      <c r="QYO1000"/>
      <c r="QYP1000"/>
      <c r="QYQ1000"/>
      <c r="QYR1000"/>
      <c r="QYS1000"/>
      <c r="QYT1000"/>
      <c r="QYU1000"/>
      <c r="QYV1000"/>
      <c r="QYW1000"/>
      <c r="QYX1000"/>
      <c r="QYY1000"/>
      <c r="QYZ1000"/>
      <c r="QZA1000"/>
      <c r="QZB1000"/>
      <c r="QZC1000"/>
      <c r="QZD1000"/>
      <c r="QZE1000"/>
      <c r="QZF1000"/>
      <c r="QZG1000"/>
      <c r="QZH1000"/>
      <c r="QZI1000"/>
      <c r="QZJ1000"/>
      <c r="QZK1000"/>
      <c r="QZL1000"/>
      <c r="QZM1000"/>
      <c r="QZN1000"/>
      <c r="QZO1000"/>
      <c r="QZP1000"/>
      <c r="QZQ1000"/>
      <c r="QZR1000"/>
      <c r="QZS1000"/>
      <c r="QZT1000"/>
      <c r="QZU1000"/>
      <c r="QZV1000"/>
      <c r="QZW1000"/>
      <c r="QZX1000"/>
      <c r="QZY1000"/>
      <c r="QZZ1000"/>
      <c r="RAA1000"/>
      <c r="RAB1000"/>
      <c r="RAC1000"/>
      <c r="RAD1000"/>
      <c r="RAE1000"/>
      <c r="RAF1000"/>
      <c r="RAG1000"/>
      <c r="RAH1000"/>
      <c r="RAI1000"/>
      <c r="RAJ1000"/>
      <c r="RAK1000"/>
      <c r="RAL1000"/>
      <c r="RAM1000"/>
      <c r="RAN1000"/>
      <c r="RAO1000"/>
      <c r="RAP1000"/>
      <c r="RAQ1000"/>
      <c r="RAR1000"/>
      <c r="RAS1000"/>
      <c r="RAT1000"/>
      <c r="RAU1000"/>
      <c r="RAV1000"/>
      <c r="RAW1000"/>
      <c r="RAX1000"/>
      <c r="RAY1000"/>
      <c r="RAZ1000"/>
      <c r="RBA1000"/>
      <c r="RBB1000"/>
      <c r="RBC1000"/>
      <c r="RBD1000"/>
      <c r="RBE1000"/>
      <c r="RBF1000"/>
      <c r="RBG1000"/>
      <c r="RBH1000"/>
      <c r="RBI1000"/>
      <c r="RBJ1000"/>
      <c r="RBK1000"/>
      <c r="RBL1000"/>
      <c r="RBM1000"/>
      <c r="RBN1000"/>
      <c r="RBO1000"/>
      <c r="RBP1000"/>
      <c r="RBQ1000"/>
      <c r="RBR1000"/>
      <c r="RBS1000"/>
      <c r="RBT1000"/>
      <c r="RBU1000"/>
      <c r="RBV1000"/>
      <c r="RBW1000"/>
      <c r="RBX1000"/>
      <c r="RBY1000"/>
      <c r="RBZ1000"/>
      <c r="RCA1000"/>
      <c r="RCB1000"/>
      <c r="RCC1000"/>
      <c r="RCD1000"/>
      <c r="RCE1000"/>
      <c r="RCF1000"/>
      <c r="RCG1000"/>
      <c r="RCH1000"/>
      <c r="RCI1000"/>
      <c r="RCJ1000"/>
      <c r="RCK1000"/>
      <c r="RCL1000"/>
      <c r="RCM1000"/>
      <c r="RCN1000"/>
      <c r="RCO1000"/>
      <c r="RCP1000"/>
      <c r="RCQ1000"/>
      <c r="RCR1000"/>
      <c r="RCS1000"/>
      <c r="RCT1000"/>
      <c r="RCU1000"/>
      <c r="RCV1000"/>
      <c r="RCW1000"/>
      <c r="RCX1000"/>
      <c r="RCY1000"/>
      <c r="RCZ1000"/>
      <c r="RDA1000"/>
      <c r="RDB1000"/>
      <c r="RDC1000"/>
      <c r="RDD1000"/>
      <c r="RDE1000"/>
      <c r="RDF1000"/>
      <c r="RDG1000"/>
      <c r="RDH1000"/>
      <c r="RDI1000"/>
      <c r="RDJ1000"/>
      <c r="RDK1000"/>
      <c r="RDL1000"/>
      <c r="RDM1000"/>
      <c r="RDN1000"/>
      <c r="RDO1000"/>
      <c r="RDP1000"/>
      <c r="RDQ1000"/>
      <c r="RDR1000"/>
      <c r="RDS1000"/>
      <c r="RDT1000"/>
      <c r="RDU1000"/>
      <c r="RDV1000"/>
      <c r="RDW1000"/>
      <c r="RDX1000"/>
      <c r="RDY1000"/>
      <c r="RDZ1000"/>
      <c r="REA1000"/>
      <c r="REB1000"/>
      <c r="REC1000"/>
      <c r="RED1000"/>
      <c r="REE1000"/>
      <c r="REF1000"/>
      <c r="REG1000"/>
      <c r="REH1000"/>
      <c r="REI1000"/>
      <c r="REJ1000"/>
      <c r="REK1000"/>
      <c r="REL1000"/>
      <c r="REM1000"/>
      <c r="REN1000"/>
      <c r="REO1000"/>
      <c r="REP1000"/>
      <c r="REQ1000"/>
      <c r="RER1000"/>
      <c r="RES1000"/>
      <c r="RET1000"/>
      <c r="REU1000"/>
      <c r="REV1000"/>
      <c r="REW1000"/>
      <c r="REX1000"/>
      <c r="REY1000"/>
      <c r="REZ1000"/>
      <c r="RFA1000"/>
      <c r="RFB1000"/>
      <c r="RFC1000"/>
      <c r="RFD1000"/>
      <c r="RFE1000"/>
      <c r="RFF1000"/>
      <c r="RFG1000"/>
      <c r="RFH1000"/>
      <c r="RFI1000"/>
      <c r="RFJ1000"/>
      <c r="RFK1000"/>
      <c r="RFL1000"/>
      <c r="RFM1000"/>
      <c r="RFN1000"/>
      <c r="RFO1000"/>
      <c r="RFP1000"/>
      <c r="RFQ1000"/>
      <c r="RFR1000"/>
      <c r="RFS1000"/>
      <c r="RFT1000"/>
      <c r="RFU1000"/>
      <c r="RFV1000"/>
      <c r="RFW1000"/>
      <c r="RFX1000"/>
      <c r="RFY1000"/>
      <c r="RFZ1000"/>
      <c r="RGA1000"/>
      <c r="RGB1000"/>
      <c r="RGC1000"/>
      <c r="RGD1000"/>
      <c r="RGE1000"/>
      <c r="RGF1000"/>
      <c r="RGG1000"/>
      <c r="RGH1000"/>
      <c r="RGI1000"/>
      <c r="RGJ1000"/>
      <c r="RGK1000"/>
      <c r="RGL1000"/>
      <c r="RGM1000"/>
      <c r="RGN1000"/>
      <c r="RGO1000"/>
      <c r="RGP1000"/>
      <c r="RGQ1000"/>
      <c r="RGR1000"/>
      <c r="RGS1000"/>
      <c r="RGT1000"/>
      <c r="RGU1000"/>
      <c r="RGV1000"/>
      <c r="RGW1000"/>
      <c r="RGX1000"/>
      <c r="RGY1000"/>
      <c r="RGZ1000"/>
      <c r="RHA1000"/>
      <c r="RHB1000"/>
      <c r="RHC1000"/>
      <c r="RHD1000"/>
      <c r="RHE1000"/>
      <c r="RHF1000"/>
      <c r="RHG1000"/>
      <c r="RHH1000"/>
      <c r="RHI1000"/>
      <c r="RHJ1000"/>
      <c r="RHK1000"/>
      <c r="RHL1000"/>
      <c r="RHM1000"/>
      <c r="RHN1000"/>
      <c r="RHO1000"/>
      <c r="RHP1000"/>
      <c r="RHQ1000"/>
      <c r="RHR1000"/>
      <c r="RHS1000"/>
      <c r="RHT1000"/>
      <c r="RHU1000"/>
      <c r="RHV1000"/>
      <c r="RHW1000"/>
      <c r="RHX1000"/>
      <c r="RHY1000"/>
      <c r="RHZ1000"/>
      <c r="RIA1000"/>
      <c r="RIB1000"/>
      <c r="RIC1000"/>
      <c r="RID1000"/>
      <c r="RIE1000"/>
      <c r="RIF1000"/>
      <c r="RIG1000"/>
      <c r="RIH1000"/>
      <c r="RII1000"/>
      <c r="RIJ1000"/>
      <c r="RIK1000"/>
      <c r="RIL1000"/>
      <c r="RIM1000"/>
      <c r="RIN1000"/>
      <c r="RIO1000"/>
      <c r="RIP1000"/>
      <c r="RIQ1000"/>
      <c r="RIR1000"/>
      <c r="RIS1000"/>
      <c r="RIT1000"/>
      <c r="RIU1000"/>
      <c r="RIV1000"/>
      <c r="RIW1000"/>
      <c r="RIX1000"/>
      <c r="RIY1000"/>
      <c r="RIZ1000"/>
      <c r="RJA1000"/>
      <c r="RJB1000"/>
      <c r="RJC1000"/>
      <c r="RJD1000"/>
      <c r="RJE1000"/>
      <c r="RJF1000"/>
      <c r="RJG1000"/>
      <c r="RJH1000"/>
      <c r="RJI1000"/>
      <c r="RJJ1000"/>
      <c r="RJK1000"/>
      <c r="RJL1000"/>
      <c r="RJM1000"/>
      <c r="RJN1000"/>
      <c r="RJO1000"/>
      <c r="RJP1000"/>
      <c r="RJQ1000"/>
      <c r="RJR1000"/>
      <c r="RJS1000"/>
      <c r="RJT1000"/>
      <c r="RJU1000"/>
      <c r="RJV1000"/>
      <c r="RJW1000"/>
      <c r="RJX1000"/>
      <c r="RJY1000"/>
      <c r="RJZ1000"/>
      <c r="RKA1000"/>
      <c r="RKB1000"/>
      <c r="RKC1000"/>
      <c r="RKD1000"/>
      <c r="RKE1000"/>
      <c r="RKF1000"/>
      <c r="RKG1000"/>
      <c r="RKH1000"/>
      <c r="RKI1000"/>
      <c r="RKJ1000"/>
      <c r="RKK1000"/>
      <c r="RKL1000"/>
      <c r="RKM1000"/>
      <c r="RKN1000"/>
      <c r="RKO1000"/>
      <c r="RKP1000"/>
      <c r="RKQ1000"/>
      <c r="RKR1000"/>
      <c r="RKS1000"/>
      <c r="RKT1000"/>
      <c r="RKU1000"/>
      <c r="RKV1000"/>
      <c r="RKW1000"/>
      <c r="RKX1000"/>
      <c r="RKY1000"/>
      <c r="RKZ1000"/>
      <c r="RLA1000"/>
      <c r="RLB1000"/>
      <c r="RLC1000"/>
      <c r="RLD1000"/>
      <c r="RLE1000"/>
      <c r="RLF1000"/>
      <c r="RLG1000"/>
      <c r="RLH1000"/>
      <c r="RLI1000"/>
      <c r="RLJ1000"/>
      <c r="RLK1000"/>
      <c r="RLL1000"/>
      <c r="RLM1000"/>
      <c r="RLN1000"/>
      <c r="RLO1000"/>
      <c r="RLP1000"/>
      <c r="RLQ1000"/>
      <c r="RLR1000"/>
      <c r="RLS1000"/>
      <c r="RLT1000"/>
      <c r="RLU1000"/>
      <c r="RLV1000"/>
      <c r="RLW1000"/>
      <c r="RLX1000"/>
      <c r="RLY1000"/>
      <c r="RLZ1000"/>
      <c r="RMA1000"/>
      <c r="RMB1000"/>
      <c r="RMC1000"/>
      <c r="RMD1000"/>
      <c r="RME1000"/>
      <c r="RMF1000"/>
      <c r="RMG1000"/>
      <c r="RMH1000"/>
      <c r="RMI1000"/>
      <c r="RMJ1000"/>
      <c r="RMK1000"/>
      <c r="RML1000"/>
      <c r="RMM1000"/>
      <c r="RMN1000"/>
      <c r="RMO1000"/>
      <c r="RMP1000"/>
      <c r="RMQ1000"/>
      <c r="RMR1000"/>
      <c r="RMS1000"/>
      <c r="RMT1000"/>
      <c r="RMU1000"/>
      <c r="RMV1000"/>
      <c r="RMW1000"/>
      <c r="RMX1000"/>
      <c r="RMY1000"/>
      <c r="RMZ1000"/>
      <c r="RNA1000"/>
      <c r="RNB1000"/>
      <c r="RNC1000"/>
      <c r="RND1000"/>
      <c r="RNE1000"/>
      <c r="RNF1000"/>
      <c r="RNG1000"/>
      <c r="RNH1000"/>
      <c r="RNI1000"/>
      <c r="RNJ1000"/>
      <c r="RNK1000"/>
      <c r="RNL1000"/>
      <c r="RNM1000"/>
      <c r="RNN1000"/>
      <c r="RNO1000"/>
      <c r="RNP1000"/>
      <c r="RNQ1000"/>
      <c r="RNR1000"/>
      <c r="RNS1000"/>
      <c r="RNT1000"/>
      <c r="RNU1000"/>
      <c r="RNV1000"/>
      <c r="RNW1000"/>
      <c r="RNX1000"/>
      <c r="RNY1000"/>
      <c r="RNZ1000"/>
      <c r="ROA1000"/>
      <c r="ROB1000"/>
      <c r="ROC1000"/>
      <c r="ROD1000"/>
      <c r="ROE1000"/>
      <c r="ROF1000"/>
      <c r="ROG1000"/>
      <c r="ROH1000"/>
      <c r="ROI1000"/>
      <c r="ROJ1000"/>
      <c r="ROK1000"/>
      <c r="ROL1000"/>
      <c r="ROM1000"/>
      <c r="RON1000"/>
      <c r="ROO1000"/>
      <c r="ROP1000"/>
      <c r="ROQ1000"/>
      <c r="ROR1000"/>
      <c r="ROS1000"/>
      <c r="ROT1000"/>
      <c r="ROU1000"/>
      <c r="ROV1000"/>
      <c r="ROW1000"/>
      <c r="ROX1000"/>
      <c r="ROY1000"/>
      <c r="ROZ1000"/>
      <c r="RPA1000"/>
      <c r="RPB1000"/>
      <c r="RPC1000"/>
      <c r="RPD1000"/>
      <c r="RPE1000"/>
      <c r="RPF1000"/>
      <c r="RPG1000"/>
      <c r="RPH1000"/>
      <c r="RPI1000"/>
      <c r="RPJ1000"/>
      <c r="RPK1000"/>
      <c r="RPL1000"/>
      <c r="RPM1000"/>
      <c r="RPN1000"/>
      <c r="RPO1000"/>
      <c r="RPP1000"/>
      <c r="RPQ1000"/>
      <c r="RPR1000"/>
      <c r="RPS1000"/>
      <c r="RPT1000"/>
      <c r="RPU1000"/>
      <c r="RPV1000"/>
      <c r="RPW1000"/>
      <c r="RPX1000"/>
      <c r="RPY1000"/>
      <c r="RPZ1000"/>
      <c r="RQA1000"/>
      <c r="RQB1000"/>
      <c r="RQC1000"/>
      <c r="RQD1000"/>
      <c r="RQE1000"/>
      <c r="RQF1000"/>
      <c r="RQG1000"/>
      <c r="RQH1000"/>
      <c r="RQI1000"/>
      <c r="RQJ1000"/>
      <c r="RQK1000"/>
      <c r="RQL1000"/>
      <c r="RQM1000"/>
      <c r="RQN1000"/>
      <c r="RQO1000"/>
      <c r="RQP1000"/>
      <c r="RQQ1000"/>
      <c r="RQR1000"/>
      <c r="RQS1000"/>
      <c r="RQT1000"/>
      <c r="RQU1000"/>
      <c r="RQV1000"/>
      <c r="RQW1000"/>
      <c r="RQX1000"/>
      <c r="RQY1000"/>
      <c r="RQZ1000"/>
      <c r="RRA1000"/>
      <c r="RRB1000"/>
      <c r="RRC1000"/>
      <c r="RRD1000"/>
      <c r="RRE1000"/>
      <c r="RRF1000"/>
      <c r="RRG1000"/>
      <c r="RRH1000"/>
      <c r="RRI1000"/>
      <c r="RRJ1000"/>
      <c r="RRK1000"/>
      <c r="RRL1000"/>
      <c r="RRM1000"/>
      <c r="RRN1000"/>
      <c r="RRO1000"/>
      <c r="RRP1000"/>
      <c r="RRQ1000"/>
      <c r="RRR1000"/>
      <c r="RRS1000"/>
      <c r="RRT1000"/>
      <c r="RRU1000"/>
      <c r="RRV1000"/>
      <c r="RRW1000"/>
      <c r="RRX1000"/>
      <c r="RRY1000"/>
      <c r="RRZ1000"/>
      <c r="RSA1000"/>
      <c r="RSB1000"/>
      <c r="RSC1000"/>
      <c r="RSD1000"/>
      <c r="RSE1000"/>
      <c r="RSF1000"/>
      <c r="RSG1000"/>
      <c r="RSH1000"/>
      <c r="RSI1000"/>
      <c r="RSJ1000"/>
      <c r="RSK1000"/>
      <c r="RSL1000"/>
      <c r="RSM1000"/>
      <c r="RSN1000"/>
      <c r="RSO1000"/>
      <c r="RSP1000"/>
      <c r="RSQ1000"/>
      <c r="RSR1000"/>
      <c r="RSS1000"/>
      <c r="RST1000"/>
      <c r="RSU1000"/>
      <c r="RSV1000"/>
      <c r="RSW1000"/>
      <c r="RSX1000"/>
      <c r="RSY1000"/>
      <c r="RSZ1000"/>
      <c r="RTA1000"/>
      <c r="RTB1000"/>
      <c r="RTC1000"/>
      <c r="RTD1000"/>
      <c r="RTE1000"/>
      <c r="RTF1000"/>
      <c r="RTG1000"/>
      <c r="RTH1000"/>
      <c r="RTI1000"/>
      <c r="RTJ1000"/>
      <c r="RTK1000"/>
      <c r="RTL1000"/>
      <c r="RTM1000"/>
      <c r="RTN1000"/>
      <c r="RTO1000"/>
      <c r="RTP1000"/>
      <c r="RTQ1000"/>
      <c r="RTR1000"/>
      <c r="RTS1000"/>
      <c r="RTT1000"/>
      <c r="RTU1000"/>
      <c r="RTV1000"/>
      <c r="RTW1000"/>
      <c r="RTX1000"/>
      <c r="RTY1000"/>
      <c r="RTZ1000"/>
      <c r="RUA1000"/>
      <c r="RUB1000"/>
      <c r="RUC1000"/>
      <c r="RUD1000"/>
      <c r="RUE1000"/>
      <c r="RUF1000"/>
      <c r="RUG1000"/>
      <c r="RUH1000"/>
      <c r="RUI1000"/>
      <c r="RUJ1000"/>
      <c r="RUK1000"/>
      <c r="RUL1000"/>
      <c r="RUM1000"/>
      <c r="RUN1000"/>
      <c r="RUO1000"/>
      <c r="RUP1000"/>
      <c r="RUQ1000"/>
      <c r="RUR1000"/>
      <c r="RUS1000"/>
      <c r="RUT1000"/>
      <c r="RUU1000"/>
      <c r="RUV1000"/>
      <c r="RUW1000"/>
      <c r="RUX1000"/>
      <c r="RUY1000"/>
      <c r="RUZ1000"/>
      <c r="RVA1000"/>
      <c r="RVB1000"/>
      <c r="RVC1000"/>
      <c r="RVD1000"/>
      <c r="RVE1000"/>
      <c r="RVF1000"/>
      <c r="RVG1000"/>
      <c r="RVH1000"/>
      <c r="RVI1000"/>
      <c r="RVJ1000"/>
      <c r="RVK1000"/>
      <c r="RVL1000"/>
      <c r="RVM1000"/>
      <c r="RVN1000"/>
      <c r="RVO1000"/>
      <c r="RVP1000"/>
      <c r="RVQ1000"/>
      <c r="RVR1000"/>
      <c r="RVS1000"/>
      <c r="RVT1000"/>
      <c r="RVU1000"/>
      <c r="RVV1000"/>
      <c r="RVW1000"/>
      <c r="RVX1000"/>
      <c r="RVY1000"/>
      <c r="RVZ1000"/>
      <c r="RWA1000"/>
      <c r="RWB1000"/>
      <c r="RWC1000"/>
      <c r="RWD1000"/>
      <c r="RWE1000"/>
      <c r="RWF1000"/>
      <c r="RWG1000"/>
      <c r="RWH1000"/>
      <c r="RWI1000"/>
      <c r="RWJ1000"/>
      <c r="RWK1000"/>
      <c r="RWL1000"/>
      <c r="RWM1000"/>
      <c r="RWN1000"/>
      <c r="RWO1000"/>
      <c r="RWP1000"/>
      <c r="RWQ1000"/>
      <c r="RWR1000"/>
      <c r="RWS1000"/>
      <c r="RWT1000"/>
      <c r="RWU1000"/>
      <c r="RWV1000"/>
      <c r="RWW1000"/>
      <c r="RWX1000"/>
      <c r="RWY1000"/>
      <c r="RWZ1000"/>
      <c r="RXA1000"/>
      <c r="RXB1000"/>
      <c r="RXC1000"/>
      <c r="RXD1000"/>
      <c r="RXE1000"/>
      <c r="RXF1000"/>
      <c r="RXG1000"/>
      <c r="RXH1000"/>
      <c r="RXI1000"/>
      <c r="RXJ1000"/>
      <c r="RXK1000"/>
      <c r="RXL1000"/>
      <c r="RXM1000"/>
      <c r="RXN1000"/>
      <c r="RXO1000"/>
      <c r="RXP1000"/>
      <c r="RXQ1000"/>
      <c r="RXR1000"/>
      <c r="RXS1000"/>
      <c r="RXT1000"/>
      <c r="RXU1000"/>
      <c r="RXV1000"/>
      <c r="RXW1000"/>
      <c r="RXX1000"/>
      <c r="RXY1000"/>
      <c r="RXZ1000"/>
      <c r="RYA1000"/>
      <c r="RYB1000"/>
      <c r="RYC1000"/>
      <c r="RYD1000"/>
      <c r="RYE1000"/>
      <c r="RYF1000"/>
      <c r="RYG1000"/>
      <c r="RYH1000"/>
      <c r="RYI1000"/>
      <c r="RYJ1000"/>
      <c r="RYK1000"/>
      <c r="RYL1000"/>
      <c r="RYM1000"/>
      <c r="RYN1000"/>
      <c r="RYO1000"/>
      <c r="RYP1000"/>
      <c r="RYQ1000"/>
      <c r="RYR1000"/>
      <c r="RYS1000"/>
      <c r="RYT1000"/>
      <c r="RYU1000"/>
      <c r="RYV1000"/>
      <c r="RYW1000"/>
      <c r="RYX1000"/>
      <c r="RYY1000"/>
      <c r="RYZ1000"/>
      <c r="RZA1000"/>
      <c r="RZB1000"/>
      <c r="RZC1000"/>
      <c r="RZD1000"/>
      <c r="RZE1000"/>
      <c r="RZF1000"/>
      <c r="RZG1000"/>
      <c r="RZH1000"/>
      <c r="RZI1000"/>
      <c r="RZJ1000"/>
      <c r="RZK1000"/>
      <c r="RZL1000"/>
      <c r="RZM1000"/>
      <c r="RZN1000"/>
      <c r="RZO1000"/>
      <c r="RZP1000"/>
      <c r="RZQ1000"/>
      <c r="RZR1000"/>
      <c r="RZS1000"/>
      <c r="RZT1000"/>
      <c r="RZU1000"/>
      <c r="RZV1000"/>
      <c r="RZW1000"/>
      <c r="RZX1000"/>
      <c r="RZY1000"/>
      <c r="RZZ1000"/>
      <c r="SAA1000"/>
      <c r="SAB1000"/>
      <c r="SAC1000"/>
      <c r="SAD1000"/>
      <c r="SAE1000"/>
      <c r="SAF1000"/>
      <c r="SAG1000"/>
      <c r="SAH1000"/>
      <c r="SAI1000"/>
      <c r="SAJ1000"/>
      <c r="SAK1000"/>
      <c r="SAL1000"/>
      <c r="SAM1000"/>
      <c r="SAN1000"/>
      <c r="SAO1000"/>
      <c r="SAP1000"/>
      <c r="SAQ1000"/>
      <c r="SAR1000"/>
      <c r="SAS1000"/>
      <c r="SAT1000"/>
      <c r="SAU1000"/>
      <c r="SAV1000"/>
      <c r="SAW1000"/>
      <c r="SAX1000"/>
      <c r="SAY1000"/>
      <c r="SAZ1000"/>
      <c r="SBA1000"/>
      <c r="SBB1000"/>
      <c r="SBC1000"/>
      <c r="SBD1000"/>
      <c r="SBE1000"/>
      <c r="SBF1000"/>
      <c r="SBG1000"/>
      <c r="SBH1000"/>
      <c r="SBI1000"/>
      <c r="SBJ1000"/>
      <c r="SBK1000"/>
      <c r="SBL1000"/>
      <c r="SBM1000"/>
      <c r="SBN1000"/>
      <c r="SBO1000"/>
      <c r="SBP1000"/>
      <c r="SBQ1000"/>
      <c r="SBR1000"/>
      <c r="SBS1000"/>
      <c r="SBT1000"/>
      <c r="SBU1000"/>
      <c r="SBV1000"/>
      <c r="SBW1000"/>
      <c r="SBX1000"/>
      <c r="SBY1000"/>
      <c r="SBZ1000"/>
      <c r="SCA1000"/>
      <c r="SCB1000"/>
      <c r="SCC1000"/>
      <c r="SCD1000"/>
      <c r="SCE1000"/>
      <c r="SCF1000"/>
      <c r="SCG1000"/>
      <c r="SCH1000"/>
      <c r="SCI1000"/>
      <c r="SCJ1000"/>
      <c r="SCK1000"/>
      <c r="SCL1000"/>
      <c r="SCM1000"/>
      <c r="SCN1000"/>
      <c r="SCO1000"/>
      <c r="SCP1000"/>
      <c r="SCQ1000"/>
      <c r="SCR1000"/>
      <c r="SCS1000"/>
      <c r="SCT1000"/>
      <c r="SCU1000"/>
      <c r="SCV1000"/>
      <c r="SCW1000"/>
      <c r="SCX1000"/>
      <c r="SCY1000"/>
      <c r="SCZ1000"/>
      <c r="SDA1000"/>
      <c r="SDB1000"/>
      <c r="SDC1000"/>
      <c r="SDD1000"/>
      <c r="SDE1000"/>
      <c r="SDF1000"/>
      <c r="SDG1000"/>
      <c r="SDH1000"/>
      <c r="SDI1000"/>
      <c r="SDJ1000"/>
      <c r="SDK1000"/>
      <c r="SDL1000"/>
      <c r="SDM1000"/>
      <c r="SDN1000"/>
      <c r="SDO1000"/>
      <c r="SDP1000"/>
      <c r="SDQ1000"/>
      <c r="SDR1000"/>
      <c r="SDS1000"/>
      <c r="SDT1000"/>
      <c r="SDU1000"/>
      <c r="SDV1000"/>
      <c r="SDW1000"/>
      <c r="SDX1000"/>
      <c r="SDY1000"/>
      <c r="SDZ1000"/>
      <c r="SEA1000"/>
      <c r="SEB1000"/>
      <c r="SEC1000"/>
      <c r="SED1000"/>
      <c r="SEE1000"/>
      <c r="SEF1000"/>
      <c r="SEG1000"/>
      <c r="SEH1000"/>
      <c r="SEI1000"/>
      <c r="SEJ1000"/>
      <c r="SEK1000"/>
      <c r="SEL1000"/>
      <c r="SEM1000"/>
      <c r="SEN1000"/>
      <c r="SEO1000"/>
      <c r="SEP1000"/>
      <c r="SEQ1000"/>
      <c r="SER1000"/>
      <c r="SES1000"/>
      <c r="SET1000"/>
      <c r="SEU1000"/>
      <c r="SEV1000"/>
      <c r="SEW1000"/>
      <c r="SEX1000"/>
      <c r="SEY1000"/>
      <c r="SEZ1000"/>
      <c r="SFA1000"/>
      <c r="SFB1000"/>
      <c r="SFC1000"/>
      <c r="SFD1000"/>
      <c r="SFE1000"/>
      <c r="SFF1000"/>
      <c r="SFG1000"/>
      <c r="SFH1000"/>
      <c r="SFI1000"/>
      <c r="SFJ1000"/>
      <c r="SFK1000"/>
      <c r="SFL1000"/>
      <c r="SFM1000"/>
      <c r="SFN1000"/>
      <c r="SFO1000"/>
      <c r="SFP1000"/>
      <c r="SFQ1000"/>
      <c r="SFR1000"/>
      <c r="SFS1000"/>
      <c r="SFT1000"/>
      <c r="SFU1000"/>
      <c r="SFV1000"/>
      <c r="SFW1000"/>
      <c r="SFX1000"/>
      <c r="SFY1000"/>
      <c r="SFZ1000"/>
      <c r="SGA1000"/>
      <c r="SGB1000"/>
      <c r="SGC1000"/>
      <c r="SGD1000"/>
      <c r="SGE1000"/>
      <c r="SGF1000"/>
      <c r="SGG1000"/>
      <c r="SGH1000"/>
      <c r="SGI1000"/>
      <c r="SGJ1000"/>
      <c r="SGK1000"/>
      <c r="SGL1000"/>
      <c r="SGM1000"/>
      <c r="SGN1000"/>
      <c r="SGO1000"/>
      <c r="SGP1000"/>
      <c r="SGQ1000"/>
      <c r="SGR1000"/>
      <c r="SGS1000"/>
      <c r="SGT1000"/>
      <c r="SGU1000"/>
      <c r="SGV1000"/>
      <c r="SGW1000"/>
      <c r="SGX1000"/>
      <c r="SGY1000"/>
      <c r="SGZ1000"/>
      <c r="SHA1000"/>
      <c r="SHB1000"/>
      <c r="SHC1000"/>
      <c r="SHD1000"/>
      <c r="SHE1000"/>
      <c r="SHF1000"/>
      <c r="SHG1000"/>
      <c r="SHH1000"/>
      <c r="SHI1000"/>
      <c r="SHJ1000"/>
      <c r="SHK1000"/>
      <c r="SHL1000"/>
      <c r="SHM1000"/>
      <c r="SHN1000"/>
      <c r="SHO1000"/>
      <c r="SHP1000"/>
      <c r="SHQ1000"/>
      <c r="SHR1000"/>
      <c r="SHS1000"/>
      <c r="SHT1000"/>
      <c r="SHU1000"/>
      <c r="SHV1000"/>
      <c r="SHW1000"/>
      <c r="SHX1000"/>
      <c r="SHY1000"/>
      <c r="SHZ1000"/>
      <c r="SIA1000"/>
      <c r="SIB1000"/>
      <c r="SIC1000"/>
      <c r="SID1000"/>
      <c r="SIE1000"/>
      <c r="SIF1000"/>
      <c r="SIG1000"/>
      <c r="SIH1000"/>
      <c r="SII1000"/>
      <c r="SIJ1000"/>
      <c r="SIK1000"/>
      <c r="SIL1000"/>
      <c r="SIM1000"/>
      <c r="SIN1000"/>
      <c r="SIO1000"/>
      <c r="SIP1000"/>
      <c r="SIQ1000"/>
      <c r="SIR1000"/>
      <c r="SIS1000"/>
      <c r="SIT1000"/>
      <c r="SIU1000"/>
      <c r="SIV1000"/>
      <c r="SIW1000"/>
      <c r="SIX1000"/>
      <c r="SIY1000"/>
      <c r="SIZ1000"/>
      <c r="SJA1000"/>
      <c r="SJB1000"/>
      <c r="SJC1000"/>
      <c r="SJD1000"/>
      <c r="SJE1000"/>
      <c r="SJF1000"/>
      <c r="SJG1000"/>
      <c r="SJH1000"/>
      <c r="SJI1000"/>
      <c r="SJJ1000"/>
      <c r="SJK1000"/>
      <c r="SJL1000"/>
      <c r="SJM1000"/>
      <c r="SJN1000"/>
      <c r="SJO1000"/>
      <c r="SJP1000"/>
      <c r="SJQ1000"/>
      <c r="SJR1000"/>
      <c r="SJS1000"/>
      <c r="SJT1000"/>
      <c r="SJU1000"/>
      <c r="SJV1000"/>
      <c r="SJW1000"/>
      <c r="SJX1000"/>
      <c r="SJY1000"/>
      <c r="SJZ1000"/>
      <c r="SKA1000"/>
      <c r="SKB1000"/>
      <c r="SKC1000"/>
      <c r="SKD1000"/>
      <c r="SKE1000"/>
      <c r="SKF1000"/>
      <c r="SKG1000"/>
      <c r="SKH1000"/>
      <c r="SKI1000"/>
      <c r="SKJ1000"/>
      <c r="SKK1000"/>
      <c r="SKL1000"/>
      <c r="SKM1000"/>
      <c r="SKN1000"/>
      <c r="SKO1000"/>
      <c r="SKP1000"/>
      <c r="SKQ1000"/>
      <c r="SKR1000"/>
      <c r="SKS1000"/>
      <c r="SKT1000"/>
      <c r="SKU1000"/>
      <c r="SKV1000"/>
      <c r="SKW1000"/>
      <c r="SKX1000"/>
      <c r="SKY1000"/>
      <c r="SKZ1000"/>
      <c r="SLA1000"/>
      <c r="SLB1000"/>
      <c r="SLC1000"/>
      <c r="SLD1000"/>
      <c r="SLE1000"/>
      <c r="SLF1000"/>
      <c r="SLG1000"/>
      <c r="SLH1000"/>
      <c r="SLI1000"/>
      <c r="SLJ1000"/>
      <c r="SLK1000"/>
      <c r="SLL1000"/>
      <c r="SLM1000"/>
      <c r="SLN1000"/>
      <c r="SLO1000"/>
      <c r="SLP1000"/>
      <c r="SLQ1000"/>
      <c r="SLR1000"/>
      <c r="SLS1000"/>
      <c r="SLT1000"/>
      <c r="SLU1000"/>
      <c r="SLV1000"/>
      <c r="SLW1000"/>
      <c r="SLX1000"/>
      <c r="SLY1000"/>
      <c r="SLZ1000"/>
      <c r="SMA1000"/>
      <c r="SMB1000"/>
      <c r="SMC1000"/>
      <c r="SMD1000"/>
      <c r="SME1000"/>
      <c r="SMF1000"/>
      <c r="SMG1000"/>
      <c r="SMH1000"/>
      <c r="SMI1000"/>
      <c r="SMJ1000"/>
      <c r="SMK1000"/>
      <c r="SML1000"/>
      <c r="SMM1000"/>
      <c r="SMN1000"/>
      <c r="SMO1000"/>
      <c r="SMP1000"/>
      <c r="SMQ1000"/>
      <c r="SMR1000"/>
      <c r="SMS1000"/>
      <c r="SMT1000"/>
      <c r="SMU1000"/>
      <c r="SMV1000"/>
      <c r="SMW1000"/>
      <c r="SMX1000"/>
      <c r="SMY1000"/>
      <c r="SMZ1000"/>
      <c r="SNA1000"/>
      <c r="SNB1000"/>
      <c r="SNC1000"/>
      <c r="SND1000"/>
      <c r="SNE1000"/>
      <c r="SNF1000"/>
      <c r="SNG1000"/>
      <c r="SNH1000"/>
      <c r="SNI1000"/>
      <c r="SNJ1000"/>
      <c r="SNK1000"/>
      <c r="SNL1000"/>
      <c r="SNM1000"/>
      <c r="SNN1000"/>
      <c r="SNO1000"/>
      <c r="SNP1000"/>
      <c r="SNQ1000"/>
      <c r="SNR1000"/>
      <c r="SNS1000"/>
      <c r="SNT1000"/>
      <c r="SNU1000"/>
      <c r="SNV1000"/>
      <c r="SNW1000"/>
      <c r="SNX1000"/>
      <c r="SNY1000"/>
      <c r="SNZ1000"/>
      <c r="SOA1000"/>
      <c r="SOB1000"/>
      <c r="SOC1000"/>
      <c r="SOD1000"/>
      <c r="SOE1000"/>
      <c r="SOF1000"/>
      <c r="SOG1000"/>
      <c r="SOH1000"/>
      <c r="SOI1000"/>
      <c r="SOJ1000"/>
      <c r="SOK1000"/>
      <c r="SOL1000"/>
      <c r="SOM1000"/>
      <c r="SON1000"/>
      <c r="SOO1000"/>
      <c r="SOP1000"/>
      <c r="SOQ1000"/>
      <c r="SOR1000"/>
      <c r="SOS1000"/>
      <c r="SOT1000"/>
      <c r="SOU1000"/>
      <c r="SOV1000"/>
      <c r="SOW1000"/>
      <c r="SOX1000"/>
      <c r="SOY1000"/>
      <c r="SOZ1000"/>
      <c r="SPA1000"/>
      <c r="SPB1000"/>
      <c r="SPC1000"/>
      <c r="SPD1000"/>
      <c r="SPE1000"/>
      <c r="SPF1000"/>
      <c r="SPG1000"/>
      <c r="SPH1000"/>
      <c r="SPI1000"/>
      <c r="SPJ1000"/>
      <c r="SPK1000"/>
      <c r="SPL1000"/>
      <c r="SPM1000"/>
      <c r="SPN1000"/>
      <c r="SPO1000"/>
      <c r="SPP1000"/>
      <c r="SPQ1000"/>
      <c r="SPR1000"/>
      <c r="SPS1000"/>
      <c r="SPT1000"/>
      <c r="SPU1000"/>
      <c r="SPV1000"/>
      <c r="SPW1000"/>
      <c r="SPX1000"/>
      <c r="SPY1000"/>
      <c r="SPZ1000"/>
      <c r="SQA1000"/>
      <c r="SQB1000"/>
      <c r="SQC1000"/>
      <c r="SQD1000"/>
      <c r="SQE1000"/>
      <c r="SQF1000"/>
      <c r="SQG1000"/>
      <c r="SQH1000"/>
      <c r="SQI1000"/>
      <c r="SQJ1000"/>
      <c r="SQK1000"/>
      <c r="SQL1000"/>
      <c r="SQM1000"/>
      <c r="SQN1000"/>
      <c r="SQO1000"/>
      <c r="SQP1000"/>
      <c r="SQQ1000"/>
      <c r="SQR1000"/>
      <c r="SQS1000"/>
      <c r="SQT1000"/>
      <c r="SQU1000"/>
      <c r="SQV1000"/>
      <c r="SQW1000"/>
      <c r="SQX1000"/>
      <c r="SQY1000"/>
      <c r="SQZ1000"/>
      <c r="SRA1000"/>
      <c r="SRB1000"/>
      <c r="SRC1000"/>
      <c r="SRD1000"/>
      <c r="SRE1000"/>
      <c r="SRF1000"/>
      <c r="SRG1000"/>
      <c r="SRH1000"/>
      <c r="SRI1000"/>
      <c r="SRJ1000"/>
      <c r="SRK1000"/>
      <c r="SRL1000"/>
      <c r="SRM1000"/>
      <c r="SRN1000"/>
      <c r="SRO1000"/>
      <c r="SRP1000"/>
      <c r="SRQ1000"/>
      <c r="SRR1000"/>
      <c r="SRS1000"/>
      <c r="SRT1000"/>
      <c r="SRU1000"/>
      <c r="SRV1000"/>
      <c r="SRW1000"/>
      <c r="SRX1000"/>
      <c r="SRY1000"/>
      <c r="SRZ1000"/>
      <c r="SSA1000"/>
      <c r="SSB1000"/>
      <c r="SSC1000"/>
      <c r="SSD1000"/>
      <c r="SSE1000"/>
      <c r="SSF1000"/>
      <c r="SSG1000"/>
      <c r="SSH1000"/>
      <c r="SSI1000"/>
      <c r="SSJ1000"/>
      <c r="SSK1000"/>
      <c r="SSL1000"/>
      <c r="SSM1000"/>
      <c r="SSN1000"/>
      <c r="SSO1000"/>
      <c r="SSP1000"/>
      <c r="SSQ1000"/>
      <c r="SSR1000"/>
      <c r="SSS1000"/>
      <c r="SST1000"/>
      <c r="SSU1000"/>
      <c r="SSV1000"/>
      <c r="SSW1000"/>
      <c r="SSX1000"/>
      <c r="SSY1000"/>
      <c r="SSZ1000"/>
      <c r="STA1000"/>
      <c r="STB1000"/>
      <c r="STC1000"/>
      <c r="STD1000"/>
      <c r="STE1000"/>
      <c r="STF1000"/>
      <c r="STG1000"/>
      <c r="STH1000"/>
      <c r="STI1000"/>
      <c r="STJ1000"/>
      <c r="STK1000"/>
      <c r="STL1000"/>
      <c r="STM1000"/>
      <c r="STN1000"/>
      <c r="STO1000"/>
      <c r="STP1000"/>
      <c r="STQ1000"/>
      <c r="STR1000"/>
      <c r="STS1000"/>
      <c r="STT1000"/>
      <c r="STU1000"/>
      <c r="STV1000"/>
      <c r="STW1000"/>
      <c r="STX1000"/>
      <c r="STY1000"/>
      <c r="STZ1000"/>
      <c r="SUA1000"/>
      <c r="SUB1000"/>
      <c r="SUC1000"/>
      <c r="SUD1000"/>
      <c r="SUE1000"/>
      <c r="SUF1000"/>
      <c r="SUG1000"/>
      <c r="SUH1000"/>
      <c r="SUI1000"/>
      <c r="SUJ1000"/>
      <c r="SUK1000"/>
      <c r="SUL1000"/>
      <c r="SUM1000"/>
      <c r="SUN1000"/>
      <c r="SUO1000"/>
      <c r="SUP1000"/>
      <c r="SUQ1000"/>
      <c r="SUR1000"/>
      <c r="SUS1000"/>
      <c r="SUT1000"/>
      <c r="SUU1000"/>
      <c r="SUV1000"/>
      <c r="SUW1000"/>
      <c r="SUX1000"/>
      <c r="SUY1000"/>
      <c r="SUZ1000"/>
      <c r="SVA1000"/>
      <c r="SVB1000"/>
      <c r="SVC1000"/>
      <c r="SVD1000"/>
      <c r="SVE1000"/>
      <c r="SVF1000"/>
      <c r="SVG1000"/>
      <c r="SVH1000"/>
      <c r="SVI1000"/>
      <c r="SVJ1000"/>
      <c r="SVK1000"/>
      <c r="SVL1000"/>
      <c r="SVM1000"/>
      <c r="SVN1000"/>
      <c r="SVO1000"/>
      <c r="SVP1000"/>
      <c r="SVQ1000"/>
      <c r="SVR1000"/>
      <c r="SVS1000"/>
      <c r="SVT1000"/>
      <c r="SVU1000"/>
      <c r="SVV1000"/>
      <c r="SVW1000"/>
      <c r="SVX1000"/>
      <c r="SVY1000"/>
      <c r="SVZ1000"/>
      <c r="SWA1000"/>
      <c r="SWB1000"/>
      <c r="SWC1000"/>
      <c r="SWD1000"/>
      <c r="SWE1000"/>
      <c r="SWF1000"/>
      <c r="SWG1000"/>
      <c r="SWH1000"/>
      <c r="SWI1000"/>
      <c r="SWJ1000"/>
      <c r="SWK1000"/>
      <c r="SWL1000"/>
      <c r="SWM1000"/>
      <c r="SWN1000"/>
      <c r="SWO1000"/>
      <c r="SWP1000"/>
      <c r="SWQ1000"/>
      <c r="SWR1000"/>
      <c r="SWS1000"/>
      <c r="SWT1000"/>
      <c r="SWU1000"/>
      <c r="SWV1000"/>
      <c r="SWW1000"/>
      <c r="SWX1000"/>
      <c r="SWY1000"/>
      <c r="SWZ1000"/>
      <c r="SXA1000"/>
      <c r="SXB1000"/>
      <c r="SXC1000"/>
      <c r="SXD1000"/>
      <c r="SXE1000"/>
      <c r="SXF1000"/>
      <c r="SXG1000"/>
      <c r="SXH1000"/>
      <c r="SXI1000"/>
      <c r="SXJ1000"/>
      <c r="SXK1000"/>
      <c r="SXL1000"/>
      <c r="SXM1000"/>
      <c r="SXN1000"/>
      <c r="SXO1000"/>
      <c r="SXP1000"/>
      <c r="SXQ1000"/>
      <c r="SXR1000"/>
      <c r="SXS1000"/>
      <c r="SXT1000"/>
      <c r="SXU1000"/>
      <c r="SXV1000"/>
      <c r="SXW1000"/>
      <c r="SXX1000"/>
      <c r="SXY1000"/>
      <c r="SXZ1000"/>
      <c r="SYA1000"/>
      <c r="SYB1000"/>
      <c r="SYC1000"/>
      <c r="SYD1000"/>
      <c r="SYE1000"/>
      <c r="SYF1000"/>
      <c r="SYG1000"/>
      <c r="SYH1000"/>
      <c r="SYI1000"/>
      <c r="SYJ1000"/>
      <c r="SYK1000"/>
      <c r="SYL1000"/>
      <c r="SYM1000"/>
      <c r="SYN1000"/>
      <c r="SYO1000"/>
      <c r="SYP1000"/>
      <c r="SYQ1000"/>
      <c r="SYR1000"/>
      <c r="SYS1000"/>
      <c r="SYT1000"/>
      <c r="SYU1000"/>
      <c r="SYV1000"/>
      <c r="SYW1000"/>
      <c r="SYX1000"/>
      <c r="SYY1000"/>
      <c r="SYZ1000"/>
      <c r="SZA1000"/>
      <c r="SZB1000"/>
      <c r="SZC1000"/>
      <c r="SZD1000"/>
      <c r="SZE1000"/>
      <c r="SZF1000"/>
      <c r="SZG1000"/>
      <c r="SZH1000"/>
      <c r="SZI1000"/>
      <c r="SZJ1000"/>
      <c r="SZK1000"/>
      <c r="SZL1000"/>
      <c r="SZM1000"/>
      <c r="SZN1000"/>
      <c r="SZO1000"/>
      <c r="SZP1000"/>
      <c r="SZQ1000"/>
      <c r="SZR1000"/>
      <c r="SZS1000"/>
      <c r="SZT1000"/>
      <c r="SZU1000"/>
      <c r="SZV1000"/>
      <c r="SZW1000"/>
      <c r="SZX1000"/>
      <c r="SZY1000"/>
      <c r="SZZ1000"/>
      <c r="TAA1000"/>
      <c r="TAB1000"/>
      <c r="TAC1000"/>
      <c r="TAD1000"/>
      <c r="TAE1000"/>
      <c r="TAF1000"/>
      <c r="TAG1000"/>
      <c r="TAH1000"/>
      <c r="TAI1000"/>
      <c r="TAJ1000"/>
      <c r="TAK1000"/>
      <c r="TAL1000"/>
      <c r="TAM1000"/>
      <c r="TAN1000"/>
      <c r="TAO1000"/>
      <c r="TAP1000"/>
      <c r="TAQ1000"/>
      <c r="TAR1000"/>
      <c r="TAS1000"/>
      <c r="TAT1000"/>
      <c r="TAU1000"/>
      <c r="TAV1000"/>
      <c r="TAW1000"/>
      <c r="TAX1000"/>
      <c r="TAY1000"/>
      <c r="TAZ1000"/>
      <c r="TBA1000"/>
      <c r="TBB1000"/>
      <c r="TBC1000"/>
      <c r="TBD1000"/>
      <c r="TBE1000"/>
      <c r="TBF1000"/>
      <c r="TBG1000"/>
      <c r="TBH1000"/>
      <c r="TBI1000"/>
      <c r="TBJ1000"/>
      <c r="TBK1000"/>
      <c r="TBL1000"/>
      <c r="TBM1000"/>
      <c r="TBN1000"/>
      <c r="TBO1000"/>
      <c r="TBP1000"/>
      <c r="TBQ1000"/>
      <c r="TBR1000"/>
      <c r="TBS1000"/>
      <c r="TBT1000"/>
      <c r="TBU1000"/>
      <c r="TBV1000"/>
      <c r="TBW1000"/>
      <c r="TBX1000"/>
      <c r="TBY1000"/>
      <c r="TBZ1000"/>
      <c r="TCA1000"/>
      <c r="TCB1000"/>
      <c r="TCC1000"/>
      <c r="TCD1000"/>
      <c r="TCE1000"/>
      <c r="TCF1000"/>
      <c r="TCG1000"/>
      <c r="TCH1000"/>
      <c r="TCI1000"/>
      <c r="TCJ1000"/>
      <c r="TCK1000"/>
      <c r="TCL1000"/>
      <c r="TCM1000"/>
      <c r="TCN1000"/>
      <c r="TCO1000"/>
      <c r="TCP1000"/>
      <c r="TCQ1000"/>
      <c r="TCR1000"/>
      <c r="TCS1000"/>
      <c r="TCT1000"/>
      <c r="TCU1000"/>
      <c r="TCV1000"/>
      <c r="TCW1000"/>
      <c r="TCX1000"/>
      <c r="TCY1000"/>
      <c r="TCZ1000"/>
      <c r="TDA1000"/>
      <c r="TDB1000"/>
      <c r="TDC1000"/>
      <c r="TDD1000"/>
      <c r="TDE1000"/>
      <c r="TDF1000"/>
      <c r="TDG1000"/>
      <c r="TDH1000"/>
      <c r="TDI1000"/>
      <c r="TDJ1000"/>
      <c r="TDK1000"/>
      <c r="TDL1000"/>
      <c r="TDM1000"/>
      <c r="TDN1000"/>
      <c r="TDO1000"/>
      <c r="TDP1000"/>
      <c r="TDQ1000"/>
      <c r="TDR1000"/>
      <c r="TDS1000"/>
      <c r="TDT1000"/>
      <c r="TDU1000"/>
      <c r="TDV1000"/>
      <c r="TDW1000"/>
      <c r="TDX1000"/>
      <c r="TDY1000"/>
      <c r="TDZ1000"/>
      <c r="TEA1000"/>
      <c r="TEB1000"/>
      <c r="TEC1000"/>
      <c r="TED1000"/>
      <c r="TEE1000"/>
      <c r="TEF1000"/>
      <c r="TEG1000"/>
      <c r="TEH1000"/>
      <c r="TEI1000"/>
      <c r="TEJ1000"/>
      <c r="TEK1000"/>
      <c r="TEL1000"/>
      <c r="TEM1000"/>
      <c r="TEN1000"/>
      <c r="TEO1000"/>
      <c r="TEP1000"/>
      <c r="TEQ1000"/>
      <c r="TER1000"/>
      <c r="TES1000"/>
      <c r="TET1000"/>
      <c r="TEU1000"/>
      <c r="TEV1000"/>
      <c r="TEW1000"/>
      <c r="TEX1000"/>
      <c r="TEY1000"/>
      <c r="TEZ1000"/>
      <c r="TFA1000"/>
      <c r="TFB1000"/>
      <c r="TFC1000"/>
      <c r="TFD1000"/>
      <c r="TFE1000"/>
      <c r="TFF1000"/>
      <c r="TFG1000"/>
      <c r="TFH1000"/>
      <c r="TFI1000"/>
      <c r="TFJ1000"/>
      <c r="TFK1000"/>
      <c r="TFL1000"/>
      <c r="TFM1000"/>
      <c r="TFN1000"/>
      <c r="TFO1000"/>
      <c r="TFP1000"/>
      <c r="TFQ1000"/>
      <c r="TFR1000"/>
      <c r="TFS1000"/>
      <c r="TFT1000"/>
      <c r="TFU1000"/>
      <c r="TFV1000"/>
      <c r="TFW1000"/>
      <c r="TFX1000"/>
      <c r="TFY1000"/>
      <c r="TFZ1000"/>
      <c r="TGA1000"/>
      <c r="TGB1000"/>
      <c r="TGC1000"/>
      <c r="TGD1000"/>
      <c r="TGE1000"/>
      <c r="TGF1000"/>
      <c r="TGG1000"/>
      <c r="TGH1000"/>
      <c r="TGI1000"/>
      <c r="TGJ1000"/>
      <c r="TGK1000"/>
      <c r="TGL1000"/>
      <c r="TGM1000"/>
      <c r="TGN1000"/>
      <c r="TGO1000"/>
      <c r="TGP1000"/>
      <c r="TGQ1000"/>
      <c r="TGR1000"/>
      <c r="TGS1000"/>
      <c r="TGT1000"/>
      <c r="TGU1000"/>
      <c r="TGV1000"/>
      <c r="TGW1000"/>
      <c r="TGX1000"/>
      <c r="TGY1000"/>
      <c r="TGZ1000"/>
      <c r="THA1000"/>
      <c r="THB1000"/>
      <c r="THC1000"/>
      <c r="THD1000"/>
      <c r="THE1000"/>
      <c r="THF1000"/>
      <c r="THG1000"/>
      <c r="THH1000"/>
      <c r="THI1000"/>
      <c r="THJ1000"/>
      <c r="THK1000"/>
      <c r="THL1000"/>
      <c r="THM1000"/>
      <c r="THN1000"/>
      <c r="THO1000"/>
      <c r="THP1000"/>
      <c r="THQ1000"/>
      <c r="THR1000"/>
      <c r="THS1000"/>
      <c r="THT1000"/>
      <c r="THU1000"/>
      <c r="THV1000"/>
      <c r="THW1000"/>
      <c r="THX1000"/>
      <c r="THY1000"/>
      <c r="THZ1000"/>
      <c r="TIA1000"/>
      <c r="TIB1000"/>
      <c r="TIC1000"/>
      <c r="TID1000"/>
      <c r="TIE1000"/>
      <c r="TIF1000"/>
      <c r="TIG1000"/>
      <c r="TIH1000"/>
      <c r="TII1000"/>
      <c r="TIJ1000"/>
      <c r="TIK1000"/>
      <c r="TIL1000"/>
      <c r="TIM1000"/>
      <c r="TIN1000"/>
      <c r="TIO1000"/>
      <c r="TIP1000"/>
      <c r="TIQ1000"/>
      <c r="TIR1000"/>
      <c r="TIS1000"/>
      <c r="TIT1000"/>
      <c r="TIU1000"/>
      <c r="TIV1000"/>
      <c r="TIW1000"/>
      <c r="TIX1000"/>
      <c r="TIY1000"/>
      <c r="TIZ1000"/>
      <c r="TJA1000"/>
      <c r="TJB1000"/>
      <c r="TJC1000"/>
      <c r="TJD1000"/>
      <c r="TJE1000"/>
      <c r="TJF1000"/>
      <c r="TJG1000"/>
      <c r="TJH1000"/>
      <c r="TJI1000"/>
      <c r="TJJ1000"/>
      <c r="TJK1000"/>
      <c r="TJL1000"/>
      <c r="TJM1000"/>
      <c r="TJN1000"/>
      <c r="TJO1000"/>
      <c r="TJP1000"/>
      <c r="TJQ1000"/>
      <c r="TJR1000"/>
      <c r="TJS1000"/>
      <c r="TJT1000"/>
      <c r="TJU1000"/>
      <c r="TJV1000"/>
      <c r="TJW1000"/>
      <c r="TJX1000"/>
      <c r="TJY1000"/>
      <c r="TJZ1000"/>
      <c r="TKA1000"/>
      <c r="TKB1000"/>
      <c r="TKC1000"/>
      <c r="TKD1000"/>
      <c r="TKE1000"/>
      <c r="TKF1000"/>
      <c r="TKG1000"/>
      <c r="TKH1000"/>
      <c r="TKI1000"/>
      <c r="TKJ1000"/>
      <c r="TKK1000"/>
      <c r="TKL1000"/>
      <c r="TKM1000"/>
      <c r="TKN1000"/>
      <c r="TKO1000"/>
      <c r="TKP1000"/>
      <c r="TKQ1000"/>
      <c r="TKR1000"/>
      <c r="TKS1000"/>
      <c r="TKT1000"/>
      <c r="TKU1000"/>
      <c r="TKV1000"/>
      <c r="TKW1000"/>
      <c r="TKX1000"/>
      <c r="TKY1000"/>
      <c r="TKZ1000"/>
      <c r="TLA1000"/>
      <c r="TLB1000"/>
      <c r="TLC1000"/>
      <c r="TLD1000"/>
      <c r="TLE1000"/>
      <c r="TLF1000"/>
      <c r="TLG1000"/>
      <c r="TLH1000"/>
      <c r="TLI1000"/>
      <c r="TLJ1000"/>
      <c r="TLK1000"/>
      <c r="TLL1000"/>
      <c r="TLM1000"/>
      <c r="TLN1000"/>
      <c r="TLO1000"/>
      <c r="TLP1000"/>
      <c r="TLQ1000"/>
      <c r="TLR1000"/>
      <c r="TLS1000"/>
      <c r="TLT1000"/>
      <c r="TLU1000"/>
      <c r="TLV1000"/>
      <c r="TLW1000"/>
      <c r="TLX1000"/>
      <c r="TLY1000"/>
      <c r="TLZ1000"/>
      <c r="TMA1000"/>
      <c r="TMB1000"/>
      <c r="TMC1000"/>
      <c r="TMD1000"/>
      <c r="TME1000"/>
      <c r="TMF1000"/>
      <c r="TMG1000"/>
      <c r="TMH1000"/>
      <c r="TMI1000"/>
      <c r="TMJ1000"/>
      <c r="TMK1000"/>
      <c r="TML1000"/>
      <c r="TMM1000"/>
      <c r="TMN1000"/>
      <c r="TMO1000"/>
      <c r="TMP1000"/>
      <c r="TMQ1000"/>
      <c r="TMR1000"/>
      <c r="TMS1000"/>
      <c r="TMT1000"/>
      <c r="TMU1000"/>
      <c r="TMV1000"/>
      <c r="TMW1000"/>
      <c r="TMX1000"/>
      <c r="TMY1000"/>
      <c r="TMZ1000"/>
      <c r="TNA1000"/>
      <c r="TNB1000"/>
      <c r="TNC1000"/>
      <c r="TND1000"/>
      <c r="TNE1000"/>
      <c r="TNF1000"/>
      <c r="TNG1000"/>
      <c r="TNH1000"/>
      <c r="TNI1000"/>
      <c r="TNJ1000"/>
      <c r="TNK1000"/>
      <c r="TNL1000"/>
      <c r="TNM1000"/>
      <c r="TNN1000"/>
      <c r="TNO1000"/>
      <c r="TNP1000"/>
      <c r="TNQ1000"/>
      <c r="TNR1000"/>
      <c r="TNS1000"/>
      <c r="TNT1000"/>
      <c r="TNU1000"/>
      <c r="TNV1000"/>
      <c r="TNW1000"/>
      <c r="TNX1000"/>
      <c r="TNY1000"/>
      <c r="TNZ1000"/>
      <c r="TOA1000"/>
      <c r="TOB1000"/>
      <c r="TOC1000"/>
      <c r="TOD1000"/>
      <c r="TOE1000"/>
      <c r="TOF1000"/>
      <c r="TOG1000"/>
      <c r="TOH1000"/>
      <c r="TOI1000"/>
      <c r="TOJ1000"/>
      <c r="TOK1000"/>
      <c r="TOL1000"/>
      <c r="TOM1000"/>
      <c r="TON1000"/>
      <c r="TOO1000"/>
      <c r="TOP1000"/>
      <c r="TOQ1000"/>
      <c r="TOR1000"/>
      <c r="TOS1000"/>
      <c r="TOT1000"/>
      <c r="TOU1000"/>
      <c r="TOV1000"/>
      <c r="TOW1000"/>
      <c r="TOX1000"/>
      <c r="TOY1000"/>
      <c r="TOZ1000"/>
      <c r="TPA1000"/>
      <c r="TPB1000"/>
      <c r="TPC1000"/>
      <c r="TPD1000"/>
      <c r="TPE1000"/>
      <c r="TPF1000"/>
      <c r="TPG1000"/>
      <c r="TPH1000"/>
      <c r="TPI1000"/>
      <c r="TPJ1000"/>
      <c r="TPK1000"/>
      <c r="TPL1000"/>
      <c r="TPM1000"/>
      <c r="TPN1000"/>
      <c r="TPO1000"/>
      <c r="TPP1000"/>
      <c r="TPQ1000"/>
      <c r="TPR1000"/>
      <c r="TPS1000"/>
      <c r="TPT1000"/>
      <c r="TPU1000"/>
      <c r="TPV1000"/>
      <c r="TPW1000"/>
      <c r="TPX1000"/>
      <c r="TPY1000"/>
      <c r="TPZ1000"/>
      <c r="TQA1000"/>
      <c r="TQB1000"/>
      <c r="TQC1000"/>
      <c r="TQD1000"/>
      <c r="TQE1000"/>
      <c r="TQF1000"/>
      <c r="TQG1000"/>
      <c r="TQH1000"/>
      <c r="TQI1000"/>
      <c r="TQJ1000"/>
      <c r="TQK1000"/>
      <c r="TQL1000"/>
      <c r="TQM1000"/>
      <c r="TQN1000"/>
      <c r="TQO1000"/>
      <c r="TQP1000"/>
      <c r="TQQ1000"/>
      <c r="TQR1000"/>
      <c r="TQS1000"/>
      <c r="TQT1000"/>
      <c r="TQU1000"/>
      <c r="TQV1000"/>
      <c r="TQW1000"/>
      <c r="TQX1000"/>
      <c r="TQY1000"/>
      <c r="TQZ1000"/>
      <c r="TRA1000"/>
      <c r="TRB1000"/>
      <c r="TRC1000"/>
      <c r="TRD1000"/>
      <c r="TRE1000"/>
      <c r="TRF1000"/>
      <c r="TRG1000"/>
      <c r="TRH1000"/>
      <c r="TRI1000"/>
      <c r="TRJ1000"/>
      <c r="TRK1000"/>
      <c r="TRL1000"/>
      <c r="TRM1000"/>
      <c r="TRN1000"/>
      <c r="TRO1000"/>
      <c r="TRP1000"/>
      <c r="TRQ1000"/>
      <c r="TRR1000"/>
      <c r="TRS1000"/>
      <c r="TRT1000"/>
      <c r="TRU1000"/>
      <c r="TRV1000"/>
      <c r="TRW1000"/>
      <c r="TRX1000"/>
      <c r="TRY1000"/>
      <c r="TRZ1000"/>
      <c r="TSA1000"/>
      <c r="TSB1000"/>
      <c r="TSC1000"/>
      <c r="TSD1000"/>
      <c r="TSE1000"/>
      <c r="TSF1000"/>
      <c r="TSG1000"/>
      <c r="TSH1000"/>
      <c r="TSI1000"/>
      <c r="TSJ1000"/>
      <c r="TSK1000"/>
      <c r="TSL1000"/>
      <c r="TSM1000"/>
      <c r="TSN1000"/>
      <c r="TSO1000"/>
      <c r="TSP1000"/>
      <c r="TSQ1000"/>
      <c r="TSR1000"/>
      <c r="TSS1000"/>
      <c r="TST1000"/>
      <c r="TSU1000"/>
      <c r="TSV1000"/>
      <c r="TSW1000"/>
      <c r="TSX1000"/>
      <c r="TSY1000"/>
      <c r="TSZ1000"/>
      <c r="TTA1000"/>
      <c r="TTB1000"/>
      <c r="TTC1000"/>
      <c r="TTD1000"/>
      <c r="TTE1000"/>
      <c r="TTF1000"/>
      <c r="TTG1000"/>
      <c r="TTH1000"/>
      <c r="TTI1000"/>
      <c r="TTJ1000"/>
      <c r="TTK1000"/>
      <c r="TTL1000"/>
      <c r="TTM1000"/>
      <c r="TTN1000"/>
      <c r="TTO1000"/>
      <c r="TTP1000"/>
      <c r="TTQ1000"/>
      <c r="TTR1000"/>
      <c r="TTS1000"/>
      <c r="TTT1000"/>
      <c r="TTU1000"/>
      <c r="TTV1000"/>
      <c r="TTW1000"/>
      <c r="TTX1000"/>
      <c r="TTY1000"/>
      <c r="TTZ1000"/>
      <c r="TUA1000"/>
      <c r="TUB1000"/>
      <c r="TUC1000"/>
      <c r="TUD1000"/>
      <c r="TUE1000"/>
      <c r="TUF1000"/>
      <c r="TUG1000"/>
      <c r="TUH1000"/>
      <c r="TUI1000"/>
      <c r="TUJ1000"/>
      <c r="TUK1000"/>
      <c r="TUL1000"/>
      <c r="TUM1000"/>
      <c r="TUN1000"/>
      <c r="TUO1000"/>
      <c r="TUP1000"/>
      <c r="TUQ1000"/>
      <c r="TUR1000"/>
      <c r="TUS1000"/>
      <c r="TUT1000"/>
      <c r="TUU1000"/>
      <c r="TUV1000"/>
      <c r="TUW1000"/>
      <c r="TUX1000"/>
      <c r="TUY1000"/>
      <c r="TUZ1000"/>
      <c r="TVA1000"/>
      <c r="TVB1000"/>
      <c r="TVC1000"/>
      <c r="TVD1000"/>
      <c r="TVE1000"/>
      <c r="TVF1000"/>
      <c r="TVG1000"/>
      <c r="TVH1000"/>
      <c r="TVI1000"/>
      <c r="TVJ1000"/>
      <c r="TVK1000"/>
      <c r="TVL1000"/>
      <c r="TVM1000"/>
      <c r="TVN1000"/>
      <c r="TVO1000"/>
      <c r="TVP1000"/>
      <c r="TVQ1000"/>
      <c r="TVR1000"/>
      <c r="TVS1000"/>
      <c r="TVT1000"/>
      <c r="TVU1000"/>
      <c r="TVV1000"/>
      <c r="TVW1000"/>
      <c r="TVX1000"/>
      <c r="TVY1000"/>
      <c r="TVZ1000"/>
      <c r="TWA1000"/>
      <c r="TWB1000"/>
      <c r="TWC1000"/>
      <c r="TWD1000"/>
      <c r="TWE1000"/>
      <c r="TWF1000"/>
      <c r="TWG1000"/>
      <c r="TWH1000"/>
      <c r="TWI1000"/>
      <c r="TWJ1000"/>
      <c r="TWK1000"/>
      <c r="TWL1000"/>
      <c r="TWM1000"/>
      <c r="TWN1000"/>
      <c r="TWO1000"/>
      <c r="TWP1000"/>
      <c r="TWQ1000"/>
      <c r="TWR1000"/>
      <c r="TWS1000"/>
      <c r="TWT1000"/>
      <c r="TWU1000"/>
      <c r="TWV1000"/>
      <c r="TWW1000"/>
      <c r="TWX1000"/>
      <c r="TWY1000"/>
      <c r="TWZ1000"/>
      <c r="TXA1000"/>
      <c r="TXB1000"/>
      <c r="TXC1000"/>
      <c r="TXD1000"/>
      <c r="TXE1000"/>
      <c r="TXF1000"/>
      <c r="TXG1000"/>
      <c r="TXH1000"/>
      <c r="TXI1000"/>
      <c r="TXJ1000"/>
      <c r="TXK1000"/>
      <c r="TXL1000"/>
      <c r="TXM1000"/>
      <c r="TXN1000"/>
      <c r="TXO1000"/>
      <c r="TXP1000"/>
      <c r="TXQ1000"/>
      <c r="TXR1000"/>
      <c r="TXS1000"/>
      <c r="TXT1000"/>
      <c r="TXU1000"/>
      <c r="TXV1000"/>
      <c r="TXW1000"/>
      <c r="TXX1000"/>
      <c r="TXY1000"/>
      <c r="TXZ1000"/>
      <c r="TYA1000"/>
      <c r="TYB1000"/>
      <c r="TYC1000"/>
      <c r="TYD1000"/>
      <c r="TYE1000"/>
      <c r="TYF1000"/>
      <c r="TYG1000"/>
      <c r="TYH1000"/>
      <c r="TYI1000"/>
      <c r="TYJ1000"/>
      <c r="TYK1000"/>
      <c r="TYL1000"/>
      <c r="TYM1000"/>
      <c r="TYN1000"/>
      <c r="TYO1000"/>
      <c r="TYP1000"/>
      <c r="TYQ1000"/>
      <c r="TYR1000"/>
      <c r="TYS1000"/>
      <c r="TYT1000"/>
      <c r="TYU1000"/>
      <c r="TYV1000"/>
      <c r="TYW1000"/>
      <c r="TYX1000"/>
      <c r="TYY1000"/>
      <c r="TYZ1000"/>
      <c r="TZA1000"/>
      <c r="TZB1000"/>
      <c r="TZC1000"/>
      <c r="TZD1000"/>
      <c r="TZE1000"/>
      <c r="TZF1000"/>
      <c r="TZG1000"/>
      <c r="TZH1000"/>
      <c r="TZI1000"/>
      <c r="TZJ1000"/>
      <c r="TZK1000"/>
      <c r="TZL1000"/>
      <c r="TZM1000"/>
      <c r="TZN1000"/>
      <c r="TZO1000"/>
      <c r="TZP1000"/>
      <c r="TZQ1000"/>
      <c r="TZR1000"/>
      <c r="TZS1000"/>
      <c r="TZT1000"/>
      <c r="TZU1000"/>
      <c r="TZV1000"/>
      <c r="TZW1000"/>
      <c r="TZX1000"/>
      <c r="TZY1000"/>
      <c r="TZZ1000"/>
      <c r="UAA1000"/>
      <c r="UAB1000"/>
      <c r="UAC1000"/>
      <c r="UAD1000"/>
      <c r="UAE1000"/>
      <c r="UAF1000"/>
      <c r="UAG1000"/>
      <c r="UAH1000"/>
      <c r="UAI1000"/>
      <c r="UAJ1000"/>
      <c r="UAK1000"/>
      <c r="UAL1000"/>
      <c r="UAM1000"/>
      <c r="UAN1000"/>
      <c r="UAO1000"/>
      <c r="UAP1000"/>
      <c r="UAQ1000"/>
      <c r="UAR1000"/>
      <c r="UAS1000"/>
      <c r="UAT1000"/>
      <c r="UAU1000"/>
      <c r="UAV1000"/>
      <c r="UAW1000"/>
      <c r="UAX1000"/>
      <c r="UAY1000"/>
      <c r="UAZ1000"/>
      <c r="UBA1000"/>
      <c r="UBB1000"/>
      <c r="UBC1000"/>
      <c r="UBD1000"/>
      <c r="UBE1000"/>
      <c r="UBF1000"/>
      <c r="UBG1000"/>
      <c r="UBH1000"/>
      <c r="UBI1000"/>
      <c r="UBJ1000"/>
      <c r="UBK1000"/>
      <c r="UBL1000"/>
      <c r="UBM1000"/>
      <c r="UBN1000"/>
      <c r="UBO1000"/>
      <c r="UBP1000"/>
      <c r="UBQ1000"/>
      <c r="UBR1000"/>
      <c r="UBS1000"/>
      <c r="UBT1000"/>
      <c r="UBU1000"/>
      <c r="UBV1000"/>
      <c r="UBW1000"/>
      <c r="UBX1000"/>
      <c r="UBY1000"/>
      <c r="UBZ1000"/>
      <c r="UCA1000"/>
      <c r="UCB1000"/>
      <c r="UCC1000"/>
      <c r="UCD1000"/>
      <c r="UCE1000"/>
      <c r="UCF1000"/>
      <c r="UCG1000"/>
      <c r="UCH1000"/>
      <c r="UCI1000"/>
      <c r="UCJ1000"/>
      <c r="UCK1000"/>
      <c r="UCL1000"/>
      <c r="UCM1000"/>
      <c r="UCN1000"/>
      <c r="UCO1000"/>
      <c r="UCP1000"/>
      <c r="UCQ1000"/>
      <c r="UCR1000"/>
      <c r="UCS1000"/>
      <c r="UCT1000"/>
      <c r="UCU1000"/>
      <c r="UCV1000"/>
      <c r="UCW1000"/>
      <c r="UCX1000"/>
      <c r="UCY1000"/>
      <c r="UCZ1000"/>
      <c r="UDA1000"/>
      <c r="UDB1000"/>
      <c r="UDC1000"/>
      <c r="UDD1000"/>
      <c r="UDE1000"/>
      <c r="UDF1000"/>
      <c r="UDG1000"/>
      <c r="UDH1000"/>
      <c r="UDI1000"/>
      <c r="UDJ1000"/>
      <c r="UDK1000"/>
      <c r="UDL1000"/>
      <c r="UDM1000"/>
      <c r="UDN1000"/>
      <c r="UDO1000"/>
      <c r="UDP1000"/>
      <c r="UDQ1000"/>
      <c r="UDR1000"/>
      <c r="UDS1000"/>
      <c r="UDT1000"/>
      <c r="UDU1000"/>
      <c r="UDV1000"/>
      <c r="UDW1000"/>
      <c r="UDX1000"/>
      <c r="UDY1000"/>
      <c r="UDZ1000"/>
      <c r="UEA1000"/>
      <c r="UEB1000"/>
      <c r="UEC1000"/>
      <c r="UED1000"/>
      <c r="UEE1000"/>
      <c r="UEF1000"/>
      <c r="UEG1000"/>
      <c r="UEH1000"/>
      <c r="UEI1000"/>
      <c r="UEJ1000"/>
      <c r="UEK1000"/>
      <c r="UEL1000"/>
      <c r="UEM1000"/>
      <c r="UEN1000"/>
      <c r="UEO1000"/>
      <c r="UEP1000"/>
      <c r="UEQ1000"/>
      <c r="UER1000"/>
      <c r="UES1000"/>
      <c r="UET1000"/>
      <c r="UEU1000"/>
      <c r="UEV1000"/>
      <c r="UEW1000"/>
      <c r="UEX1000"/>
      <c r="UEY1000"/>
      <c r="UEZ1000"/>
      <c r="UFA1000"/>
      <c r="UFB1000"/>
      <c r="UFC1000"/>
      <c r="UFD1000"/>
      <c r="UFE1000"/>
      <c r="UFF1000"/>
      <c r="UFG1000"/>
      <c r="UFH1000"/>
      <c r="UFI1000"/>
      <c r="UFJ1000"/>
      <c r="UFK1000"/>
      <c r="UFL1000"/>
      <c r="UFM1000"/>
      <c r="UFN1000"/>
      <c r="UFO1000"/>
      <c r="UFP1000"/>
      <c r="UFQ1000"/>
      <c r="UFR1000"/>
      <c r="UFS1000"/>
      <c r="UFT1000"/>
      <c r="UFU1000"/>
      <c r="UFV1000"/>
      <c r="UFW1000"/>
      <c r="UFX1000"/>
      <c r="UFY1000"/>
      <c r="UFZ1000"/>
      <c r="UGA1000"/>
      <c r="UGB1000"/>
      <c r="UGC1000"/>
      <c r="UGD1000"/>
      <c r="UGE1000"/>
      <c r="UGF1000"/>
      <c r="UGG1000"/>
      <c r="UGH1000"/>
      <c r="UGI1000"/>
      <c r="UGJ1000"/>
      <c r="UGK1000"/>
      <c r="UGL1000"/>
      <c r="UGM1000"/>
      <c r="UGN1000"/>
      <c r="UGO1000"/>
      <c r="UGP1000"/>
      <c r="UGQ1000"/>
      <c r="UGR1000"/>
      <c r="UGS1000"/>
      <c r="UGT1000"/>
      <c r="UGU1000"/>
      <c r="UGV1000"/>
      <c r="UGW1000"/>
      <c r="UGX1000"/>
      <c r="UGY1000"/>
      <c r="UGZ1000"/>
      <c r="UHA1000"/>
      <c r="UHB1000"/>
      <c r="UHC1000"/>
      <c r="UHD1000"/>
      <c r="UHE1000"/>
      <c r="UHF1000"/>
      <c r="UHG1000"/>
      <c r="UHH1000"/>
      <c r="UHI1000"/>
      <c r="UHJ1000"/>
      <c r="UHK1000"/>
      <c r="UHL1000"/>
      <c r="UHM1000"/>
      <c r="UHN1000"/>
      <c r="UHO1000"/>
      <c r="UHP1000"/>
      <c r="UHQ1000"/>
      <c r="UHR1000"/>
      <c r="UHS1000"/>
      <c r="UHT1000"/>
      <c r="UHU1000"/>
      <c r="UHV1000"/>
      <c r="UHW1000"/>
      <c r="UHX1000"/>
      <c r="UHY1000"/>
      <c r="UHZ1000"/>
      <c r="UIA1000"/>
      <c r="UIB1000"/>
      <c r="UIC1000"/>
      <c r="UID1000"/>
      <c r="UIE1000"/>
      <c r="UIF1000"/>
      <c r="UIG1000"/>
      <c r="UIH1000"/>
      <c r="UII1000"/>
      <c r="UIJ1000"/>
      <c r="UIK1000"/>
      <c r="UIL1000"/>
      <c r="UIM1000"/>
      <c r="UIN1000"/>
      <c r="UIO1000"/>
      <c r="UIP1000"/>
      <c r="UIQ1000"/>
      <c r="UIR1000"/>
      <c r="UIS1000"/>
      <c r="UIT1000"/>
      <c r="UIU1000"/>
      <c r="UIV1000"/>
      <c r="UIW1000"/>
      <c r="UIX1000"/>
      <c r="UIY1000"/>
      <c r="UIZ1000"/>
      <c r="UJA1000"/>
      <c r="UJB1000"/>
      <c r="UJC1000"/>
      <c r="UJD1000"/>
      <c r="UJE1000"/>
      <c r="UJF1000"/>
      <c r="UJG1000"/>
      <c r="UJH1000"/>
      <c r="UJI1000"/>
      <c r="UJJ1000"/>
      <c r="UJK1000"/>
      <c r="UJL1000"/>
      <c r="UJM1000"/>
      <c r="UJN1000"/>
      <c r="UJO1000"/>
      <c r="UJP1000"/>
      <c r="UJQ1000"/>
      <c r="UJR1000"/>
      <c r="UJS1000"/>
      <c r="UJT1000"/>
      <c r="UJU1000"/>
      <c r="UJV1000"/>
      <c r="UJW1000"/>
      <c r="UJX1000"/>
      <c r="UJY1000"/>
      <c r="UJZ1000"/>
      <c r="UKA1000"/>
      <c r="UKB1000"/>
      <c r="UKC1000"/>
      <c r="UKD1000"/>
      <c r="UKE1000"/>
      <c r="UKF1000"/>
      <c r="UKG1000"/>
      <c r="UKH1000"/>
      <c r="UKI1000"/>
      <c r="UKJ1000"/>
      <c r="UKK1000"/>
      <c r="UKL1000"/>
      <c r="UKM1000"/>
      <c r="UKN1000"/>
      <c r="UKO1000"/>
      <c r="UKP1000"/>
      <c r="UKQ1000"/>
      <c r="UKR1000"/>
      <c r="UKS1000"/>
      <c r="UKT1000"/>
      <c r="UKU1000"/>
      <c r="UKV1000"/>
      <c r="UKW1000"/>
      <c r="UKX1000"/>
      <c r="UKY1000"/>
      <c r="UKZ1000"/>
      <c r="ULA1000"/>
      <c r="ULB1000"/>
      <c r="ULC1000"/>
      <c r="ULD1000"/>
      <c r="ULE1000"/>
      <c r="ULF1000"/>
      <c r="ULG1000"/>
      <c r="ULH1000"/>
      <c r="ULI1000"/>
      <c r="ULJ1000"/>
      <c r="ULK1000"/>
      <c r="ULL1000"/>
      <c r="ULM1000"/>
      <c r="ULN1000"/>
      <c r="ULO1000"/>
      <c r="ULP1000"/>
      <c r="ULQ1000"/>
      <c r="ULR1000"/>
      <c r="ULS1000"/>
      <c r="ULT1000"/>
      <c r="ULU1000"/>
      <c r="ULV1000"/>
      <c r="ULW1000"/>
      <c r="ULX1000"/>
      <c r="ULY1000"/>
      <c r="ULZ1000"/>
      <c r="UMA1000"/>
      <c r="UMB1000"/>
      <c r="UMC1000"/>
      <c r="UMD1000"/>
      <c r="UME1000"/>
      <c r="UMF1000"/>
      <c r="UMG1000"/>
      <c r="UMH1000"/>
      <c r="UMI1000"/>
      <c r="UMJ1000"/>
      <c r="UMK1000"/>
      <c r="UML1000"/>
      <c r="UMM1000"/>
      <c r="UMN1000"/>
      <c r="UMO1000"/>
      <c r="UMP1000"/>
      <c r="UMQ1000"/>
      <c r="UMR1000"/>
      <c r="UMS1000"/>
      <c r="UMT1000"/>
      <c r="UMU1000"/>
      <c r="UMV1000"/>
      <c r="UMW1000"/>
      <c r="UMX1000"/>
      <c r="UMY1000"/>
      <c r="UMZ1000"/>
      <c r="UNA1000"/>
      <c r="UNB1000"/>
      <c r="UNC1000"/>
      <c r="UND1000"/>
      <c r="UNE1000"/>
      <c r="UNF1000"/>
      <c r="UNG1000"/>
      <c r="UNH1000"/>
      <c r="UNI1000"/>
      <c r="UNJ1000"/>
      <c r="UNK1000"/>
      <c r="UNL1000"/>
      <c r="UNM1000"/>
      <c r="UNN1000"/>
      <c r="UNO1000"/>
      <c r="UNP1000"/>
      <c r="UNQ1000"/>
      <c r="UNR1000"/>
      <c r="UNS1000"/>
      <c r="UNT1000"/>
      <c r="UNU1000"/>
      <c r="UNV1000"/>
      <c r="UNW1000"/>
      <c r="UNX1000"/>
      <c r="UNY1000"/>
      <c r="UNZ1000"/>
      <c r="UOA1000"/>
      <c r="UOB1000"/>
      <c r="UOC1000"/>
      <c r="UOD1000"/>
      <c r="UOE1000"/>
      <c r="UOF1000"/>
      <c r="UOG1000"/>
      <c r="UOH1000"/>
      <c r="UOI1000"/>
      <c r="UOJ1000"/>
      <c r="UOK1000"/>
      <c r="UOL1000"/>
      <c r="UOM1000"/>
      <c r="UON1000"/>
      <c r="UOO1000"/>
      <c r="UOP1000"/>
      <c r="UOQ1000"/>
      <c r="UOR1000"/>
      <c r="UOS1000"/>
      <c r="UOT1000"/>
      <c r="UOU1000"/>
      <c r="UOV1000"/>
      <c r="UOW1000"/>
      <c r="UOX1000"/>
      <c r="UOY1000"/>
      <c r="UOZ1000"/>
      <c r="UPA1000"/>
      <c r="UPB1000"/>
      <c r="UPC1000"/>
      <c r="UPD1000"/>
      <c r="UPE1000"/>
      <c r="UPF1000"/>
      <c r="UPG1000"/>
      <c r="UPH1000"/>
      <c r="UPI1000"/>
      <c r="UPJ1000"/>
      <c r="UPK1000"/>
      <c r="UPL1000"/>
      <c r="UPM1000"/>
      <c r="UPN1000"/>
      <c r="UPO1000"/>
      <c r="UPP1000"/>
      <c r="UPQ1000"/>
      <c r="UPR1000"/>
      <c r="UPS1000"/>
      <c r="UPT1000"/>
      <c r="UPU1000"/>
      <c r="UPV1000"/>
      <c r="UPW1000"/>
      <c r="UPX1000"/>
      <c r="UPY1000"/>
      <c r="UPZ1000"/>
      <c r="UQA1000"/>
      <c r="UQB1000"/>
      <c r="UQC1000"/>
      <c r="UQD1000"/>
      <c r="UQE1000"/>
      <c r="UQF1000"/>
      <c r="UQG1000"/>
      <c r="UQH1000"/>
      <c r="UQI1000"/>
      <c r="UQJ1000"/>
      <c r="UQK1000"/>
      <c r="UQL1000"/>
      <c r="UQM1000"/>
      <c r="UQN1000"/>
      <c r="UQO1000"/>
      <c r="UQP1000"/>
      <c r="UQQ1000"/>
      <c r="UQR1000"/>
      <c r="UQS1000"/>
      <c r="UQT1000"/>
      <c r="UQU1000"/>
      <c r="UQV1000"/>
      <c r="UQW1000"/>
      <c r="UQX1000"/>
      <c r="UQY1000"/>
      <c r="UQZ1000"/>
      <c r="URA1000"/>
      <c r="URB1000"/>
      <c r="URC1000"/>
      <c r="URD1000"/>
      <c r="URE1000"/>
      <c r="URF1000"/>
      <c r="URG1000"/>
      <c r="URH1000"/>
      <c r="URI1000"/>
      <c r="URJ1000"/>
      <c r="URK1000"/>
      <c r="URL1000"/>
      <c r="URM1000"/>
      <c r="URN1000"/>
      <c r="URO1000"/>
      <c r="URP1000"/>
      <c r="URQ1000"/>
      <c r="URR1000"/>
      <c r="URS1000"/>
      <c r="URT1000"/>
      <c r="URU1000"/>
      <c r="URV1000"/>
      <c r="URW1000"/>
      <c r="URX1000"/>
      <c r="URY1000"/>
      <c r="URZ1000"/>
      <c r="USA1000"/>
      <c r="USB1000"/>
      <c r="USC1000"/>
      <c r="USD1000"/>
      <c r="USE1000"/>
      <c r="USF1000"/>
      <c r="USG1000"/>
      <c r="USH1000"/>
      <c r="USI1000"/>
      <c r="USJ1000"/>
      <c r="USK1000"/>
      <c r="USL1000"/>
      <c r="USM1000"/>
      <c r="USN1000"/>
      <c r="USO1000"/>
      <c r="USP1000"/>
      <c r="USQ1000"/>
      <c r="USR1000"/>
      <c r="USS1000"/>
      <c r="UST1000"/>
      <c r="USU1000"/>
      <c r="USV1000"/>
      <c r="USW1000"/>
      <c r="USX1000"/>
      <c r="USY1000"/>
      <c r="USZ1000"/>
      <c r="UTA1000"/>
      <c r="UTB1000"/>
      <c r="UTC1000"/>
      <c r="UTD1000"/>
      <c r="UTE1000"/>
      <c r="UTF1000"/>
      <c r="UTG1000"/>
      <c r="UTH1000"/>
      <c r="UTI1000"/>
      <c r="UTJ1000"/>
      <c r="UTK1000"/>
      <c r="UTL1000"/>
      <c r="UTM1000"/>
      <c r="UTN1000"/>
      <c r="UTO1000"/>
      <c r="UTP1000"/>
      <c r="UTQ1000"/>
      <c r="UTR1000"/>
      <c r="UTS1000"/>
      <c r="UTT1000"/>
      <c r="UTU1000"/>
      <c r="UTV1000"/>
      <c r="UTW1000"/>
      <c r="UTX1000"/>
      <c r="UTY1000"/>
      <c r="UTZ1000"/>
      <c r="UUA1000"/>
      <c r="UUB1000"/>
      <c r="UUC1000"/>
      <c r="UUD1000"/>
      <c r="UUE1000"/>
      <c r="UUF1000"/>
      <c r="UUG1000"/>
      <c r="UUH1000"/>
      <c r="UUI1000"/>
      <c r="UUJ1000"/>
      <c r="UUK1000"/>
      <c r="UUL1000"/>
      <c r="UUM1000"/>
      <c r="UUN1000"/>
      <c r="UUO1000"/>
      <c r="UUP1000"/>
      <c r="UUQ1000"/>
      <c r="UUR1000"/>
      <c r="UUS1000"/>
      <c r="UUT1000"/>
      <c r="UUU1000"/>
      <c r="UUV1000"/>
      <c r="UUW1000"/>
      <c r="UUX1000"/>
      <c r="UUY1000"/>
      <c r="UUZ1000"/>
      <c r="UVA1000"/>
      <c r="UVB1000"/>
      <c r="UVC1000"/>
      <c r="UVD1000"/>
      <c r="UVE1000"/>
      <c r="UVF1000"/>
      <c r="UVG1000"/>
      <c r="UVH1000"/>
      <c r="UVI1000"/>
      <c r="UVJ1000"/>
      <c r="UVK1000"/>
      <c r="UVL1000"/>
      <c r="UVM1000"/>
      <c r="UVN1000"/>
      <c r="UVO1000"/>
      <c r="UVP1000"/>
      <c r="UVQ1000"/>
      <c r="UVR1000"/>
      <c r="UVS1000"/>
      <c r="UVT1000"/>
      <c r="UVU1000"/>
      <c r="UVV1000"/>
      <c r="UVW1000"/>
      <c r="UVX1000"/>
      <c r="UVY1000"/>
      <c r="UVZ1000"/>
      <c r="UWA1000"/>
      <c r="UWB1000"/>
      <c r="UWC1000"/>
      <c r="UWD1000"/>
      <c r="UWE1000"/>
      <c r="UWF1000"/>
      <c r="UWG1000"/>
      <c r="UWH1000"/>
      <c r="UWI1000"/>
      <c r="UWJ1000"/>
      <c r="UWK1000"/>
      <c r="UWL1000"/>
      <c r="UWM1000"/>
      <c r="UWN1000"/>
      <c r="UWO1000"/>
      <c r="UWP1000"/>
      <c r="UWQ1000"/>
      <c r="UWR1000"/>
      <c r="UWS1000"/>
      <c r="UWT1000"/>
      <c r="UWU1000"/>
      <c r="UWV1000"/>
      <c r="UWW1000"/>
      <c r="UWX1000"/>
      <c r="UWY1000"/>
      <c r="UWZ1000"/>
      <c r="UXA1000"/>
      <c r="UXB1000"/>
      <c r="UXC1000"/>
      <c r="UXD1000"/>
      <c r="UXE1000"/>
      <c r="UXF1000"/>
      <c r="UXG1000"/>
      <c r="UXH1000"/>
      <c r="UXI1000"/>
      <c r="UXJ1000"/>
      <c r="UXK1000"/>
      <c r="UXL1000"/>
      <c r="UXM1000"/>
      <c r="UXN1000"/>
      <c r="UXO1000"/>
      <c r="UXP1000"/>
      <c r="UXQ1000"/>
      <c r="UXR1000"/>
      <c r="UXS1000"/>
      <c r="UXT1000"/>
      <c r="UXU1000"/>
      <c r="UXV1000"/>
      <c r="UXW1000"/>
      <c r="UXX1000"/>
      <c r="UXY1000"/>
      <c r="UXZ1000"/>
      <c r="UYA1000"/>
      <c r="UYB1000"/>
      <c r="UYC1000"/>
      <c r="UYD1000"/>
      <c r="UYE1000"/>
      <c r="UYF1000"/>
      <c r="UYG1000"/>
      <c r="UYH1000"/>
      <c r="UYI1000"/>
      <c r="UYJ1000"/>
      <c r="UYK1000"/>
      <c r="UYL1000"/>
      <c r="UYM1000"/>
      <c r="UYN1000"/>
      <c r="UYO1000"/>
      <c r="UYP1000"/>
      <c r="UYQ1000"/>
      <c r="UYR1000"/>
      <c r="UYS1000"/>
      <c r="UYT1000"/>
      <c r="UYU1000"/>
      <c r="UYV1000"/>
      <c r="UYW1000"/>
      <c r="UYX1000"/>
      <c r="UYY1000"/>
      <c r="UYZ1000"/>
      <c r="UZA1000"/>
      <c r="UZB1000"/>
      <c r="UZC1000"/>
      <c r="UZD1000"/>
      <c r="UZE1000"/>
      <c r="UZF1000"/>
      <c r="UZG1000"/>
      <c r="UZH1000"/>
      <c r="UZI1000"/>
      <c r="UZJ1000"/>
      <c r="UZK1000"/>
      <c r="UZL1000"/>
      <c r="UZM1000"/>
      <c r="UZN1000"/>
      <c r="UZO1000"/>
      <c r="UZP1000"/>
      <c r="UZQ1000"/>
      <c r="UZR1000"/>
      <c r="UZS1000"/>
      <c r="UZT1000"/>
      <c r="UZU1000"/>
      <c r="UZV1000"/>
      <c r="UZW1000"/>
      <c r="UZX1000"/>
      <c r="UZY1000"/>
      <c r="UZZ1000"/>
      <c r="VAA1000"/>
      <c r="VAB1000"/>
      <c r="VAC1000"/>
      <c r="VAD1000"/>
      <c r="VAE1000"/>
      <c r="VAF1000"/>
      <c r="VAG1000"/>
      <c r="VAH1000"/>
      <c r="VAI1000"/>
      <c r="VAJ1000"/>
      <c r="VAK1000"/>
      <c r="VAL1000"/>
      <c r="VAM1000"/>
      <c r="VAN1000"/>
      <c r="VAO1000"/>
      <c r="VAP1000"/>
      <c r="VAQ1000"/>
      <c r="VAR1000"/>
      <c r="VAS1000"/>
      <c r="VAT1000"/>
      <c r="VAU1000"/>
      <c r="VAV1000"/>
      <c r="VAW1000"/>
      <c r="VAX1000"/>
      <c r="VAY1000"/>
      <c r="VAZ1000"/>
      <c r="VBA1000"/>
      <c r="VBB1000"/>
      <c r="VBC1000"/>
      <c r="VBD1000"/>
      <c r="VBE1000"/>
      <c r="VBF1000"/>
      <c r="VBG1000"/>
      <c r="VBH1000"/>
      <c r="VBI1000"/>
      <c r="VBJ1000"/>
      <c r="VBK1000"/>
      <c r="VBL1000"/>
      <c r="VBM1000"/>
      <c r="VBN1000"/>
      <c r="VBO1000"/>
      <c r="VBP1000"/>
      <c r="VBQ1000"/>
      <c r="VBR1000"/>
      <c r="VBS1000"/>
      <c r="VBT1000"/>
      <c r="VBU1000"/>
      <c r="VBV1000"/>
      <c r="VBW1000"/>
      <c r="VBX1000"/>
      <c r="VBY1000"/>
      <c r="VBZ1000"/>
      <c r="VCA1000"/>
      <c r="VCB1000"/>
      <c r="VCC1000"/>
      <c r="VCD1000"/>
      <c r="VCE1000"/>
      <c r="VCF1000"/>
      <c r="VCG1000"/>
      <c r="VCH1000"/>
      <c r="VCI1000"/>
      <c r="VCJ1000"/>
      <c r="VCK1000"/>
      <c r="VCL1000"/>
      <c r="VCM1000"/>
      <c r="VCN1000"/>
      <c r="VCO1000"/>
      <c r="VCP1000"/>
      <c r="VCQ1000"/>
      <c r="VCR1000"/>
      <c r="VCS1000"/>
      <c r="VCT1000"/>
      <c r="VCU1000"/>
      <c r="VCV1000"/>
      <c r="VCW1000"/>
      <c r="VCX1000"/>
      <c r="VCY1000"/>
      <c r="VCZ1000"/>
      <c r="VDA1000"/>
      <c r="VDB1000"/>
      <c r="VDC1000"/>
      <c r="VDD1000"/>
      <c r="VDE1000"/>
      <c r="VDF1000"/>
      <c r="VDG1000"/>
      <c r="VDH1000"/>
      <c r="VDI1000"/>
      <c r="VDJ1000"/>
      <c r="VDK1000"/>
      <c r="VDL1000"/>
      <c r="VDM1000"/>
      <c r="VDN1000"/>
      <c r="VDO1000"/>
      <c r="VDP1000"/>
      <c r="VDQ1000"/>
      <c r="VDR1000"/>
      <c r="VDS1000"/>
      <c r="VDT1000"/>
      <c r="VDU1000"/>
      <c r="VDV1000"/>
      <c r="VDW1000"/>
      <c r="VDX1000"/>
      <c r="VDY1000"/>
      <c r="VDZ1000"/>
      <c r="VEA1000"/>
      <c r="VEB1000"/>
      <c r="VEC1000"/>
      <c r="VED1000"/>
      <c r="VEE1000"/>
      <c r="VEF1000"/>
      <c r="VEG1000"/>
      <c r="VEH1000"/>
      <c r="VEI1000"/>
      <c r="VEJ1000"/>
      <c r="VEK1000"/>
      <c r="VEL1000"/>
      <c r="VEM1000"/>
      <c r="VEN1000"/>
      <c r="VEO1000"/>
      <c r="VEP1000"/>
      <c r="VEQ1000"/>
      <c r="VER1000"/>
      <c r="VES1000"/>
      <c r="VET1000"/>
      <c r="VEU1000"/>
      <c r="VEV1000"/>
      <c r="VEW1000"/>
      <c r="VEX1000"/>
      <c r="VEY1000"/>
      <c r="VEZ1000"/>
      <c r="VFA1000"/>
      <c r="VFB1000"/>
      <c r="VFC1000"/>
      <c r="VFD1000"/>
      <c r="VFE1000"/>
      <c r="VFF1000"/>
      <c r="VFG1000"/>
      <c r="VFH1000"/>
      <c r="VFI1000"/>
      <c r="VFJ1000"/>
      <c r="VFK1000"/>
      <c r="VFL1000"/>
      <c r="VFM1000"/>
      <c r="VFN1000"/>
      <c r="VFO1000"/>
      <c r="VFP1000"/>
      <c r="VFQ1000"/>
      <c r="VFR1000"/>
      <c r="VFS1000"/>
      <c r="VFT1000"/>
      <c r="VFU1000"/>
      <c r="VFV1000"/>
      <c r="VFW1000"/>
      <c r="VFX1000"/>
      <c r="VFY1000"/>
      <c r="VFZ1000"/>
      <c r="VGA1000"/>
      <c r="VGB1000"/>
      <c r="VGC1000"/>
      <c r="VGD1000"/>
      <c r="VGE1000"/>
      <c r="VGF1000"/>
      <c r="VGG1000"/>
      <c r="VGH1000"/>
      <c r="VGI1000"/>
      <c r="VGJ1000"/>
      <c r="VGK1000"/>
      <c r="VGL1000"/>
      <c r="VGM1000"/>
      <c r="VGN1000"/>
      <c r="VGO1000"/>
      <c r="VGP1000"/>
      <c r="VGQ1000"/>
      <c r="VGR1000"/>
      <c r="VGS1000"/>
      <c r="VGT1000"/>
      <c r="VGU1000"/>
      <c r="VGV1000"/>
      <c r="VGW1000"/>
      <c r="VGX1000"/>
      <c r="VGY1000"/>
      <c r="VGZ1000"/>
      <c r="VHA1000"/>
      <c r="VHB1000"/>
      <c r="VHC1000"/>
      <c r="VHD1000"/>
      <c r="VHE1000"/>
      <c r="VHF1000"/>
      <c r="VHG1000"/>
      <c r="VHH1000"/>
      <c r="VHI1000"/>
      <c r="VHJ1000"/>
      <c r="VHK1000"/>
      <c r="VHL1000"/>
      <c r="VHM1000"/>
      <c r="VHN1000"/>
      <c r="VHO1000"/>
      <c r="VHP1000"/>
      <c r="VHQ1000"/>
      <c r="VHR1000"/>
      <c r="VHS1000"/>
      <c r="VHT1000"/>
      <c r="VHU1000"/>
      <c r="VHV1000"/>
      <c r="VHW1000"/>
      <c r="VHX1000"/>
      <c r="VHY1000"/>
      <c r="VHZ1000"/>
      <c r="VIA1000"/>
      <c r="VIB1000"/>
      <c r="VIC1000"/>
      <c r="VID1000"/>
      <c r="VIE1000"/>
      <c r="VIF1000"/>
      <c r="VIG1000"/>
      <c r="VIH1000"/>
      <c r="VII1000"/>
      <c r="VIJ1000"/>
      <c r="VIK1000"/>
      <c r="VIL1000"/>
      <c r="VIM1000"/>
      <c r="VIN1000"/>
      <c r="VIO1000"/>
      <c r="VIP1000"/>
      <c r="VIQ1000"/>
      <c r="VIR1000"/>
      <c r="VIS1000"/>
      <c r="VIT1000"/>
      <c r="VIU1000"/>
      <c r="VIV1000"/>
      <c r="VIW1000"/>
      <c r="VIX1000"/>
      <c r="VIY1000"/>
      <c r="VIZ1000"/>
      <c r="VJA1000"/>
      <c r="VJB1000"/>
      <c r="VJC1000"/>
      <c r="VJD1000"/>
      <c r="VJE1000"/>
      <c r="VJF1000"/>
      <c r="VJG1000"/>
      <c r="VJH1000"/>
      <c r="VJI1000"/>
      <c r="VJJ1000"/>
      <c r="VJK1000"/>
      <c r="VJL1000"/>
      <c r="VJM1000"/>
      <c r="VJN1000"/>
      <c r="VJO1000"/>
      <c r="VJP1000"/>
      <c r="VJQ1000"/>
      <c r="VJR1000"/>
      <c r="VJS1000"/>
      <c r="VJT1000"/>
      <c r="VJU1000"/>
      <c r="VJV1000"/>
      <c r="VJW1000"/>
      <c r="VJX1000"/>
      <c r="VJY1000"/>
      <c r="VJZ1000"/>
      <c r="VKA1000"/>
      <c r="VKB1000"/>
      <c r="VKC1000"/>
      <c r="VKD1000"/>
      <c r="VKE1000"/>
      <c r="VKF1000"/>
      <c r="VKG1000"/>
      <c r="VKH1000"/>
      <c r="VKI1000"/>
      <c r="VKJ1000"/>
      <c r="VKK1000"/>
      <c r="VKL1000"/>
      <c r="VKM1000"/>
      <c r="VKN1000"/>
      <c r="VKO1000"/>
      <c r="VKP1000"/>
      <c r="VKQ1000"/>
      <c r="VKR1000"/>
      <c r="VKS1000"/>
      <c r="VKT1000"/>
      <c r="VKU1000"/>
      <c r="VKV1000"/>
      <c r="VKW1000"/>
      <c r="VKX1000"/>
      <c r="VKY1000"/>
      <c r="VKZ1000"/>
      <c r="VLA1000"/>
      <c r="VLB1000"/>
      <c r="VLC1000"/>
      <c r="VLD1000"/>
      <c r="VLE1000"/>
      <c r="VLF1000"/>
      <c r="VLG1000"/>
      <c r="VLH1000"/>
      <c r="VLI1000"/>
      <c r="VLJ1000"/>
      <c r="VLK1000"/>
      <c r="VLL1000"/>
      <c r="VLM1000"/>
      <c r="VLN1000"/>
      <c r="VLO1000"/>
      <c r="VLP1000"/>
      <c r="VLQ1000"/>
      <c r="VLR1000"/>
      <c r="VLS1000"/>
      <c r="VLT1000"/>
      <c r="VLU1000"/>
      <c r="VLV1000"/>
      <c r="VLW1000"/>
      <c r="VLX1000"/>
      <c r="VLY1000"/>
      <c r="VLZ1000"/>
      <c r="VMA1000"/>
      <c r="VMB1000"/>
      <c r="VMC1000"/>
      <c r="VMD1000"/>
      <c r="VME1000"/>
      <c r="VMF1000"/>
      <c r="VMG1000"/>
      <c r="VMH1000"/>
      <c r="VMI1000"/>
      <c r="VMJ1000"/>
      <c r="VMK1000"/>
      <c r="VML1000"/>
      <c r="VMM1000"/>
      <c r="VMN1000"/>
      <c r="VMO1000"/>
      <c r="VMP1000"/>
      <c r="VMQ1000"/>
      <c r="VMR1000"/>
      <c r="VMS1000"/>
      <c r="VMT1000"/>
      <c r="VMU1000"/>
      <c r="VMV1000"/>
      <c r="VMW1000"/>
      <c r="VMX1000"/>
      <c r="VMY1000"/>
      <c r="VMZ1000"/>
      <c r="VNA1000"/>
      <c r="VNB1000"/>
      <c r="VNC1000"/>
      <c r="VND1000"/>
      <c r="VNE1000"/>
      <c r="VNF1000"/>
      <c r="VNG1000"/>
      <c r="VNH1000"/>
      <c r="VNI1000"/>
      <c r="VNJ1000"/>
      <c r="VNK1000"/>
      <c r="VNL1000"/>
      <c r="VNM1000"/>
      <c r="VNN1000"/>
      <c r="VNO1000"/>
      <c r="VNP1000"/>
      <c r="VNQ1000"/>
      <c r="VNR1000"/>
      <c r="VNS1000"/>
      <c r="VNT1000"/>
      <c r="VNU1000"/>
      <c r="VNV1000"/>
      <c r="VNW1000"/>
      <c r="VNX1000"/>
      <c r="VNY1000"/>
      <c r="VNZ1000"/>
      <c r="VOA1000"/>
      <c r="VOB1000"/>
      <c r="VOC1000"/>
      <c r="VOD1000"/>
      <c r="VOE1000"/>
      <c r="VOF1000"/>
      <c r="VOG1000"/>
      <c r="VOH1000"/>
      <c r="VOI1000"/>
      <c r="VOJ1000"/>
      <c r="VOK1000"/>
      <c r="VOL1000"/>
      <c r="VOM1000"/>
      <c r="VON1000"/>
      <c r="VOO1000"/>
      <c r="VOP1000"/>
      <c r="VOQ1000"/>
      <c r="VOR1000"/>
      <c r="VOS1000"/>
      <c r="VOT1000"/>
      <c r="VOU1000"/>
      <c r="VOV1000"/>
      <c r="VOW1000"/>
      <c r="VOX1000"/>
      <c r="VOY1000"/>
      <c r="VOZ1000"/>
      <c r="VPA1000"/>
      <c r="VPB1000"/>
      <c r="VPC1000"/>
      <c r="VPD1000"/>
      <c r="VPE1000"/>
      <c r="VPF1000"/>
      <c r="VPG1000"/>
      <c r="VPH1000"/>
      <c r="VPI1000"/>
      <c r="VPJ1000"/>
      <c r="VPK1000"/>
      <c r="VPL1000"/>
      <c r="VPM1000"/>
      <c r="VPN1000"/>
      <c r="VPO1000"/>
      <c r="VPP1000"/>
      <c r="VPQ1000"/>
      <c r="VPR1000"/>
      <c r="VPS1000"/>
      <c r="VPT1000"/>
      <c r="VPU1000"/>
      <c r="VPV1000"/>
      <c r="VPW1000"/>
      <c r="VPX1000"/>
      <c r="VPY1000"/>
      <c r="VPZ1000"/>
      <c r="VQA1000"/>
      <c r="VQB1000"/>
      <c r="VQC1000"/>
      <c r="VQD1000"/>
      <c r="VQE1000"/>
      <c r="VQF1000"/>
      <c r="VQG1000"/>
      <c r="VQH1000"/>
      <c r="VQI1000"/>
      <c r="VQJ1000"/>
      <c r="VQK1000"/>
      <c r="VQL1000"/>
      <c r="VQM1000"/>
      <c r="VQN1000"/>
      <c r="VQO1000"/>
      <c r="VQP1000"/>
      <c r="VQQ1000"/>
      <c r="VQR1000"/>
      <c r="VQS1000"/>
      <c r="VQT1000"/>
      <c r="VQU1000"/>
      <c r="VQV1000"/>
      <c r="VQW1000"/>
      <c r="VQX1000"/>
      <c r="VQY1000"/>
      <c r="VQZ1000"/>
      <c r="VRA1000"/>
      <c r="VRB1000"/>
      <c r="VRC1000"/>
      <c r="VRD1000"/>
      <c r="VRE1000"/>
      <c r="VRF1000"/>
      <c r="VRG1000"/>
      <c r="VRH1000"/>
      <c r="VRI1000"/>
      <c r="VRJ1000"/>
      <c r="VRK1000"/>
      <c r="VRL1000"/>
      <c r="VRM1000"/>
      <c r="VRN1000"/>
      <c r="VRO1000"/>
      <c r="VRP1000"/>
      <c r="VRQ1000"/>
      <c r="VRR1000"/>
      <c r="VRS1000"/>
      <c r="VRT1000"/>
      <c r="VRU1000"/>
      <c r="VRV1000"/>
      <c r="VRW1000"/>
      <c r="VRX1000"/>
      <c r="VRY1000"/>
      <c r="VRZ1000"/>
      <c r="VSA1000"/>
      <c r="VSB1000"/>
      <c r="VSC1000"/>
      <c r="VSD1000"/>
      <c r="VSE1000"/>
      <c r="VSF1000"/>
      <c r="VSG1000"/>
      <c r="VSH1000"/>
      <c r="VSI1000"/>
      <c r="VSJ1000"/>
      <c r="VSK1000"/>
      <c r="VSL1000"/>
      <c r="VSM1000"/>
      <c r="VSN1000"/>
      <c r="VSO1000"/>
      <c r="VSP1000"/>
      <c r="VSQ1000"/>
      <c r="VSR1000"/>
      <c r="VSS1000"/>
      <c r="VST1000"/>
      <c r="VSU1000"/>
      <c r="VSV1000"/>
      <c r="VSW1000"/>
      <c r="VSX1000"/>
      <c r="VSY1000"/>
      <c r="VSZ1000"/>
      <c r="VTA1000"/>
      <c r="VTB1000"/>
      <c r="VTC1000"/>
      <c r="VTD1000"/>
      <c r="VTE1000"/>
      <c r="VTF1000"/>
      <c r="VTG1000"/>
      <c r="VTH1000"/>
      <c r="VTI1000"/>
      <c r="VTJ1000"/>
      <c r="VTK1000"/>
      <c r="VTL1000"/>
      <c r="VTM1000"/>
      <c r="VTN1000"/>
      <c r="VTO1000"/>
      <c r="VTP1000"/>
      <c r="VTQ1000"/>
      <c r="VTR1000"/>
      <c r="VTS1000"/>
      <c r="VTT1000"/>
      <c r="VTU1000"/>
      <c r="VTV1000"/>
      <c r="VTW1000"/>
      <c r="VTX1000"/>
      <c r="VTY1000"/>
      <c r="VTZ1000"/>
      <c r="VUA1000"/>
      <c r="VUB1000"/>
      <c r="VUC1000"/>
      <c r="VUD1000"/>
      <c r="VUE1000"/>
      <c r="VUF1000"/>
      <c r="VUG1000"/>
      <c r="VUH1000"/>
      <c r="VUI1000"/>
      <c r="VUJ1000"/>
      <c r="VUK1000"/>
      <c r="VUL1000"/>
      <c r="VUM1000"/>
      <c r="VUN1000"/>
      <c r="VUO1000"/>
      <c r="VUP1000"/>
      <c r="VUQ1000"/>
      <c r="VUR1000"/>
      <c r="VUS1000"/>
      <c r="VUT1000"/>
      <c r="VUU1000"/>
      <c r="VUV1000"/>
      <c r="VUW1000"/>
      <c r="VUX1000"/>
      <c r="VUY1000"/>
      <c r="VUZ1000"/>
      <c r="VVA1000"/>
      <c r="VVB1000"/>
      <c r="VVC1000"/>
      <c r="VVD1000"/>
      <c r="VVE1000"/>
      <c r="VVF1000"/>
      <c r="VVG1000"/>
      <c r="VVH1000"/>
      <c r="VVI1000"/>
      <c r="VVJ1000"/>
      <c r="VVK1000"/>
      <c r="VVL1000"/>
      <c r="VVM1000"/>
      <c r="VVN1000"/>
      <c r="VVO1000"/>
      <c r="VVP1000"/>
      <c r="VVQ1000"/>
      <c r="VVR1000"/>
      <c r="VVS1000"/>
      <c r="VVT1000"/>
      <c r="VVU1000"/>
      <c r="VVV1000"/>
      <c r="VVW1000"/>
      <c r="VVX1000"/>
      <c r="VVY1000"/>
      <c r="VVZ1000"/>
      <c r="VWA1000"/>
      <c r="VWB1000"/>
      <c r="VWC1000"/>
      <c r="VWD1000"/>
      <c r="VWE1000"/>
      <c r="VWF1000"/>
      <c r="VWG1000"/>
      <c r="VWH1000"/>
      <c r="VWI1000"/>
      <c r="VWJ1000"/>
      <c r="VWK1000"/>
      <c r="VWL1000"/>
      <c r="VWM1000"/>
      <c r="VWN1000"/>
      <c r="VWO1000"/>
      <c r="VWP1000"/>
      <c r="VWQ1000"/>
      <c r="VWR1000"/>
      <c r="VWS1000"/>
      <c r="VWT1000"/>
      <c r="VWU1000"/>
      <c r="VWV1000"/>
      <c r="VWW1000"/>
      <c r="VWX1000"/>
      <c r="VWY1000"/>
      <c r="VWZ1000"/>
      <c r="VXA1000"/>
      <c r="VXB1000"/>
      <c r="VXC1000"/>
      <c r="VXD1000"/>
      <c r="VXE1000"/>
      <c r="VXF1000"/>
      <c r="VXG1000"/>
      <c r="VXH1000"/>
      <c r="VXI1000"/>
      <c r="VXJ1000"/>
      <c r="VXK1000"/>
      <c r="VXL1000"/>
      <c r="VXM1000"/>
      <c r="VXN1000"/>
      <c r="VXO1000"/>
      <c r="VXP1000"/>
      <c r="VXQ1000"/>
      <c r="VXR1000"/>
      <c r="VXS1000"/>
      <c r="VXT1000"/>
      <c r="VXU1000"/>
      <c r="VXV1000"/>
      <c r="VXW1000"/>
      <c r="VXX1000"/>
      <c r="VXY1000"/>
      <c r="VXZ1000"/>
      <c r="VYA1000"/>
      <c r="VYB1000"/>
      <c r="VYC1000"/>
      <c r="VYD1000"/>
      <c r="VYE1000"/>
      <c r="VYF1000"/>
      <c r="VYG1000"/>
      <c r="VYH1000"/>
      <c r="VYI1000"/>
      <c r="VYJ1000"/>
      <c r="VYK1000"/>
      <c r="VYL1000"/>
      <c r="VYM1000"/>
      <c r="VYN1000"/>
      <c r="VYO1000"/>
      <c r="VYP1000"/>
      <c r="VYQ1000"/>
      <c r="VYR1000"/>
      <c r="VYS1000"/>
      <c r="VYT1000"/>
      <c r="VYU1000"/>
      <c r="VYV1000"/>
      <c r="VYW1000"/>
      <c r="VYX1000"/>
      <c r="VYY1000"/>
      <c r="VYZ1000"/>
      <c r="VZA1000"/>
      <c r="VZB1000"/>
      <c r="VZC1000"/>
      <c r="VZD1000"/>
      <c r="VZE1000"/>
      <c r="VZF1000"/>
      <c r="VZG1000"/>
      <c r="VZH1000"/>
      <c r="VZI1000"/>
      <c r="VZJ1000"/>
      <c r="VZK1000"/>
      <c r="VZL1000"/>
      <c r="VZM1000"/>
      <c r="VZN1000"/>
      <c r="VZO1000"/>
      <c r="VZP1000"/>
      <c r="VZQ1000"/>
      <c r="VZR1000"/>
      <c r="VZS1000"/>
      <c r="VZT1000"/>
      <c r="VZU1000"/>
      <c r="VZV1000"/>
      <c r="VZW1000"/>
      <c r="VZX1000"/>
      <c r="VZY1000"/>
      <c r="VZZ1000"/>
      <c r="WAA1000"/>
      <c r="WAB1000"/>
      <c r="WAC1000"/>
      <c r="WAD1000"/>
      <c r="WAE1000"/>
      <c r="WAF1000"/>
      <c r="WAG1000"/>
      <c r="WAH1000"/>
      <c r="WAI1000"/>
      <c r="WAJ1000"/>
      <c r="WAK1000"/>
      <c r="WAL1000"/>
      <c r="WAM1000"/>
      <c r="WAN1000"/>
      <c r="WAO1000"/>
      <c r="WAP1000"/>
      <c r="WAQ1000"/>
      <c r="WAR1000"/>
      <c r="WAS1000"/>
      <c r="WAT1000"/>
      <c r="WAU1000"/>
      <c r="WAV1000"/>
      <c r="WAW1000"/>
      <c r="WAX1000"/>
      <c r="WAY1000"/>
      <c r="WAZ1000"/>
      <c r="WBA1000"/>
      <c r="WBB1000"/>
      <c r="WBC1000"/>
      <c r="WBD1000"/>
      <c r="WBE1000"/>
      <c r="WBF1000"/>
      <c r="WBG1000"/>
      <c r="WBH1000"/>
      <c r="WBI1000"/>
      <c r="WBJ1000"/>
      <c r="WBK1000"/>
      <c r="WBL1000"/>
      <c r="WBM1000"/>
      <c r="WBN1000"/>
      <c r="WBO1000"/>
      <c r="WBP1000"/>
      <c r="WBQ1000"/>
      <c r="WBR1000"/>
      <c r="WBS1000"/>
      <c r="WBT1000"/>
      <c r="WBU1000"/>
      <c r="WBV1000"/>
      <c r="WBW1000"/>
      <c r="WBX1000"/>
      <c r="WBY1000"/>
      <c r="WBZ1000"/>
      <c r="WCA1000"/>
      <c r="WCB1000"/>
      <c r="WCC1000"/>
      <c r="WCD1000"/>
      <c r="WCE1000"/>
      <c r="WCF1000"/>
      <c r="WCG1000"/>
      <c r="WCH1000"/>
      <c r="WCI1000"/>
      <c r="WCJ1000"/>
      <c r="WCK1000"/>
      <c r="WCL1000"/>
      <c r="WCM1000"/>
      <c r="WCN1000"/>
      <c r="WCO1000"/>
      <c r="WCP1000"/>
      <c r="WCQ1000"/>
      <c r="WCR1000"/>
      <c r="WCS1000"/>
      <c r="WCT1000"/>
      <c r="WCU1000"/>
      <c r="WCV1000"/>
      <c r="WCW1000"/>
      <c r="WCX1000"/>
      <c r="WCY1000"/>
      <c r="WCZ1000"/>
      <c r="WDA1000"/>
      <c r="WDB1000"/>
      <c r="WDC1000"/>
      <c r="WDD1000"/>
      <c r="WDE1000"/>
      <c r="WDF1000"/>
      <c r="WDG1000"/>
      <c r="WDH1000"/>
      <c r="WDI1000"/>
      <c r="WDJ1000"/>
      <c r="WDK1000"/>
      <c r="WDL1000"/>
      <c r="WDM1000"/>
      <c r="WDN1000"/>
      <c r="WDO1000"/>
      <c r="WDP1000"/>
      <c r="WDQ1000"/>
      <c r="WDR1000"/>
      <c r="WDS1000"/>
      <c r="WDT1000"/>
      <c r="WDU1000"/>
      <c r="WDV1000"/>
      <c r="WDW1000"/>
      <c r="WDX1000"/>
      <c r="WDY1000"/>
      <c r="WDZ1000"/>
      <c r="WEA1000"/>
      <c r="WEB1000"/>
      <c r="WEC1000"/>
      <c r="WED1000"/>
      <c r="WEE1000"/>
      <c r="WEF1000"/>
      <c r="WEG1000"/>
      <c r="WEH1000"/>
      <c r="WEI1000"/>
      <c r="WEJ1000"/>
      <c r="WEK1000"/>
      <c r="WEL1000"/>
      <c r="WEM1000"/>
      <c r="WEN1000"/>
      <c r="WEO1000"/>
      <c r="WEP1000"/>
      <c r="WEQ1000"/>
      <c r="WER1000"/>
      <c r="WES1000"/>
      <c r="WET1000"/>
      <c r="WEU1000"/>
      <c r="WEV1000"/>
      <c r="WEW1000"/>
      <c r="WEX1000"/>
      <c r="WEY1000"/>
      <c r="WEZ1000"/>
      <c r="WFA1000"/>
      <c r="WFB1000"/>
      <c r="WFC1000"/>
      <c r="WFD1000"/>
      <c r="WFE1000"/>
      <c r="WFF1000"/>
      <c r="WFG1000"/>
      <c r="WFH1000"/>
      <c r="WFI1000"/>
      <c r="WFJ1000"/>
      <c r="WFK1000"/>
      <c r="WFL1000"/>
      <c r="WFM1000"/>
      <c r="WFN1000"/>
      <c r="WFO1000"/>
      <c r="WFP1000"/>
      <c r="WFQ1000"/>
      <c r="WFR1000"/>
      <c r="WFS1000"/>
      <c r="WFT1000"/>
      <c r="WFU1000"/>
      <c r="WFV1000"/>
      <c r="WFW1000"/>
      <c r="WFX1000"/>
      <c r="WFY1000"/>
      <c r="WFZ1000"/>
      <c r="WGA1000"/>
      <c r="WGB1000"/>
      <c r="WGC1000"/>
      <c r="WGD1000"/>
      <c r="WGE1000"/>
      <c r="WGF1000"/>
      <c r="WGG1000"/>
      <c r="WGH1000"/>
      <c r="WGI1000"/>
      <c r="WGJ1000"/>
      <c r="WGK1000"/>
      <c r="WGL1000"/>
      <c r="WGM1000"/>
      <c r="WGN1000"/>
      <c r="WGO1000"/>
      <c r="WGP1000"/>
      <c r="WGQ1000"/>
      <c r="WGR1000"/>
      <c r="WGS1000"/>
      <c r="WGT1000"/>
      <c r="WGU1000"/>
      <c r="WGV1000"/>
      <c r="WGW1000"/>
      <c r="WGX1000"/>
      <c r="WGY1000"/>
      <c r="WGZ1000"/>
      <c r="WHA1000"/>
      <c r="WHB1000"/>
      <c r="WHC1000"/>
      <c r="WHD1000"/>
      <c r="WHE1000"/>
      <c r="WHF1000"/>
      <c r="WHG1000"/>
      <c r="WHH1000"/>
      <c r="WHI1000"/>
      <c r="WHJ1000"/>
      <c r="WHK1000"/>
      <c r="WHL1000"/>
      <c r="WHM1000"/>
      <c r="WHN1000"/>
      <c r="WHO1000"/>
      <c r="WHP1000"/>
      <c r="WHQ1000"/>
      <c r="WHR1000"/>
      <c r="WHS1000"/>
      <c r="WHT1000"/>
      <c r="WHU1000"/>
      <c r="WHV1000"/>
      <c r="WHW1000"/>
      <c r="WHX1000"/>
      <c r="WHY1000"/>
      <c r="WHZ1000"/>
      <c r="WIA1000"/>
      <c r="WIB1000"/>
      <c r="WIC1000"/>
      <c r="WID1000"/>
      <c r="WIE1000"/>
      <c r="WIF1000"/>
      <c r="WIG1000"/>
      <c r="WIH1000"/>
      <c r="WII1000"/>
      <c r="WIJ1000"/>
      <c r="WIK1000"/>
      <c r="WIL1000"/>
      <c r="WIM1000"/>
      <c r="WIN1000"/>
      <c r="WIO1000"/>
      <c r="WIP1000"/>
      <c r="WIQ1000"/>
      <c r="WIR1000"/>
      <c r="WIS1000"/>
      <c r="WIT1000"/>
      <c r="WIU1000"/>
      <c r="WIV1000"/>
      <c r="WIW1000"/>
      <c r="WIX1000"/>
      <c r="WIY1000"/>
      <c r="WIZ1000"/>
      <c r="WJA1000"/>
      <c r="WJB1000"/>
      <c r="WJC1000"/>
      <c r="WJD1000"/>
      <c r="WJE1000"/>
      <c r="WJF1000"/>
      <c r="WJG1000"/>
      <c r="WJH1000"/>
      <c r="WJI1000"/>
      <c r="WJJ1000"/>
      <c r="WJK1000"/>
      <c r="WJL1000"/>
      <c r="WJM1000"/>
      <c r="WJN1000"/>
      <c r="WJO1000"/>
      <c r="WJP1000"/>
      <c r="WJQ1000"/>
      <c r="WJR1000"/>
      <c r="WJS1000"/>
      <c r="WJT1000"/>
      <c r="WJU1000"/>
      <c r="WJV1000"/>
      <c r="WJW1000"/>
      <c r="WJX1000"/>
      <c r="WJY1000"/>
      <c r="WJZ1000"/>
      <c r="WKA1000"/>
      <c r="WKB1000"/>
      <c r="WKC1000"/>
      <c r="WKD1000"/>
      <c r="WKE1000"/>
      <c r="WKF1000"/>
      <c r="WKG1000"/>
      <c r="WKH1000"/>
      <c r="WKI1000"/>
      <c r="WKJ1000"/>
      <c r="WKK1000"/>
      <c r="WKL1000"/>
      <c r="WKM1000"/>
      <c r="WKN1000"/>
      <c r="WKO1000"/>
      <c r="WKP1000"/>
      <c r="WKQ1000"/>
      <c r="WKR1000"/>
      <c r="WKS1000"/>
      <c r="WKT1000"/>
      <c r="WKU1000"/>
      <c r="WKV1000"/>
      <c r="WKW1000"/>
      <c r="WKX1000"/>
      <c r="WKY1000"/>
      <c r="WKZ1000"/>
      <c r="WLA1000"/>
      <c r="WLB1000"/>
      <c r="WLC1000"/>
      <c r="WLD1000"/>
      <c r="WLE1000"/>
      <c r="WLF1000"/>
      <c r="WLG1000"/>
      <c r="WLH1000"/>
      <c r="WLI1000"/>
      <c r="WLJ1000"/>
      <c r="WLK1000"/>
      <c r="WLL1000"/>
      <c r="WLM1000"/>
      <c r="WLN1000"/>
      <c r="WLO1000"/>
      <c r="WLP1000"/>
      <c r="WLQ1000"/>
      <c r="WLR1000"/>
      <c r="WLS1000"/>
      <c r="WLT1000"/>
      <c r="WLU1000"/>
      <c r="WLV1000"/>
      <c r="WLW1000"/>
      <c r="WLX1000"/>
      <c r="WLY1000"/>
      <c r="WLZ1000"/>
      <c r="WMA1000"/>
      <c r="WMB1000"/>
      <c r="WMC1000"/>
      <c r="WMD1000"/>
      <c r="WME1000"/>
      <c r="WMF1000"/>
      <c r="WMG1000"/>
      <c r="WMH1000"/>
      <c r="WMI1000"/>
      <c r="WMJ1000"/>
      <c r="WMK1000"/>
      <c r="WML1000"/>
      <c r="WMM1000"/>
      <c r="WMN1000"/>
      <c r="WMO1000"/>
      <c r="WMP1000"/>
      <c r="WMQ1000"/>
      <c r="WMR1000"/>
      <c r="WMS1000"/>
      <c r="WMT1000"/>
      <c r="WMU1000"/>
      <c r="WMV1000"/>
      <c r="WMW1000"/>
      <c r="WMX1000"/>
      <c r="WMY1000"/>
      <c r="WMZ1000"/>
      <c r="WNA1000"/>
      <c r="WNB1000"/>
      <c r="WNC1000"/>
      <c r="WND1000"/>
      <c r="WNE1000"/>
      <c r="WNF1000"/>
      <c r="WNG1000"/>
      <c r="WNH1000"/>
      <c r="WNI1000"/>
      <c r="WNJ1000"/>
      <c r="WNK1000"/>
      <c r="WNL1000"/>
      <c r="WNM1000"/>
      <c r="WNN1000"/>
      <c r="WNO1000"/>
      <c r="WNP1000"/>
      <c r="WNQ1000"/>
      <c r="WNR1000"/>
      <c r="WNS1000"/>
      <c r="WNT1000"/>
      <c r="WNU1000"/>
      <c r="WNV1000"/>
      <c r="WNW1000"/>
      <c r="WNX1000"/>
      <c r="WNY1000"/>
      <c r="WNZ1000"/>
      <c r="WOA1000"/>
      <c r="WOB1000"/>
      <c r="WOC1000"/>
      <c r="WOD1000"/>
      <c r="WOE1000"/>
      <c r="WOF1000"/>
      <c r="WOG1000"/>
      <c r="WOH1000"/>
      <c r="WOI1000"/>
      <c r="WOJ1000"/>
      <c r="WOK1000"/>
      <c r="WOL1000"/>
      <c r="WOM1000"/>
      <c r="WON1000"/>
      <c r="WOO1000"/>
      <c r="WOP1000"/>
      <c r="WOQ1000"/>
      <c r="WOR1000"/>
      <c r="WOS1000"/>
      <c r="WOT1000"/>
      <c r="WOU1000"/>
      <c r="WOV1000"/>
      <c r="WOW1000"/>
      <c r="WOX1000"/>
      <c r="WOY1000"/>
      <c r="WOZ1000"/>
      <c r="WPA1000"/>
      <c r="WPB1000"/>
      <c r="WPC1000"/>
      <c r="WPD1000"/>
      <c r="WPE1000"/>
      <c r="WPF1000"/>
      <c r="WPG1000"/>
      <c r="WPH1000"/>
      <c r="WPI1000"/>
      <c r="WPJ1000"/>
      <c r="WPK1000"/>
      <c r="WPL1000"/>
      <c r="WPM1000"/>
      <c r="WPN1000"/>
      <c r="WPO1000"/>
      <c r="WPP1000"/>
      <c r="WPQ1000"/>
      <c r="WPR1000"/>
      <c r="WPS1000"/>
      <c r="WPT1000"/>
      <c r="WPU1000"/>
      <c r="WPV1000"/>
      <c r="WPW1000"/>
      <c r="WPX1000"/>
      <c r="WPY1000"/>
      <c r="WPZ1000"/>
      <c r="WQA1000"/>
      <c r="WQB1000"/>
      <c r="WQC1000"/>
      <c r="WQD1000"/>
      <c r="WQE1000"/>
      <c r="WQF1000"/>
      <c r="WQG1000"/>
      <c r="WQH1000"/>
      <c r="WQI1000"/>
      <c r="WQJ1000"/>
      <c r="WQK1000"/>
      <c r="WQL1000"/>
      <c r="WQM1000"/>
      <c r="WQN1000"/>
      <c r="WQO1000"/>
      <c r="WQP1000"/>
      <c r="WQQ1000"/>
      <c r="WQR1000"/>
      <c r="WQS1000"/>
      <c r="WQT1000"/>
      <c r="WQU1000"/>
      <c r="WQV1000"/>
      <c r="WQW1000"/>
      <c r="WQX1000"/>
      <c r="WQY1000"/>
      <c r="WQZ1000"/>
      <c r="WRA1000"/>
      <c r="WRB1000"/>
      <c r="WRC1000"/>
      <c r="WRD1000"/>
      <c r="WRE1000"/>
      <c r="WRF1000"/>
      <c r="WRG1000"/>
      <c r="WRH1000"/>
      <c r="WRI1000"/>
      <c r="WRJ1000"/>
      <c r="WRK1000"/>
      <c r="WRL1000"/>
      <c r="WRM1000"/>
      <c r="WRN1000"/>
      <c r="WRO1000"/>
      <c r="WRP1000"/>
      <c r="WRQ1000"/>
      <c r="WRR1000"/>
      <c r="WRS1000"/>
      <c r="WRT1000"/>
      <c r="WRU1000"/>
      <c r="WRV1000"/>
      <c r="WRW1000"/>
      <c r="WRX1000"/>
      <c r="WRY1000"/>
      <c r="WRZ1000"/>
      <c r="WSA1000"/>
      <c r="WSB1000"/>
      <c r="WSC1000"/>
      <c r="WSD1000"/>
      <c r="WSE1000"/>
      <c r="WSF1000"/>
      <c r="WSG1000"/>
      <c r="WSH1000"/>
      <c r="WSI1000"/>
      <c r="WSJ1000"/>
      <c r="WSK1000"/>
      <c r="WSL1000"/>
      <c r="WSM1000"/>
      <c r="WSN1000"/>
      <c r="WSO1000"/>
      <c r="WSP1000"/>
      <c r="WSQ1000"/>
      <c r="WSR1000"/>
      <c r="WSS1000"/>
      <c r="WST1000"/>
      <c r="WSU1000"/>
      <c r="WSV1000"/>
      <c r="WSW1000"/>
      <c r="WSX1000"/>
      <c r="WSY1000"/>
      <c r="WSZ1000"/>
      <c r="WTA1000"/>
      <c r="WTB1000"/>
      <c r="WTC1000"/>
      <c r="WTD1000"/>
      <c r="WTE1000"/>
      <c r="WTF1000"/>
      <c r="WTG1000"/>
      <c r="WTH1000"/>
      <c r="WTI1000"/>
      <c r="WTJ1000"/>
      <c r="WTK1000"/>
      <c r="WTL1000"/>
      <c r="WTM1000"/>
      <c r="WTN1000"/>
      <c r="WTO1000"/>
      <c r="WTP1000"/>
      <c r="WTQ1000"/>
      <c r="WTR1000"/>
      <c r="WTS1000"/>
      <c r="WTT1000"/>
      <c r="WTU1000"/>
      <c r="WTV1000"/>
      <c r="WTW1000"/>
      <c r="WTX1000"/>
      <c r="WTY1000"/>
      <c r="WTZ1000"/>
      <c r="WUA1000"/>
      <c r="WUB1000"/>
      <c r="WUC1000"/>
      <c r="WUD1000"/>
      <c r="WUE1000"/>
      <c r="WUF1000"/>
      <c r="WUG1000"/>
      <c r="WUH1000"/>
      <c r="WUI1000"/>
      <c r="WUJ1000"/>
      <c r="WUK1000"/>
      <c r="WUL1000"/>
      <c r="WUM1000"/>
      <c r="WUN1000"/>
      <c r="WUO1000"/>
      <c r="WUP1000"/>
      <c r="WUQ1000"/>
      <c r="WUR1000"/>
      <c r="WUS1000"/>
      <c r="WUT1000"/>
      <c r="WUU1000"/>
      <c r="WUV1000"/>
      <c r="WUW1000"/>
      <c r="WUX1000"/>
      <c r="WUY1000"/>
      <c r="WUZ1000"/>
      <c r="WVA1000"/>
      <c r="WVB1000"/>
      <c r="WVC1000"/>
      <c r="WVD1000"/>
      <c r="WVE1000"/>
      <c r="WVF1000"/>
      <c r="WVG1000"/>
      <c r="WVH1000"/>
      <c r="WVI1000"/>
      <c r="WVJ1000"/>
      <c r="WVK1000"/>
      <c r="WVL1000"/>
      <c r="WVM1000"/>
      <c r="WVN1000"/>
      <c r="WVO1000"/>
      <c r="WVP1000"/>
      <c r="WVQ1000"/>
      <c r="WVR1000"/>
      <c r="WVS1000"/>
      <c r="WVT1000"/>
      <c r="WVU1000"/>
      <c r="WVV1000"/>
      <c r="WVW1000"/>
      <c r="WVX1000"/>
      <c r="WVY1000"/>
      <c r="WVZ1000"/>
      <c r="WWA1000"/>
      <c r="WWB1000"/>
      <c r="WWC1000"/>
      <c r="WWD1000"/>
      <c r="WWE1000"/>
      <c r="WWF1000"/>
      <c r="WWG1000"/>
      <c r="WWH1000"/>
      <c r="WWI1000"/>
      <c r="WWJ1000"/>
      <c r="WWK1000"/>
      <c r="WWL1000"/>
      <c r="WWM1000"/>
      <c r="WWN1000"/>
      <c r="WWO1000"/>
      <c r="WWP1000"/>
      <c r="WWQ1000"/>
      <c r="WWR1000"/>
      <c r="WWS1000"/>
      <c r="WWT1000"/>
      <c r="WWU1000"/>
      <c r="WWV1000"/>
      <c r="WWW1000"/>
      <c r="WWX1000"/>
      <c r="WWY1000"/>
      <c r="WWZ1000"/>
      <c r="WXA1000"/>
      <c r="WXB1000"/>
      <c r="WXC1000"/>
      <c r="WXD1000"/>
      <c r="WXE1000"/>
      <c r="WXF1000"/>
      <c r="WXG1000"/>
      <c r="WXH1000"/>
      <c r="WXI1000"/>
      <c r="WXJ1000"/>
      <c r="WXK1000"/>
      <c r="WXL1000"/>
      <c r="WXM1000"/>
      <c r="WXN1000"/>
      <c r="WXO1000"/>
      <c r="WXP1000"/>
      <c r="WXQ1000"/>
      <c r="WXR1000"/>
      <c r="WXS1000"/>
      <c r="WXT1000"/>
      <c r="WXU1000"/>
      <c r="WXV1000"/>
      <c r="WXW1000"/>
      <c r="WXX1000"/>
      <c r="WXY1000"/>
      <c r="WXZ1000"/>
      <c r="WYA1000"/>
      <c r="WYB1000"/>
      <c r="WYC1000"/>
      <c r="WYD1000"/>
      <c r="WYE1000"/>
      <c r="WYF1000"/>
      <c r="WYG1000"/>
      <c r="WYH1000"/>
      <c r="WYI1000"/>
      <c r="WYJ1000"/>
      <c r="WYK1000"/>
      <c r="WYL1000"/>
      <c r="WYM1000"/>
      <c r="WYN1000"/>
      <c r="WYO1000"/>
      <c r="WYP1000"/>
      <c r="WYQ1000"/>
      <c r="WYR1000"/>
      <c r="WYS1000"/>
      <c r="WYT1000"/>
      <c r="WYU1000"/>
      <c r="WYV1000"/>
      <c r="WYW1000"/>
      <c r="WYX1000"/>
      <c r="WYY1000"/>
      <c r="WYZ1000"/>
      <c r="WZA1000"/>
      <c r="WZB1000"/>
      <c r="WZC1000"/>
      <c r="WZD1000"/>
      <c r="WZE1000"/>
      <c r="WZF1000"/>
      <c r="WZG1000"/>
      <c r="WZH1000"/>
      <c r="WZI1000"/>
      <c r="WZJ1000"/>
      <c r="WZK1000"/>
      <c r="WZL1000"/>
      <c r="WZM1000"/>
      <c r="WZN1000"/>
      <c r="WZO1000"/>
      <c r="WZP1000"/>
      <c r="WZQ1000"/>
      <c r="WZR1000"/>
      <c r="WZS1000"/>
      <c r="WZT1000"/>
      <c r="WZU1000"/>
      <c r="WZV1000"/>
      <c r="WZW1000"/>
      <c r="WZX1000"/>
      <c r="WZY1000"/>
      <c r="WZZ1000"/>
      <c r="XAA1000"/>
      <c r="XAB1000"/>
      <c r="XAC1000"/>
      <c r="XAD1000"/>
      <c r="XAE1000"/>
      <c r="XAF1000"/>
      <c r="XAG1000"/>
      <c r="XAH1000"/>
      <c r="XAI1000"/>
      <c r="XAJ1000"/>
      <c r="XAK1000"/>
      <c r="XAL1000"/>
      <c r="XAM1000"/>
      <c r="XAN1000"/>
      <c r="XAO1000"/>
      <c r="XAP1000"/>
      <c r="XAQ1000"/>
      <c r="XAR1000"/>
      <c r="XAS1000"/>
      <c r="XAT1000"/>
      <c r="XAU1000"/>
      <c r="XAV1000"/>
      <c r="XAW1000"/>
      <c r="XAX1000"/>
      <c r="XAY1000"/>
      <c r="XAZ1000"/>
      <c r="XBA1000"/>
      <c r="XBB1000"/>
      <c r="XBC1000"/>
      <c r="XBD1000"/>
      <c r="XBE1000"/>
      <c r="XBF1000"/>
      <c r="XBG1000"/>
      <c r="XBH1000"/>
      <c r="XBI1000"/>
      <c r="XBJ1000"/>
      <c r="XBK1000"/>
      <c r="XBL1000"/>
      <c r="XBM1000"/>
      <c r="XBN1000"/>
      <c r="XBO1000"/>
      <c r="XBP1000"/>
      <c r="XBQ1000"/>
      <c r="XBR1000"/>
      <c r="XBS1000"/>
      <c r="XBT1000"/>
      <c r="XBU1000"/>
      <c r="XBV1000"/>
      <c r="XBW1000"/>
      <c r="XBX1000"/>
      <c r="XBY1000"/>
      <c r="XBZ1000"/>
      <c r="XCA1000"/>
      <c r="XCB1000"/>
      <c r="XCC1000"/>
      <c r="XCD1000"/>
      <c r="XCE1000"/>
      <c r="XCF1000"/>
      <c r="XCG1000"/>
      <c r="XCH1000"/>
      <c r="XCI1000"/>
      <c r="XCJ1000"/>
      <c r="XCK1000"/>
      <c r="XCL1000"/>
      <c r="XCM1000"/>
      <c r="XCN1000"/>
      <c r="XCO1000"/>
      <c r="XCP1000"/>
      <c r="XCQ1000"/>
      <c r="XCR1000"/>
      <c r="XCS1000"/>
      <c r="XCT1000"/>
      <c r="XCU1000"/>
      <c r="XCV1000"/>
      <c r="XCW1000"/>
      <c r="XCX1000"/>
      <c r="XCY1000"/>
      <c r="XCZ1000"/>
      <c r="XDA1000"/>
      <c r="XDB1000"/>
      <c r="XDC1000"/>
      <c r="XDD1000"/>
      <c r="XDE1000"/>
      <c r="XDF1000"/>
      <c r="XDG1000"/>
      <c r="XDH1000"/>
      <c r="XDI1000"/>
      <c r="XDJ1000"/>
      <c r="XDK1000"/>
      <c r="XDL1000"/>
      <c r="XDM1000"/>
      <c r="XDN1000"/>
      <c r="XDO1000"/>
      <c r="XDP1000"/>
      <c r="XDQ1000"/>
      <c r="XDR1000"/>
      <c r="XDS1000"/>
      <c r="XDT1000"/>
      <c r="XDU1000"/>
      <c r="XDV1000"/>
      <c r="XDW1000"/>
      <c r="XDX1000"/>
      <c r="XDY1000"/>
      <c r="XDZ1000"/>
      <c r="XEA1000"/>
      <c r="XEB1000"/>
      <c r="XEC1000"/>
      <c r="XED1000"/>
      <c r="XEE1000"/>
      <c r="XEF1000"/>
      <c r="XEG1000"/>
      <c r="XEH1000"/>
      <c r="XEI1000"/>
      <c r="XEJ1000"/>
      <c r="XEK1000"/>
      <c r="XEL1000"/>
      <c r="XEM1000"/>
      <c r="XEN1000"/>
      <c r="XEO1000"/>
      <c r="XEP1000"/>
      <c r="XEQ1000"/>
      <c r="XER1000"/>
      <c r="XES1000"/>
      <c r="XET1000"/>
      <c r="XEU1000"/>
      <c r="XEV1000"/>
      <c r="XEW1000"/>
      <c r="XEX1000"/>
      <c r="XEY1000"/>
      <c r="XEZ1000"/>
      <c r="XFA1000"/>
    </row>
    <row r="6000" spans="1:2" x14ac:dyDescent="0.2">
      <c r="A6000" s="26">
        <v>101</v>
      </c>
      <c r="B6000" s="26">
        <v>101</v>
      </c>
    </row>
    <row r="6001" spans="1:2" x14ac:dyDescent="0.2">
      <c r="A6001" s="26">
        <v>102</v>
      </c>
      <c r="B6001" s="26">
        <v>102</v>
      </c>
    </row>
    <row r="6002" spans="1:2" x14ac:dyDescent="0.2">
      <c r="A6002" s="26">
        <v>103</v>
      </c>
      <c r="B6002" s="26">
        <v>103</v>
      </c>
    </row>
    <row r="6003" spans="1:2" x14ac:dyDescent="0.2">
      <c r="A6003" s="26">
        <v>104</v>
      </c>
      <c r="B6003" s="26">
        <v>104</v>
      </c>
    </row>
    <row r="6004" spans="1:2" x14ac:dyDescent="0.2">
      <c r="A6004" s="26">
        <v>105</v>
      </c>
      <c r="B6004" s="26">
        <v>105</v>
      </c>
    </row>
    <row r="6005" spans="1:2" x14ac:dyDescent="0.2">
      <c r="A6005" s="26">
        <v>106</v>
      </c>
      <c r="B6005" s="26">
        <v>106</v>
      </c>
    </row>
    <row r="6006" spans="1:2" x14ac:dyDescent="0.2">
      <c r="A6006" s="26">
        <v>201</v>
      </c>
      <c r="B6006" s="26">
        <v>201</v>
      </c>
    </row>
    <row r="6007" spans="1:2" x14ac:dyDescent="0.2">
      <c r="A6007" s="26">
        <v>202</v>
      </c>
      <c r="B6007" s="26">
        <v>202</v>
      </c>
    </row>
    <row r="6008" spans="1:2" x14ac:dyDescent="0.2">
      <c r="A6008" s="26">
        <v>203</v>
      </c>
      <c r="B6008" s="26">
        <v>203</v>
      </c>
    </row>
    <row r="6009" spans="1:2" x14ac:dyDescent="0.2">
      <c r="A6009" s="26">
        <v>204</v>
      </c>
      <c r="B6009" s="26" t="s">
        <v>202</v>
      </c>
    </row>
    <row r="6010" spans="1:2" x14ac:dyDescent="0.2">
      <c r="A6010" s="26">
        <v>205</v>
      </c>
      <c r="B6010" s="26">
        <v>204</v>
      </c>
    </row>
    <row r="6011" spans="1:2" x14ac:dyDescent="0.2">
      <c r="A6011" s="26">
        <v>206</v>
      </c>
      <c r="B6011" s="26">
        <v>205</v>
      </c>
    </row>
    <row r="6012" spans="1:2" x14ac:dyDescent="0.2">
      <c r="A6012" s="26">
        <v>207</v>
      </c>
      <c r="B6012" s="26">
        <v>206</v>
      </c>
    </row>
    <row r="6013" spans="1:2" x14ac:dyDescent="0.2">
      <c r="A6013" s="26">
        <v>208</v>
      </c>
      <c r="B6013" s="26">
        <v>207</v>
      </c>
    </row>
    <row r="6014" spans="1:2" x14ac:dyDescent="0.2">
      <c r="A6014" s="26">
        <v>209</v>
      </c>
      <c r="B6014" s="26">
        <v>208</v>
      </c>
    </row>
    <row r="6015" spans="1:2" x14ac:dyDescent="0.2">
      <c r="A6015" s="26">
        <v>210</v>
      </c>
      <c r="B6015" s="26">
        <v>209</v>
      </c>
    </row>
    <row r="6016" spans="1:2" x14ac:dyDescent="0.2">
      <c r="A6016" s="26">
        <v>211</v>
      </c>
      <c r="B6016" s="26">
        <v>210</v>
      </c>
    </row>
    <row r="6017" spans="1:2" x14ac:dyDescent="0.2">
      <c r="A6017" s="26">
        <v>212</v>
      </c>
      <c r="B6017" s="26">
        <v>211</v>
      </c>
    </row>
    <row r="6018" spans="1:2" x14ac:dyDescent="0.2">
      <c r="A6018" s="26">
        <v>213</v>
      </c>
      <c r="B6018" s="26">
        <v>212</v>
      </c>
    </row>
    <row r="6019" spans="1:2" x14ac:dyDescent="0.2">
      <c r="A6019" s="26">
        <v>214</v>
      </c>
      <c r="B6019" s="26">
        <v>213</v>
      </c>
    </row>
    <row r="6020" spans="1:2" x14ac:dyDescent="0.2">
      <c r="A6020" s="26">
        <v>215</v>
      </c>
      <c r="B6020" s="26">
        <v>214</v>
      </c>
    </row>
    <row r="6021" spans="1:2" x14ac:dyDescent="0.2">
      <c r="A6021" s="26">
        <v>216</v>
      </c>
      <c r="B6021" s="26">
        <v>215</v>
      </c>
    </row>
    <row r="6022" spans="1:2" x14ac:dyDescent="0.2">
      <c r="A6022" s="26">
        <v>217</v>
      </c>
      <c r="B6022" s="26">
        <v>216</v>
      </c>
    </row>
    <row r="6023" spans="1:2" x14ac:dyDescent="0.2">
      <c r="A6023" s="26">
        <v>218</v>
      </c>
      <c r="B6023" s="26">
        <v>217</v>
      </c>
    </row>
    <row r="6024" spans="1:2" x14ac:dyDescent="0.2">
      <c r="A6024" s="26">
        <v>219</v>
      </c>
      <c r="B6024" s="26">
        <v>218</v>
      </c>
    </row>
    <row r="6025" spans="1:2" x14ac:dyDescent="0.2">
      <c r="A6025" s="26">
        <v>220</v>
      </c>
      <c r="B6025" s="26">
        <v>219</v>
      </c>
    </row>
    <row r="6026" spans="1:2" x14ac:dyDescent="0.2">
      <c r="A6026" s="26">
        <v>221</v>
      </c>
      <c r="B6026" s="26">
        <v>220</v>
      </c>
    </row>
    <row r="6027" spans="1:2" x14ac:dyDescent="0.2">
      <c r="A6027" s="26">
        <v>222</v>
      </c>
      <c r="B6027" s="26">
        <v>221</v>
      </c>
    </row>
    <row r="6028" spans="1:2" x14ac:dyDescent="0.2">
      <c r="A6028" s="26">
        <v>223</v>
      </c>
      <c r="B6028" s="26">
        <v>222</v>
      </c>
    </row>
    <row r="6029" spans="1:2" x14ac:dyDescent="0.2">
      <c r="A6029" s="26">
        <v>224</v>
      </c>
      <c r="B6029" s="26">
        <v>223</v>
      </c>
    </row>
    <row r="6030" spans="1:2" x14ac:dyDescent="0.2">
      <c r="A6030" s="26">
        <v>225</v>
      </c>
      <c r="B6030" s="26">
        <v>224</v>
      </c>
    </row>
    <row r="6031" spans="1:2" x14ac:dyDescent="0.2">
      <c r="A6031" s="26">
        <v>226</v>
      </c>
      <c r="B6031" s="26">
        <v>225</v>
      </c>
    </row>
    <row r="6032" spans="1:2" x14ac:dyDescent="0.2">
      <c r="A6032" s="26">
        <v>227</v>
      </c>
      <c r="B6032" s="26">
        <v>226</v>
      </c>
    </row>
    <row r="6033" spans="1:2" x14ac:dyDescent="0.2">
      <c r="A6033" s="26">
        <v>228</v>
      </c>
      <c r="B6033" s="26">
        <v>227</v>
      </c>
    </row>
    <row r="6034" spans="1:2" x14ac:dyDescent="0.2">
      <c r="A6034" s="26">
        <v>229</v>
      </c>
      <c r="B6034" s="26">
        <v>228</v>
      </c>
    </row>
    <row r="6035" spans="1:2" x14ac:dyDescent="0.2">
      <c r="A6035" s="26">
        <v>230</v>
      </c>
      <c r="B6035" s="26">
        <v>229</v>
      </c>
    </row>
    <row r="6036" spans="1:2" x14ac:dyDescent="0.2">
      <c r="A6036" s="26">
        <v>231</v>
      </c>
      <c r="B6036" s="26">
        <v>230</v>
      </c>
    </row>
    <row r="6037" spans="1:2" x14ac:dyDescent="0.2">
      <c r="A6037" s="26">
        <v>232</v>
      </c>
      <c r="B6037" s="26">
        <v>231</v>
      </c>
    </row>
    <row r="6038" spans="1:2" x14ac:dyDescent="0.2">
      <c r="A6038" s="26">
        <v>233</v>
      </c>
      <c r="B6038" s="26">
        <v>232</v>
      </c>
    </row>
    <row r="6039" spans="1:2" x14ac:dyDescent="0.2">
      <c r="A6039" s="26">
        <v>234</v>
      </c>
      <c r="B6039" s="26">
        <v>233</v>
      </c>
    </row>
    <row r="6040" spans="1:2" x14ac:dyDescent="0.2">
      <c r="A6040" s="26">
        <v>235</v>
      </c>
      <c r="B6040" s="26">
        <v>234</v>
      </c>
    </row>
    <row r="6041" spans="1:2" x14ac:dyDescent="0.2">
      <c r="A6041" s="26">
        <v>241</v>
      </c>
      <c r="B6041" s="26">
        <v>235</v>
      </c>
    </row>
    <row r="6042" spans="1:2" x14ac:dyDescent="0.2">
      <c r="A6042" s="26">
        <v>242</v>
      </c>
      <c r="B6042" s="26">
        <v>241</v>
      </c>
    </row>
    <row r="6043" spans="1:2" x14ac:dyDescent="0.2">
      <c r="A6043" s="26">
        <v>243</v>
      </c>
      <c r="B6043" s="26">
        <v>242</v>
      </c>
    </row>
    <row r="6044" spans="1:2" x14ac:dyDescent="0.2">
      <c r="A6044" s="26">
        <v>244</v>
      </c>
      <c r="B6044" s="26">
        <v>243</v>
      </c>
    </row>
    <row r="6045" spans="1:2" x14ac:dyDescent="0.2">
      <c r="A6045" s="26">
        <v>245</v>
      </c>
      <c r="B6045" s="26">
        <v>244</v>
      </c>
    </row>
    <row r="6046" spans="1:2" x14ac:dyDescent="0.2">
      <c r="A6046" s="26">
        <v>246</v>
      </c>
      <c r="B6046" s="26">
        <v>245</v>
      </c>
    </row>
    <row r="6047" spans="1:2" x14ac:dyDescent="0.2">
      <c r="A6047" s="26">
        <v>247</v>
      </c>
      <c r="B6047" s="26">
        <v>246</v>
      </c>
    </row>
    <row r="6048" spans="1:2" x14ac:dyDescent="0.2">
      <c r="A6048" s="26">
        <v>248</v>
      </c>
      <c r="B6048" s="26">
        <v>247</v>
      </c>
    </row>
    <row r="6049" spans="1:2" x14ac:dyDescent="0.2">
      <c r="A6049" s="26">
        <v>301</v>
      </c>
      <c r="B6049" s="26">
        <v>248</v>
      </c>
    </row>
    <row r="6050" spans="1:2" x14ac:dyDescent="0.2">
      <c r="A6050" s="26">
        <v>302</v>
      </c>
      <c r="B6050" s="26">
        <v>301</v>
      </c>
    </row>
    <row r="6051" spans="1:2" x14ac:dyDescent="0.2">
      <c r="A6051" s="26">
        <v>303</v>
      </c>
      <c r="B6051" s="26">
        <v>302</v>
      </c>
    </row>
    <row r="6052" spans="1:2" x14ac:dyDescent="0.2">
      <c r="A6052" s="26">
        <v>304</v>
      </c>
      <c r="B6052" s="26">
        <v>303</v>
      </c>
    </row>
    <row r="6053" spans="1:2" x14ac:dyDescent="0.2">
      <c r="A6053" s="26">
        <v>305</v>
      </c>
      <c r="B6053" s="26">
        <v>304</v>
      </c>
    </row>
    <row r="6054" spans="1:2" x14ac:dyDescent="0.2">
      <c r="A6054" s="26">
        <v>306</v>
      </c>
      <c r="B6054" s="26">
        <v>305</v>
      </c>
    </row>
    <row r="6055" spans="1:2" x14ac:dyDescent="0.2">
      <c r="A6055" s="26">
        <v>307</v>
      </c>
      <c r="B6055" s="26">
        <v>306</v>
      </c>
    </row>
    <row r="6056" spans="1:2" x14ac:dyDescent="0.2">
      <c r="A6056" s="26" t="s">
        <v>202</v>
      </c>
      <c r="B6056" s="26">
        <v>307</v>
      </c>
    </row>
    <row r="6057" spans="1:2" x14ac:dyDescent="0.2">
      <c r="A6057" s="26" t="s">
        <v>248</v>
      </c>
      <c r="B6057" s="26" t="s">
        <v>248</v>
      </c>
    </row>
    <row r="6058" spans="1:2" x14ac:dyDescent="0.2">
      <c r="A6058" s="26" t="s">
        <v>249</v>
      </c>
      <c r="B6058" s="26" t="s">
        <v>249</v>
      </c>
    </row>
    <row r="6059" spans="1:2" x14ac:dyDescent="0.2">
      <c r="A6059" s="26" t="s">
        <v>250</v>
      </c>
      <c r="B6059" s="26" t="s">
        <v>250</v>
      </c>
    </row>
    <row r="6060" spans="1:2" x14ac:dyDescent="0.2">
      <c r="A6060" s="26" t="s">
        <v>251</v>
      </c>
      <c r="B6060" s="26" t="s">
        <v>251</v>
      </c>
    </row>
    <row r="6061" spans="1:2" x14ac:dyDescent="0.2">
      <c r="A6061" s="26" t="s">
        <v>252</v>
      </c>
      <c r="B6061" s="26" t="s">
        <v>252</v>
      </c>
    </row>
    <row r="6062" spans="1:2" x14ac:dyDescent="0.2">
      <c r="A6062" s="26" t="s">
        <v>253</v>
      </c>
      <c r="B6062" s="26" t="s">
        <v>253</v>
      </c>
    </row>
    <row r="6063" spans="1:2" x14ac:dyDescent="0.2">
      <c r="A6063" s="26" t="s">
        <v>254</v>
      </c>
      <c r="B6063" s="26" t="s">
        <v>254</v>
      </c>
    </row>
    <row r="6064" spans="1:2" x14ac:dyDescent="0.2">
      <c r="A6064" s="26" t="s">
        <v>255</v>
      </c>
      <c r="B6064" s="26" t="s">
        <v>255</v>
      </c>
    </row>
    <row r="6065" spans="1:2" x14ac:dyDescent="0.2">
      <c r="A6065" s="26" t="s">
        <v>256</v>
      </c>
      <c r="B6065" s="26" t="s">
        <v>256</v>
      </c>
    </row>
    <row r="6066" spans="1:2" x14ac:dyDescent="0.2">
      <c r="A6066" s="26" t="s">
        <v>257</v>
      </c>
      <c r="B6066" s="26" t="s">
        <v>257</v>
      </c>
    </row>
    <row r="6067" spans="1:2" x14ac:dyDescent="0.2">
      <c r="A6067" s="26" t="s">
        <v>258</v>
      </c>
      <c r="B6067" s="26" t="s">
        <v>258</v>
      </c>
    </row>
    <row r="6068" spans="1:2" x14ac:dyDescent="0.2">
      <c r="A6068" s="26" t="s">
        <v>259</v>
      </c>
      <c r="B6068" s="26" t="s">
        <v>259</v>
      </c>
    </row>
    <row r="6069" spans="1:2" x14ac:dyDescent="0.2">
      <c r="A6069" s="26" t="s">
        <v>260</v>
      </c>
      <c r="B6069" s="26" t="s">
        <v>260</v>
      </c>
    </row>
    <row r="6070" spans="1:2" x14ac:dyDescent="0.2">
      <c r="A6070" s="26" t="s">
        <v>261</v>
      </c>
      <c r="B6070" s="26" t="s">
        <v>261</v>
      </c>
    </row>
    <row r="6071" spans="1:2" x14ac:dyDescent="0.2">
      <c r="A6071" s="26" t="s">
        <v>262</v>
      </c>
      <c r="B6071" s="26" t="s">
        <v>262</v>
      </c>
    </row>
    <row r="6072" spans="1:2" x14ac:dyDescent="0.2">
      <c r="A6072" s="26" t="s">
        <v>263</v>
      </c>
      <c r="B6072" s="26" t="s">
        <v>263</v>
      </c>
    </row>
    <row r="6073" spans="1:2" x14ac:dyDescent="0.2">
      <c r="A6073" s="26" t="s">
        <v>264</v>
      </c>
      <c r="B6073" s="26" t="s">
        <v>264</v>
      </c>
    </row>
    <row r="6074" spans="1:2" x14ac:dyDescent="0.2">
      <c r="A6074" s="26" t="s">
        <v>265</v>
      </c>
      <c r="B6074" s="26" t="s">
        <v>265</v>
      </c>
    </row>
    <row r="6075" spans="1:2" x14ac:dyDescent="0.2">
      <c r="A6075" s="26" t="s">
        <v>266</v>
      </c>
      <c r="B6075" s="26" t="s">
        <v>266</v>
      </c>
    </row>
    <row r="6076" spans="1:2" x14ac:dyDescent="0.2">
      <c r="A6076" s="26" t="s">
        <v>267</v>
      </c>
      <c r="B6076" s="26" t="s">
        <v>267</v>
      </c>
    </row>
    <row r="6077" spans="1:2" x14ac:dyDescent="0.2">
      <c r="A6077" s="26" t="s">
        <v>268</v>
      </c>
      <c r="B6077" s="26" t="s">
        <v>268</v>
      </c>
    </row>
    <row r="6078" spans="1:2" x14ac:dyDescent="0.2">
      <c r="A6078" s="26" t="s">
        <v>269</v>
      </c>
      <c r="B6078" s="26" t="s">
        <v>269</v>
      </c>
    </row>
    <row r="6079" spans="1:2" x14ac:dyDescent="0.2">
      <c r="A6079" s="26" t="s">
        <v>270</v>
      </c>
      <c r="B6079" s="26" t="s">
        <v>270</v>
      </c>
    </row>
    <row r="6080" spans="1:2" x14ac:dyDescent="0.2">
      <c r="A6080" s="26" t="s">
        <v>271</v>
      </c>
      <c r="B6080" s="26" t="s">
        <v>271</v>
      </c>
    </row>
    <row r="6081" spans="1:2" x14ac:dyDescent="0.2">
      <c r="A6081" s="26" t="s">
        <v>272</v>
      </c>
      <c r="B6081" s="26" t="s">
        <v>272</v>
      </c>
    </row>
    <row r="6082" spans="1:2" x14ac:dyDescent="0.2">
      <c r="A6082" s="26" t="s">
        <v>273</v>
      </c>
      <c r="B6082" s="26" t="s">
        <v>273</v>
      </c>
    </row>
    <row r="6083" spans="1:2" x14ac:dyDescent="0.2">
      <c r="A6083" s="26" t="s">
        <v>274</v>
      </c>
      <c r="B6083" s="26" t="s">
        <v>274</v>
      </c>
    </row>
    <row r="6084" spans="1:2" x14ac:dyDescent="0.2">
      <c r="A6084" s="26" t="s">
        <v>275</v>
      </c>
      <c r="B6084" s="26" t="s">
        <v>275</v>
      </c>
    </row>
    <row r="6085" spans="1:2" x14ac:dyDescent="0.2">
      <c r="A6085" s="26" t="s">
        <v>276</v>
      </c>
      <c r="B6085" s="26" t="s">
        <v>276</v>
      </c>
    </row>
    <row r="6086" spans="1:2" x14ac:dyDescent="0.2">
      <c r="A6086" s="26" t="s">
        <v>277</v>
      </c>
      <c r="B6086" s="26" t="s">
        <v>277</v>
      </c>
    </row>
    <row r="6087" spans="1:2" x14ac:dyDescent="0.2">
      <c r="A6087" s="26" t="s">
        <v>278</v>
      </c>
      <c r="B6087" s="26" t="s">
        <v>278</v>
      </c>
    </row>
    <row r="6088" spans="1:2" x14ac:dyDescent="0.2">
      <c r="A6088" s="26" t="s">
        <v>279</v>
      </c>
      <c r="B6088" s="26" t="s">
        <v>279</v>
      </c>
    </row>
    <row r="6089" spans="1:2" x14ac:dyDescent="0.2">
      <c r="A6089" s="26" t="s">
        <v>280</v>
      </c>
      <c r="B6089" s="26" t="s">
        <v>280</v>
      </c>
    </row>
    <row r="6090" spans="1:2" x14ac:dyDescent="0.2">
      <c r="A6090" s="26" t="s">
        <v>281</v>
      </c>
      <c r="B6090" s="26" t="s">
        <v>281</v>
      </c>
    </row>
    <row r="6091" spans="1:2" x14ac:dyDescent="0.2">
      <c r="A6091" s="26" t="s">
        <v>282</v>
      </c>
      <c r="B6091" s="26" t="s">
        <v>282</v>
      </c>
    </row>
    <row r="6092" spans="1:2" x14ac:dyDescent="0.2">
      <c r="A6092" s="26" t="s">
        <v>283</v>
      </c>
      <c r="B6092" s="26" t="s">
        <v>283</v>
      </c>
    </row>
    <row r="6093" spans="1:2" x14ac:dyDescent="0.2">
      <c r="A6093" s="26" t="s">
        <v>284</v>
      </c>
      <c r="B6093" s="26" t="s">
        <v>284</v>
      </c>
    </row>
    <row r="6094" spans="1:2" x14ac:dyDescent="0.2">
      <c r="A6094" s="26" t="s">
        <v>285</v>
      </c>
      <c r="B6094" s="26" t="s">
        <v>285</v>
      </c>
    </row>
    <row r="6095" spans="1:2" x14ac:dyDescent="0.2">
      <c r="A6095" s="26" t="s">
        <v>286</v>
      </c>
      <c r="B6095" s="26" t="s">
        <v>286</v>
      </c>
    </row>
    <row r="6096" spans="1:2" x14ac:dyDescent="0.2">
      <c r="A6096" s="26" t="s">
        <v>287</v>
      </c>
      <c r="B6096" s="26" t="s">
        <v>287</v>
      </c>
    </row>
    <row r="6097" spans="1:2" x14ac:dyDescent="0.2">
      <c r="A6097" s="26" t="s">
        <v>288</v>
      </c>
      <c r="B6097" s="26" t="s">
        <v>288</v>
      </c>
    </row>
    <row r="6098" spans="1:2" x14ac:dyDescent="0.2">
      <c r="A6098" s="26" t="s">
        <v>289</v>
      </c>
      <c r="B6098" s="26" t="s">
        <v>289</v>
      </c>
    </row>
    <row r="6099" spans="1:2" x14ac:dyDescent="0.2">
      <c r="A6099" s="26" t="s">
        <v>290</v>
      </c>
      <c r="B6099" s="26" t="s">
        <v>290</v>
      </c>
    </row>
    <row r="6100" spans="1:2" x14ac:dyDescent="0.2">
      <c r="A6100" s="26" t="s">
        <v>291</v>
      </c>
      <c r="B6100" s="26" t="s">
        <v>291</v>
      </c>
    </row>
    <row r="6101" spans="1:2" x14ac:dyDescent="0.2">
      <c r="A6101" s="26" t="s">
        <v>292</v>
      </c>
      <c r="B6101" s="26" t="s">
        <v>292</v>
      </c>
    </row>
    <row r="6102" spans="1:2" x14ac:dyDescent="0.2">
      <c r="A6102" s="26" t="s">
        <v>293</v>
      </c>
      <c r="B6102" s="26" t="s">
        <v>293</v>
      </c>
    </row>
    <row r="6103" spans="1:2" x14ac:dyDescent="0.2">
      <c r="A6103" s="26" t="s">
        <v>294</v>
      </c>
      <c r="B6103" s="26" t="s">
        <v>294</v>
      </c>
    </row>
    <row r="6104" spans="1:2" x14ac:dyDescent="0.2">
      <c r="A6104" s="26" t="s">
        <v>295</v>
      </c>
      <c r="B6104" s="26" t="s">
        <v>295</v>
      </c>
    </row>
    <row r="6105" spans="1:2" x14ac:dyDescent="0.2">
      <c r="A6105" s="26" t="s">
        <v>296</v>
      </c>
      <c r="B6105" s="26" t="s">
        <v>296</v>
      </c>
    </row>
    <row r="6106" spans="1:2" x14ac:dyDescent="0.2">
      <c r="A6106" s="26" t="s">
        <v>297</v>
      </c>
      <c r="B6106" s="26" t="s">
        <v>297</v>
      </c>
    </row>
    <row r="6107" spans="1:2" x14ac:dyDescent="0.2">
      <c r="A6107" s="26" t="s">
        <v>298</v>
      </c>
      <c r="B6107" s="26" t="s">
        <v>298</v>
      </c>
    </row>
    <row r="6108" spans="1:2" x14ac:dyDescent="0.2">
      <c r="A6108" s="26" t="s">
        <v>299</v>
      </c>
      <c r="B6108" s="26" t="s">
        <v>299</v>
      </c>
    </row>
    <row r="6109" spans="1:2" x14ac:dyDescent="0.2">
      <c r="A6109" s="26" t="s">
        <v>300</v>
      </c>
      <c r="B6109" s="26" t="s">
        <v>300</v>
      </c>
    </row>
    <row r="6110" spans="1:2" x14ac:dyDescent="0.2">
      <c r="A6110" s="26" t="s">
        <v>301</v>
      </c>
      <c r="B6110" s="26" t="s">
        <v>301</v>
      </c>
    </row>
    <row r="6111" spans="1:2" x14ac:dyDescent="0.2">
      <c r="A6111" s="26" t="s">
        <v>302</v>
      </c>
      <c r="B6111" s="26" t="s">
        <v>302</v>
      </c>
    </row>
    <row r="6112" spans="1:2" x14ac:dyDescent="0.2">
      <c r="A6112" s="26" t="s">
        <v>303</v>
      </c>
      <c r="B6112" s="26" t="s">
        <v>303</v>
      </c>
    </row>
    <row r="6113" spans="1:2" x14ac:dyDescent="0.2">
      <c r="A6113" s="26" t="s">
        <v>304</v>
      </c>
      <c r="B6113" s="26" t="s">
        <v>304</v>
      </c>
    </row>
    <row r="6114" spans="1:2" x14ac:dyDescent="0.2">
      <c r="A6114" s="26" t="s">
        <v>305</v>
      </c>
      <c r="B6114" s="26" t="s">
        <v>305</v>
      </c>
    </row>
    <row r="6115" spans="1:2" x14ac:dyDescent="0.2">
      <c r="A6115" s="26" t="s">
        <v>306</v>
      </c>
      <c r="B6115" s="26" t="s">
        <v>306</v>
      </c>
    </row>
    <row r="6116" spans="1:2" x14ac:dyDescent="0.2">
      <c r="A6116" s="26" t="s">
        <v>307</v>
      </c>
      <c r="B6116" s="26" t="s">
        <v>307</v>
      </c>
    </row>
    <row r="6117" spans="1:2" x14ac:dyDescent="0.2">
      <c r="A6117" s="26" t="s">
        <v>308</v>
      </c>
      <c r="B6117" s="26" t="s">
        <v>308</v>
      </c>
    </row>
    <row r="6118" spans="1:2" x14ac:dyDescent="0.2">
      <c r="A6118" s="26" t="s">
        <v>309</v>
      </c>
      <c r="B6118" s="26" t="s">
        <v>309</v>
      </c>
    </row>
    <row r="6119" spans="1:2" x14ac:dyDescent="0.2">
      <c r="A6119" s="26" t="s">
        <v>310</v>
      </c>
      <c r="B6119" s="26" t="s">
        <v>310</v>
      </c>
    </row>
    <row r="6120" spans="1:2" x14ac:dyDescent="0.2">
      <c r="A6120" s="26" t="s">
        <v>311</v>
      </c>
      <c r="B6120" s="26" t="s">
        <v>311</v>
      </c>
    </row>
    <row r="6121" spans="1:2" x14ac:dyDescent="0.2">
      <c r="A6121" s="26" t="s">
        <v>312</v>
      </c>
      <c r="B6121" s="26" t="s">
        <v>312</v>
      </c>
    </row>
    <row r="6122" spans="1:2" x14ac:dyDescent="0.2">
      <c r="A6122" s="26" t="s">
        <v>313</v>
      </c>
      <c r="B6122" s="26" t="s">
        <v>313</v>
      </c>
    </row>
    <row r="6123" spans="1:2" x14ac:dyDescent="0.2">
      <c r="A6123" s="26" t="s">
        <v>314</v>
      </c>
      <c r="B6123" s="26" t="s">
        <v>314</v>
      </c>
    </row>
    <row r="6124" spans="1:2" x14ac:dyDescent="0.2">
      <c r="A6124" s="26" t="s">
        <v>315</v>
      </c>
      <c r="B6124" s="26" t="s">
        <v>315</v>
      </c>
    </row>
    <row r="6125" spans="1:2" x14ac:dyDescent="0.2">
      <c r="A6125" s="26" t="s">
        <v>316</v>
      </c>
      <c r="B6125" s="26" t="s">
        <v>316</v>
      </c>
    </row>
    <row r="6126" spans="1:2" x14ac:dyDescent="0.2">
      <c r="A6126" s="26" t="s">
        <v>317</v>
      </c>
      <c r="B6126" s="26" t="s">
        <v>317</v>
      </c>
    </row>
    <row r="6127" spans="1:2" x14ac:dyDescent="0.2">
      <c r="A6127" s="26" t="s">
        <v>318</v>
      </c>
      <c r="B6127" s="26" t="s">
        <v>318</v>
      </c>
    </row>
    <row r="6128" spans="1:2" x14ac:dyDescent="0.2">
      <c r="A6128" s="26" t="s">
        <v>319</v>
      </c>
      <c r="B6128" s="26" t="s">
        <v>319</v>
      </c>
    </row>
    <row r="6129" spans="1:2" x14ac:dyDescent="0.2">
      <c r="A6129" s="26" t="s">
        <v>320</v>
      </c>
      <c r="B6129" s="26" t="s">
        <v>320</v>
      </c>
    </row>
    <row r="6130" spans="1:2" x14ac:dyDescent="0.2">
      <c r="A6130" s="26" t="s">
        <v>321</v>
      </c>
      <c r="B6130" s="26" t="s">
        <v>321</v>
      </c>
    </row>
    <row r="6131" spans="1:2" x14ac:dyDescent="0.2">
      <c r="A6131" s="26" t="s">
        <v>322</v>
      </c>
      <c r="B6131" s="26" t="s">
        <v>322</v>
      </c>
    </row>
    <row r="6132" spans="1:2" x14ac:dyDescent="0.2">
      <c r="A6132" s="26" t="s">
        <v>323</v>
      </c>
      <c r="B6132" s="26" t="s">
        <v>323</v>
      </c>
    </row>
    <row r="6133" spans="1:2" x14ac:dyDescent="0.2">
      <c r="A6133" s="26" t="s">
        <v>324</v>
      </c>
      <c r="B6133" s="26" t="s">
        <v>324</v>
      </c>
    </row>
    <row r="6134" spans="1:2" x14ac:dyDescent="0.2">
      <c r="A6134" s="26" t="s">
        <v>325</v>
      </c>
      <c r="B6134" s="26" t="s">
        <v>325</v>
      </c>
    </row>
    <row r="6135" spans="1:2" x14ac:dyDescent="0.2">
      <c r="A6135" s="26" t="s">
        <v>326</v>
      </c>
      <c r="B6135" s="26" t="s">
        <v>326</v>
      </c>
    </row>
    <row r="6136" spans="1:2" x14ac:dyDescent="0.2">
      <c r="A6136" s="26" t="s">
        <v>327</v>
      </c>
      <c r="B6136" s="26" t="s">
        <v>327</v>
      </c>
    </row>
    <row r="6137" spans="1:2" x14ac:dyDescent="0.2">
      <c r="A6137" s="26" t="s">
        <v>328</v>
      </c>
      <c r="B6137" s="26" t="s">
        <v>328</v>
      </c>
    </row>
    <row r="6138" spans="1:2" x14ac:dyDescent="0.2">
      <c r="A6138" s="26" t="s">
        <v>329</v>
      </c>
      <c r="B6138" s="26" t="s">
        <v>329</v>
      </c>
    </row>
    <row r="6139" spans="1:2" x14ac:dyDescent="0.2">
      <c r="A6139" s="26" t="s">
        <v>330</v>
      </c>
      <c r="B6139" s="26" t="s">
        <v>330</v>
      </c>
    </row>
    <row r="6140" spans="1:2" x14ac:dyDescent="0.2">
      <c r="A6140" s="26" t="s">
        <v>331</v>
      </c>
      <c r="B6140" s="26" t="s">
        <v>331</v>
      </c>
    </row>
    <row r="6141" spans="1:2" x14ac:dyDescent="0.2">
      <c r="A6141" s="26" t="s">
        <v>332</v>
      </c>
      <c r="B6141" s="26" t="s">
        <v>332</v>
      </c>
    </row>
    <row r="6142" spans="1:2" x14ac:dyDescent="0.2">
      <c r="A6142" s="26" t="s">
        <v>333</v>
      </c>
      <c r="B6142" s="26" t="s">
        <v>333</v>
      </c>
    </row>
    <row r="6143" spans="1:2" x14ac:dyDescent="0.2">
      <c r="A6143" s="26" t="s">
        <v>334</v>
      </c>
      <c r="B6143" s="26" t="s">
        <v>334</v>
      </c>
    </row>
    <row r="6144" spans="1:2" x14ac:dyDescent="0.2">
      <c r="A6144" s="26" t="s">
        <v>335</v>
      </c>
      <c r="B6144" s="26" t="s">
        <v>335</v>
      </c>
    </row>
    <row r="6145" spans="1:2" x14ac:dyDescent="0.2">
      <c r="A6145" s="26" t="s">
        <v>336</v>
      </c>
      <c r="B6145" s="26" t="s">
        <v>336</v>
      </c>
    </row>
    <row r="6146" spans="1:2" x14ac:dyDescent="0.2">
      <c r="A6146" s="26" t="s">
        <v>337</v>
      </c>
      <c r="B6146" s="26" t="s">
        <v>337</v>
      </c>
    </row>
    <row r="6147" spans="1:2" x14ac:dyDescent="0.2">
      <c r="A6147" s="26" t="s">
        <v>338</v>
      </c>
      <c r="B6147" s="26" t="s">
        <v>338</v>
      </c>
    </row>
    <row r="6148" spans="1:2" x14ac:dyDescent="0.2">
      <c r="A6148" s="26" t="s">
        <v>339</v>
      </c>
      <c r="B6148" s="26" t="s">
        <v>339</v>
      </c>
    </row>
    <row r="6149" spans="1:2" x14ac:dyDescent="0.2">
      <c r="A6149" s="26" t="s">
        <v>340</v>
      </c>
      <c r="B6149" s="26" t="s">
        <v>340</v>
      </c>
    </row>
    <row r="6150" spans="1:2" x14ac:dyDescent="0.2">
      <c r="A6150" s="26" t="s">
        <v>341</v>
      </c>
      <c r="B6150" s="26" t="s">
        <v>341</v>
      </c>
    </row>
    <row r="6151" spans="1:2" x14ac:dyDescent="0.2">
      <c r="A6151" s="26" t="s">
        <v>342</v>
      </c>
      <c r="B6151" s="26" t="s">
        <v>342</v>
      </c>
    </row>
    <row r="6152" spans="1:2" x14ac:dyDescent="0.2">
      <c r="A6152" s="26" t="s">
        <v>343</v>
      </c>
      <c r="B6152" s="26" t="s">
        <v>343</v>
      </c>
    </row>
    <row r="6153" spans="1:2" x14ac:dyDescent="0.2">
      <c r="A6153" s="26" t="s">
        <v>344</v>
      </c>
      <c r="B6153" s="26" t="s">
        <v>344</v>
      </c>
    </row>
    <row r="6154" spans="1:2" x14ac:dyDescent="0.2">
      <c r="A6154" s="26" t="s">
        <v>345</v>
      </c>
      <c r="B6154" s="26" t="s">
        <v>345</v>
      </c>
    </row>
    <row r="6155" spans="1:2" x14ac:dyDescent="0.2">
      <c r="A6155" s="26" t="s">
        <v>346</v>
      </c>
      <c r="B6155" s="26" t="s">
        <v>346</v>
      </c>
    </row>
    <row r="6156" spans="1:2" x14ac:dyDescent="0.2">
      <c r="A6156" s="26" t="s">
        <v>347</v>
      </c>
      <c r="B6156" s="26" t="s">
        <v>347</v>
      </c>
    </row>
    <row r="6157" spans="1:2" x14ac:dyDescent="0.2">
      <c r="A6157" s="26" t="s">
        <v>348</v>
      </c>
      <c r="B6157" s="26" t="s">
        <v>348</v>
      </c>
    </row>
    <row r="6158" spans="1:2" x14ac:dyDescent="0.2">
      <c r="A6158" s="26" t="s">
        <v>349</v>
      </c>
      <c r="B6158" s="26" t="s">
        <v>349</v>
      </c>
    </row>
    <row r="6159" spans="1:2" x14ac:dyDescent="0.2">
      <c r="A6159" s="26" t="s">
        <v>350</v>
      </c>
      <c r="B6159" s="26" t="s">
        <v>350</v>
      </c>
    </row>
    <row r="6160" spans="1:2" x14ac:dyDescent="0.2">
      <c r="A6160" s="26" t="s">
        <v>351</v>
      </c>
      <c r="B6160" s="26" t="s">
        <v>351</v>
      </c>
    </row>
    <row r="6161" spans="1:2" x14ac:dyDescent="0.2">
      <c r="A6161" s="26" t="s">
        <v>352</v>
      </c>
      <c r="B6161" s="26" t="s">
        <v>352</v>
      </c>
    </row>
    <row r="6162" spans="1:2" x14ac:dyDescent="0.2">
      <c r="A6162" s="26" t="s">
        <v>353</v>
      </c>
      <c r="B6162" s="26" t="s">
        <v>353</v>
      </c>
    </row>
    <row r="6163" spans="1:2" x14ac:dyDescent="0.2">
      <c r="A6163" s="26" t="s">
        <v>354</v>
      </c>
      <c r="B6163" s="26" t="s">
        <v>354</v>
      </c>
    </row>
    <row r="6164" spans="1:2" x14ac:dyDescent="0.2">
      <c r="A6164" s="26" t="s">
        <v>355</v>
      </c>
      <c r="B6164" s="26" t="s">
        <v>355</v>
      </c>
    </row>
    <row r="6165" spans="1:2" x14ac:dyDescent="0.2">
      <c r="A6165" s="26" t="s">
        <v>356</v>
      </c>
      <c r="B6165" s="26" t="s">
        <v>356</v>
      </c>
    </row>
    <row r="6166" spans="1:2" x14ac:dyDescent="0.2">
      <c r="A6166" s="26" t="s">
        <v>357</v>
      </c>
      <c r="B6166" s="26" t="s">
        <v>357</v>
      </c>
    </row>
    <row r="6167" spans="1:2" x14ac:dyDescent="0.2">
      <c r="A6167" s="26" t="s">
        <v>358</v>
      </c>
      <c r="B6167" s="26" t="s">
        <v>358</v>
      </c>
    </row>
    <row r="6168" spans="1:2" x14ac:dyDescent="0.2">
      <c r="A6168" s="26" t="s">
        <v>359</v>
      </c>
      <c r="B6168" s="26" t="s">
        <v>359</v>
      </c>
    </row>
    <row r="6169" spans="1:2" x14ac:dyDescent="0.2">
      <c r="A6169" s="26" t="s">
        <v>360</v>
      </c>
      <c r="B6169" s="26" t="s">
        <v>360</v>
      </c>
    </row>
    <row r="6170" spans="1:2" x14ac:dyDescent="0.2">
      <c r="A6170" s="26" t="s">
        <v>361</v>
      </c>
      <c r="B6170" s="26" t="s">
        <v>361</v>
      </c>
    </row>
    <row r="6171" spans="1:2" x14ac:dyDescent="0.2">
      <c r="A6171" s="26" t="s">
        <v>362</v>
      </c>
      <c r="B6171" s="26" t="s">
        <v>362</v>
      </c>
    </row>
    <row r="6172" spans="1:2" x14ac:dyDescent="0.2">
      <c r="A6172" s="26" t="s">
        <v>363</v>
      </c>
      <c r="B6172" s="26" t="s">
        <v>363</v>
      </c>
    </row>
    <row r="6173" spans="1:2" x14ac:dyDescent="0.2">
      <c r="A6173" s="26" t="s">
        <v>364</v>
      </c>
      <c r="B6173" s="26" t="s">
        <v>364</v>
      </c>
    </row>
    <row r="6174" spans="1:2" x14ac:dyDescent="0.2">
      <c r="A6174" s="26" t="s">
        <v>365</v>
      </c>
      <c r="B6174" s="26" t="s">
        <v>365</v>
      </c>
    </row>
    <row r="6175" spans="1:2" x14ac:dyDescent="0.2">
      <c r="A6175" s="26" t="s">
        <v>366</v>
      </c>
      <c r="B6175" s="26" t="s">
        <v>366</v>
      </c>
    </row>
    <row r="6176" spans="1:2" x14ac:dyDescent="0.2">
      <c r="A6176" s="26" t="s">
        <v>367</v>
      </c>
      <c r="B6176" s="26" t="s">
        <v>367</v>
      </c>
    </row>
    <row r="6177" spans="1:2" x14ac:dyDescent="0.2">
      <c r="A6177" s="26" t="s">
        <v>368</v>
      </c>
      <c r="B6177" s="26" t="s">
        <v>368</v>
      </c>
    </row>
    <row r="6178" spans="1:2" x14ac:dyDescent="0.2">
      <c r="A6178" s="26" t="s">
        <v>369</v>
      </c>
      <c r="B6178" s="26" t="s">
        <v>369</v>
      </c>
    </row>
    <row r="6179" spans="1:2" x14ac:dyDescent="0.2">
      <c r="A6179" s="26" t="s">
        <v>370</v>
      </c>
      <c r="B6179" s="26" t="s">
        <v>370</v>
      </c>
    </row>
    <row r="6180" spans="1:2" x14ac:dyDescent="0.2">
      <c r="A6180" s="26" t="s">
        <v>371</v>
      </c>
      <c r="B6180" s="26" t="s">
        <v>371</v>
      </c>
    </row>
    <row r="6181" spans="1:2" x14ac:dyDescent="0.2">
      <c r="A6181" s="26" t="s">
        <v>372</v>
      </c>
      <c r="B6181" s="26" t="s">
        <v>372</v>
      </c>
    </row>
    <row r="6182" spans="1:2" x14ac:dyDescent="0.2">
      <c r="A6182" s="26" t="s">
        <v>373</v>
      </c>
      <c r="B6182" s="26" t="s">
        <v>373</v>
      </c>
    </row>
    <row r="6183" spans="1:2" x14ac:dyDescent="0.2">
      <c r="A6183" s="26" t="s">
        <v>374</v>
      </c>
      <c r="B6183" s="26" t="s">
        <v>374</v>
      </c>
    </row>
    <row r="6184" spans="1:2" x14ac:dyDescent="0.2">
      <c r="A6184" s="26" t="s">
        <v>375</v>
      </c>
      <c r="B6184" s="26" t="s">
        <v>375</v>
      </c>
    </row>
    <row r="6185" spans="1:2" x14ac:dyDescent="0.2">
      <c r="A6185" s="26" t="s">
        <v>376</v>
      </c>
      <c r="B6185" s="26" t="s">
        <v>376</v>
      </c>
    </row>
    <row r="6186" spans="1:2" x14ac:dyDescent="0.2">
      <c r="A6186" s="26" t="s">
        <v>377</v>
      </c>
      <c r="B6186" s="26" t="s">
        <v>377</v>
      </c>
    </row>
    <row r="6187" spans="1:2" x14ac:dyDescent="0.2">
      <c r="A6187" s="26" t="s">
        <v>378</v>
      </c>
      <c r="B6187" s="26" t="s">
        <v>378</v>
      </c>
    </row>
    <row r="6188" spans="1:2" x14ac:dyDescent="0.2">
      <c r="A6188" s="26" t="s">
        <v>379</v>
      </c>
      <c r="B6188" s="26" t="s">
        <v>379</v>
      </c>
    </row>
    <row r="6189" spans="1:2" x14ac:dyDescent="0.2">
      <c r="A6189" s="26" t="s">
        <v>380</v>
      </c>
      <c r="B6189" s="26" t="s">
        <v>380</v>
      </c>
    </row>
    <row r="6190" spans="1:2" x14ac:dyDescent="0.2">
      <c r="A6190" s="26" t="s">
        <v>381</v>
      </c>
      <c r="B6190" s="26" t="s">
        <v>381</v>
      </c>
    </row>
    <row r="6191" spans="1:2" x14ac:dyDescent="0.2">
      <c r="A6191" s="26" t="s">
        <v>382</v>
      </c>
      <c r="B6191" s="26" t="s">
        <v>382</v>
      </c>
    </row>
    <row r="6192" spans="1:2" x14ac:dyDescent="0.2">
      <c r="A6192" s="26" t="s">
        <v>383</v>
      </c>
      <c r="B6192" s="26" t="s">
        <v>383</v>
      </c>
    </row>
    <row r="6193" spans="1:2" x14ac:dyDescent="0.2">
      <c r="A6193" s="26" t="s">
        <v>384</v>
      </c>
      <c r="B6193" s="26" t="s">
        <v>384</v>
      </c>
    </row>
    <row r="6194" spans="1:2" x14ac:dyDescent="0.2">
      <c r="A6194" s="26" t="s">
        <v>385</v>
      </c>
      <c r="B6194" s="26" t="s">
        <v>385</v>
      </c>
    </row>
    <row r="6195" spans="1:2" x14ac:dyDescent="0.2">
      <c r="A6195" s="26" t="s">
        <v>386</v>
      </c>
      <c r="B6195" s="26" t="s">
        <v>386</v>
      </c>
    </row>
    <row r="6196" spans="1:2" x14ac:dyDescent="0.2">
      <c r="A6196" s="26" t="s">
        <v>387</v>
      </c>
      <c r="B6196" s="26" t="s">
        <v>387</v>
      </c>
    </row>
    <row r="6197" spans="1:2" x14ac:dyDescent="0.2">
      <c r="A6197" s="26" t="s">
        <v>388</v>
      </c>
      <c r="B6197" s="26" t="s">
        <v>388</v>
      </c>
    </row>
    <row r="6198" spans="1:2" x14ac:dyDescent="0.2">
      <c r="A6198" s="26" t="s">
        <v>389</v>
      </c>
      <c r="B6198" s="26" t="s">
        <v>389</v>
      </c>
    </row>
    <row r="6199" spans="1:2" x14ac:dyDescent="0.2">
      <c r="A6199" s="26" t="s">
        <v>390</v>
      </c>
      <c r="B6199" s="26" t="s">
        <v>390</v>
      </c>
    </row>
    <row r="6200" spans="1:2" x14ac:dyDescent="0.2">
      <c r="A6200" s="26" t="s">
        <v>391</v>
      </c>
      <c r="B6200" s="26" t="s">
        <v>391</v>
      </c>
    </row>
    <row r="6201" spans="1:2" x14ac:dyDescent="0.2">
      <c r="A6201" s="26" t="s">
        <v>392</v>
      </c>
      <c r="B6201" s="26" t="s">
        <v>392</v>
      </c>
    </row>
    <row r="6202" spans="1:2" x14ac:dyDescent="0.2">
      <c r="A6202" s="26" t="s">
        <v>393</v>
      </c>
      <c r="B6202" s="26" t="s">
        <v>393</v>
      </c>
    </row>
    <row r="6203" spans="1:2" x14ac:dyDescent="0.2">
      <c r="A6203" s="26" t="s">
        <v>394</v>
      </c>
      <c r="B6203" s="26" t="s">
        <v>394</v>
      </c>
    </row>
    <row r="6204" spans="1:2" x14ac:dyDescent="0.2">
      <c r="A6204" s="26" t="s">
        <v>395</v>
      </c>
      <c r="B6204" s="26" t="s">
        <v>395</v>
      </c>
    </row>
    <row r="6205" spans="1:2" x14ac:dyDescent="0.2">
      <c r="A6205" s="26" t="s">
        <v>396</v>
      </c>
      <c r="B6205" s="26" t="s">
        <v>396</v>
      </c>
    </row>
    <row r="6206" spans="1:2" x14ac:dyDescent="0.2">
      <c r="A6206" s="26" t="s">
        <v>397</v>
      </c>
      <c r="B6206" s="26" t="s">
        <v>397</v>
      </c>
    </row>
    <row r="6207" spans="1:2" x14ac:dyDescent="0.2">
      <c r="A6207" s="26" t="s">
        <v>398</v>
      </c>
      <c r="B6207" s="26" t="s">
        <v>398</v>
      </c>
    </row>
    <row r="6208" spans="1:2" x14ac:dyDescent="0.2">
      <c r="A6208" s="26" t="s">
        <v>399</v>
      </c>
      <c r="B6208" s="26" t="s">
        <v>399</v>
      </c>
    </row>
    <row r="6209" spans="1:2" x14ac:dyDescent="0.2">
      <c r="A6209" s="26" t="s">
        <v>400</v>
      </c>
      <c r="B6209" s="26" t="s">
        <v>400</v>
      </c>
    </row>
    <row r="6210" spans="1:2" x14ac:dyDescent="0.2">
      <c r="A6210" s="26" t="s">
        <v>401</v>
      </c>
      <c r="B6210" s="26" t="s">
        <v>401</v>
      </c>
    </row>
    <row r="6211" spans="1:2" x14ac:dyDescent="0.2">
      <c r="A6211" s="26" t="s">
        <v>402</v>
      </c>
      <c r="B6211" s="26" t="s">
        <v>402</v>
      </c>
    </row>
    <row r="6212" spans="1:2" x14ac:dyDescent="0.2">
      <c r="A6212" s="26" t="s">
        <v>403</v>
      </c>
      <c r="B6212" s="26" t="s">
        <v>403</v>
      </c>
    </row>
    <row r="6213" spans="1:2" x14ac:dyDescent="0.2">
      <c r="A6213" s="26" t="s">
        <v>404</v>
      </c>
      <c r="B6213" s="26" t="s">
        <v>404</v>
      </c>
    </row>
    <row r="6214" spans="1:2" x14ac:dyDescent="0.2">
      <c r="A6214" s="26" t="s">
        <v>405</v>
      </c>
      <c r="B6214" s="26" t="s">
        <v>405</v>
      </c>
    </row>
    <row r="6215" spans="1:2" x14ac:dyDescent="0.2">
      <c r="A6215" s="26" t="s">
        <v>406</v>
      </c>
      <c r="B6215" s="26" t="s">
        <v>406</v>
      </c>
    </row>
    <row r="6216" spans="1:2" x14ac:dyDescent="0.2">
      <c r="A6216" s="26" t="s">
        <v>407</v>
      </c>
      <c r="B6216" s="26" t="s">
        <v>407</v>
      </c>
    </row>
    <row r="6217" spans="1:2" x14ac:dyDescent="0.2">
      <c r="A6217" s="26" t="s">
        <v>408</v>
      </c>
      <c r="B6217" s="26" t="s">
        <v>408</v>
      </c>
    </row>
    <row r="6218" spans="1:2" x14ac:dyDescent="0.2">
      <c r="A6218" s="26" t="s">
        <v>409</v>
      </c>
      <c r="B6218" s="26" t="s">
        <v>409</v>
      </c>
    </row>
    <row r="6219" spans="1:2" x14ac:dyDescent="0.2">
      <c r="A6219" s="26" t="s">
        <v>410</v>
      </c>
      <c r="B6219" s="26" t="s">
        <v>410</v>
      </c>
    </row>
    <row r="6220" spans="1:2" x14ac:dyDescent="0.2">
      <c r="A6220" s="26" t="s">
        <v>411</v>
      </c>
      <c r="B6220" s="26" t="s">
        <v>411</v>
      </c>
    </row>
    <row r="6221" spans="1:2" x14ac:dyDescent="0.2">
      <c r="A6221" s="26" t="s">
        <v>412</v>
      </c>
      <c r="B6221" s="26" t="s">
        <v>412</v>
      </c>
    </row>
    <row r="6222" spans="1:2" x14ac:dyDescent="0.2">
      <c r="A6222" s="26" t="s">
        <v>413</v>
      </c>
      <c r="B6222" s="26" t="s">
        <v>413</v>
      </c>
    </row>
    <row r="6223" spans="1:2" x14ac:dyDescent="0.2">
      <c r="A6223" s="26" t="s">
        <v>414</v>
      </c>
      <c r="B6223" s="26" t="s">
        <v>414</v>
      </c>
    </row>
    <row r="6224" spans="1:2" x14ac:dyDescent="0.2">
      <c r="A6224" s="26" t="s">
        <v>415</v>
      </c>
      <c r="B6224" s="26" t="s">
        <v>415</v>
      </c>
    </row>
    <row r="6225" spans="1:2" x14ac:dyDescent="0.2">
      <c r="A6225" s="26" t="s">
        <v>416</v>
      </c>
      <c r="B6225" s="26" t="s">
        <v>416</v>
      </c>
    </row>
    <row r="6226" spans="1:2" x14ac:dyDescent="0.2">
      <c r="A6226" s="26" t="s">
        <v>417</v>
      </c>
      <c r="B6226" s="26" t="s">
        <v>417</v>
      </c>
    </row>
    <row r="6227" spans="1:2" x14ac:dyDescent="0.2">
      <c r="A6227" s="26" t="s">
        <v>418</v>
      </c>
      <c r="B6227" s="26" t="s">
        <v>418</v>
      </c>
    </row>
    <row r="6228" spans="1:2" x14ac:dyDescent="0.2">
      <c r="A6228" s="26" t="s">
        <v>419</v>
      </c>
      <c r="B6228" s="26" t="s">
        <v>419</v>
      </c>
    </row>
    <row r="6229" spans="1:2" x14ac:dyDescent="0.2">
      <c r="A6229" s="26" t="s">
        <v>420</v>
      </c>
      <c r="B6229" s="26" t="s">
        <v>420</v>
      </c>
    </row>
    <row r="6230" spans="1:2" x14ac:dyDescent="0.2">
      <c r="A6230" s="26" t="s">
        <v>421</v>
      </c>
      <c r="B6230" s="26" t="s">
        <v>421</v>
      </c>
    </row>
    <row r="6231" spans="1:2" x14ac:dyDescent="0.2">
      <c r="A6231" s="26" t="s">
        <v>422</v>
      </c>
      <c r="B6231" s="26" t="s">
        <v>422</v>
      </c>
    </row>
    <row r="6232" spans="1:2" x14ac:dyDescent="0.2">
      <c r="A6232" s="26" t="s">
        <v>423</v>
      </c>
      <c r="B6232" s="26" t="s">
        <v>423</v>
      </c>
    </row>
    <row r="6233" spans="1:2" x14ac:dyDescent="0.2">
      <c r="A6233" s="26" t="s">
        <v>424</v>
      </c>
      <c r="B6233" s="26" t="s">
        <v>424</v>
      </c>
    </row>
    <row r="6234" spans="1:2" x14ac:dyDescent="0.2">
      <c r="A6234" s="26" t="s">
        <v>425</v>
      </c>
      <c r="B6234" s="26" t="s">
        <v>425</v>
      </c>
    </row>
  </sheetData>
  <sortState ref="A6000:A6234">
    <sortCondition ref="A6000:A6234"/>
  </sortState>
  <mergeCells count="206">
    <mergeCell ref="D13:G13"/>
    <mergeCell ref="D14:G14"/>
    <mergeCell ref="D60:G60"/>
    <mergeCell ref="D32:G32"/>
    <mergeCell ref="D16:G16"/>
    <mergeCell ref="D15:IH15"/>
    <mergeCell ref="D24:IH24"/>
    <mergeCell ref="D33:IH33"/>
    <mergeCell ref="Z5:AM8"/>
    <mergeCell ref="AO5:AP5"/>
    <mergeCell ref="AO6:AP6"/>
    <mergeCell ref="AO7:AP7"/>
    <mergeCell ref="AO8:AP8"/>
    <mergeCell ref="AR5:BE8"/>
    <mergeCell ref="O11:Q11"/>
    <mergeCell ref="R11:Y11"/>
    <mergeCell ref="D12:Y12"/>
    <mergeCell ref="D11:G11"/>
    <mergeCell ref="H11:N11"/>
    <mergeCell ref="O9:Q9"/>
    <mergeCell ref="O10:Q10"/>
    <mergeCell ref="R9:Y9"/>
    <mergeCell ref="R10:Y10"/>
    <mergeCell ref="D9:G9"/>
    <mergeCell ref="D10:G10"/>
    <mergeCell ref="H9:N9"/>
    <mergeCell ref="H10:N10"/>
    <mergeCell ref="W5:X5"/>
    <mergeCell ref="W6:X6"/>
    <mergeCell ref="W7:X7"/>
    <mergeCell ref="W8:X8"/>
    <mergeCell ref="H5:U8"/>
    <mergeCell ref="AG11:AI11"/>
    <mergeCell ref="AJ11:AQ11"/>
    <mergeCell ref="Z11:AF11"/>
    <mergeCell ref="AR11:AX11"/>
    <mergeCell ref="AG9:AI9"/>
    <mergeCell ref="AJ9:AQ9"/>
    <mergeCell ref="AG10:AI10"/>
    <mergeCell ref="AJ10:AQ10"/>
    <mergeCell ref="Z9:AF9"/>
    <mergeCell ref="Z10:AF10"/>
    <mergeCell ref="AR9:AX9"/>
    <mergeCell ref="AR10:AX10"/>
    <mergeCell ref="BY5:BZ5"/>
    <mergeCell ref="BY6:BZ6"/>
    <mergeCell ref="BY7:BZ7"/>
    <mergeCell ref="BY8:BZ8"/>
    <mergeCell ref="BQ9:BS9"/>
    <mergeCell ref="BT9:CA9"/>
    <mergeCell ref="AY10:BA10"/>
    <mergeCell ref="BB10:BI10"/>
    <mergeCell ref="AY11:BA11"/>
    <mergeCell ref="BB11:BI11"/>
    <mergeCell ref="BJ5:BW8"/>
    <mergeCell ref="BQ10:BS10"/>
    <mergeCell ref="BT10:CA10"/>
    <mergeCell ref="BQ11:BS11"/>
    <mergeCell ref="BT11:CA11"/>
    <mergeCell ref="BJ9:BP9"/>
    <mergeCell ref="BJ10:BP10"/>
    <mergeCell ref="BJ11:BP11"/>
    <mergeCell ref="BG5:BH5"/>
    <mergeCell ref="BG6:BH6"/>
    <mergeCell ref="BG7:BH7"/>
    <mergeCell ref="BG8:BH8"/>
    <mergeCell ref="AY9:BA9"/>
    <mergeCell ref="BB9:BI9"/>
    <mergeCell ref="DA11:DC11"/>
    <mergeCell ref="DD11:DK11"/>
    <mergeCell ref="CT5:DG8"/>
    <mergeCell ref="DI5:DJ5"/>
    <mergeCell ref="DI6:DJ6"/>
    <mergeCell ref="DI7:DJ7"/>
    <mergeCell ref="DI8:DJ8"/>
    <mergeCell ref="CI9:CK9"/>
    <mergeCell ref="CL9:CS9"/>
    <mergeCell ref="CI10:CK10"/>
    <mergeCell ref="CL10:CS10"/>
    <mergeCell ref="CI11:CK11"/>
    <mergeCell ref="CL11:CS11"/>
    <mergeCell ref="CB5:CO8"/>
    <mergeCell ref="CQ5:CR5"/>
    <mergeCell ref="CQ6:CR6"/>
    <mergeCell ref="CQ7:CR7"/>
    <mergeCell ref="CQ8:CR8"/>
    <mergeCell ref="CB9:CH9"/>
    <mergeCell ref="CB10:CH10"/>
    <mergeCell ref="CB11:CH11"/>
    <mergeCell ref="CT9:CZ9"/>
    <mergeCell ref="CT10:CZ10"/>
    <mergeCell ref="CT11:CZ11"/>
    <mergeCell ref="DL5:DY8"/>
    <mergeCell ref="EA5:EB5"/>
    <mergeCell ref="EA6:EB6"/>
    <mergeCell ref="EA7:EB7"/>
    <mergeCell ref="EA8:EB8"/>
    <mergeCell ref="DA9:DC9"/>
    <mergeCell ref="DD9:DK9"/>
    <mergeCell ref="DA10:DC10"/>
    <mergeCell ref="DD10:DK10"/>
    <mergeCell ref="DV10:EC10"/>
    <mergeCell ref="DV9:EC9"/>
    <mergeCell ref="DS10:DU10"/>
    <mergeCell ref="EV5:FI8"/>
    <mergeCell ref="FK5:FL5"/>
    <mergeCell ref="FK6:FL6"/>
    <mergeCell ref="FK7:FL7"/>
    <mergeCell ref="FK8:FL8"/>
    <mergeCell ref="EK9:EM9"/>
    <mergeCell ref="EN9:EU9"/>
    <mergeCell ref="EK10:EM10"/>
    <mergeCell ref="EN10:EU10"/>
    <mergeCell ref="ED5:EQ8"/>
    <mergeCell ref="ES5:ET5"/>
    <mergeCell ref="ES6:ET6"/>
    <mergeCell ref="ES7:ET7"/>
    <mergeCell ref="ES8:ET8"/>
    <mergeCell ref="GF5:GS8"/>
    <mergeCell ref="GU5:GV5"/>
    <mergeCell ref="GU6:GV6"/>
    <mergeCell ref="GU7:GV7"/>
    <mergeCell ref="GU8:GV8"/>
    <mergeCell ref="FU9:FW9"/>
    <mergeCell ref="FX9:GE9"/>
    <mergeCell ref="FU10:FW10"/>
    <mergeCell ref="FX10:GE10"/>
    <mergeCell ref="FN5:GA8"/>
    <mergeCell ref="GC5:GD5"/>
    <mergeCell ref="GC6:GD6"/>
    <mergeCell ref="GC7:GD7"/>
    <mergeCell ref="GC8:GD8"/>
    <mergeCell ref="HP5:IC8"/>
    <mergeCell ref="IF5:IG5"/>
    <mergeCell ref="IF6:IG6"/>
    <mergeCell ref="IF7:IG7"/>
    <mergeCell ref="IF8:IG8"/>
    <mergeCell ref="HE9:HG9"/>
    <mergeCell ref="HH9:HO9"/>
    <mergeCell ref="HE10:HG10"/>
    <mergeCell ref="HH10:HO10"/>
    <mergeCell ref="GX5:HK8"/>
    <mergeCell ref="HM5:HN5"/>
    <mergeCell ref="HM6:HN6"/>
    <mergeCell ref="HM7:HN7"/>
    <mergeCell ref="HM8:HN8"/>
    <mergeCell ref="Z12:AQ12"/>
    <mergeCell ref="AR12:BI12"/>
    <mergeCell ref="BJ12:CA12"/>
    <mergeCell ref="CB12:CS12"/>
    <mergeCell ref="HW9:HY9"/>
    <mergeCell ref="HW10:HY10"/>
    <mergeCell ref="HW11:HY11"/>
    <mergeCell ref="HZ9:IH9"/>
    <mergeCell ref="HZ10:IH10"/>
    <mergeCell ref="HZ11:IH11"/>
    <mergeCell ref="HE11:HG11"/>
    <mergeCell ref="HH11:HO11"/>
    <mergeCell ref="GM9:GO9"/>
    <mergeCell ref="GP9:GW9"/>
    <mergeCell ref="GM10:GO10"/>
    <mergeCell ref="GP10:GW10"/>
    <mergeCell ref="GM11:GO11"/>
    <mergeCell ref="GP11:GW11"/>
    <mergeCell ref="FU11:FW11"/>
    <mergeCell ref="FX11:GE11"/>
    <mergeCell ref="FC9:FE9"/>
    <mergeCell ref="FF9:FM9"/>
    <mergeCell ref="FC10:FE10"/>
    <mergeCell ref="FF10:FM10"/>
    <mergeCell ref="GF12:GW12"/>
    <mergeCell ref="GX12:HO12"/>
    <mergeCell ref="HP12:IH12"/>
    <mergeCell ref="HP9:HV9"/>
    <mergeCell ref="HP10:HV10"/>
    <mergeCell ref="HP11:HV11"/>
    <mergeCell ref="GF9:GL9"/>
    <mergeCell ref="GF10:GL10"/>
    <mergeCell ref="GF11:GL11"/>
    <mergeCell ref="GX9:HD9"/>
    <mergeCell ref="GX10:HD10"/>
    <mergeCell ref="GX11:HD11"/>
    <mergeCell ref="DS11:DU11"/>
    <mergeCell ref="DV11:EC11"/>
    <mergeCell ref="CT12:DK12"/>
    <mergeCell ref="DL12:EC12"/>
    <mergeCell ref="ED12:EU12"/>
    <mergeCell ref="EV12:FM12"/>
    <mergeCell ref="FN12:GE12"/>
    <mergeCell ref="FC11:FE11"/>
    <mergeCell ref="EV9:FB9"/>
    <mergeCell ref="EV10:FB10"/>
    <mergeCell ref="EV11:FB11"/>
    <mergeCell ref="FN9:FT9"/>
    <mergeCell ref="FN10:FT10"/>
    <mergeCell ref="FN11:FT11"/>
    <mergeCell ref="DL9:DR9"/>
    <mergeCell ref="DL10:DR10"/>
    <mergeCell ref="DL11:DR11"/>
    <mergeCell ref="ED9:EJ9"/>
    <mergeCell ref="ED10:EJ10"/>
    <mergeCell ref="ED11:EJ11"/>
    <mergeCell ref="FF11:FM11"/>
    <mergeCell ref="EK11:EM11"/>
    <mergeCell ref="EN11:EU11"/>
    <mergeCell ref="DS9:DU9"/>
  </mergeCells>
  <phoneticPr fontId="21" type="noConversion"/>
  <conditionalFormatting sqref="A42:A57">
    <cfRule type="cellIs" dxfId="91" priority="2" stopIfTrue="1" operator="notEqual">
      <formula>E42</formula>
    </cfRule>
  </conditionalFormatting>
  <conditionalFormatting sqref="A62:A63 A65:A71">
    <cfRule type="cellIs" dxfId="90" priority="3" stopIfTrue="1" operator="notEqual">
      <formula>E58</formula>
    </cfRule>
  </conditionalFormatting>
  <conditionalFormatting sqref="H2:IH2">
    <cfRule type="cellIs" dxfId="89" priority="4" stopIfTrue="1" operator="notEqual">
      <formula>H14</formula>
    </cfRule>
  </conditionalFormatting>
  <conditionalFormatting sqref="A58:A61 A64">
    <cfRule type="cellIs" dxfId="88" priority="5" stopIfTrue="1" operator="notEqual">
      <formula>#REF!</formula>
    </cfRule>
  </conditionalFormatting>
  <conditionalFormatting sqref="H13:IH13">
    <cfRule type="duplicateValues" dxfId="87" priority="1"/>
  </conditionalFormatting>
  <dataValidations count="1">
    <dataValidation type="list" errorStyle="information" allowBlank="1" showInputMessage="1" sqref="F15:F41">
      <formula1>strms2</formula1>
    </dataValidation>
  </dataValidations>
  <printOptions horizontalCentered="1"/>
  <pageMargins left="0.7" right="0.7" top="0.75" bottom="0.75" header="0.3" footer="0.3"/>
  <pageSetup paperSize="17" scale="41" fitToWidth="0" orientation="landscape" r:id="rId1"/>
  <colBreaks count="12" manualBreakCount="12">
    <brk id="25" max="59" man="1"/>
    <brk id="43" max="59" man="1"/>
    <brk id="61" max="59" man="1"/>
    <brk id="79" max="59" man="1"/>
    <brk id="97" max="59" man="1"/>
    <brk id="115" max="59" man="1"/>
    <brk id="133" max="59" man="1"/>
    <brk id="151" max="59" man="1"/>
    <brk id="169" max="59" man="1"/>
    <brk id="187" max="59" man="1"/>
    <brk id="205" max="59" man="1"/>
    <brk id="223" max="59"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DH65"/>
  <sheetViews>
    <sheetView view="pageBreakPreview" zoomScale="55" zoomScaleNormal="40" zoomScaleSheetLayoutView="55" workbookViewId="0">
      <selection activeCell="T12" sqref="T12"/>
    </sheetView>
  </sheetViews>
  <sheetFormatPr defaultColWidth="2.7109375" defaultRowHeight="15" x14ac:dyDescent="0.25"/>
  <cols>
    <col min="1" max="16384" width="2.7109375" style="194"/>
  </cols>
  <sheetData>
    <row r="1" spans="1:102" ht="15.75" thickBot="1" x14ac:dyDescent="0.3">
      <c r="A1" s="584"/>
      <c r="B1" s="563"/>
      <c r="C1" s="563"/>
      <c r="D1" s="563"/>
      <c r="E1" s="563"/>
      <c r="F1" s="563"/>
      <c r="G1" s="563"/>
      <c r="H1" s="563"/>
      <c r="I1" s="563"/>
      <c r="J1" s="563"/>
      <c r="K1" s="563"/>
      <c r="L1" s="563"/>
      <c r="M1" s="563"/>
      <c r="N1" s="563"/>
      <c r="O1" s="559"/>
      <c r="P1" s="559"/>
      <c r="Q1" s="559"/>
      <c r="R1" s="559"/>
      <c r="S1" s="594"/>
      <c r="T1" s="594"/>
      <c r="U1" s="594"/>
      <c r="V1" s="594"/>
      <c r="W1" s="595"/>
      <c r="X1" s="595"/>
      <c r="Y1" s="595"/>
      <c r="Z1" s="595"/>
      <c r="AA1" s="595"/>
      <c r="AB1" s="595"/>
      <c r="AC1" s="595"/>
      <c r="AD1" s="595"/>
      <c r="AE1" s="595"/>
      <c r="AF1" s="595"/>
      <c r="AG1" s="595"/>
      <c r="AH1" s="595"/>
      <c r="AI1" s="595"/>
      <c r="AJ1" s="595"/>
      <c r="AK1" s="595"/>
      <c r="AL1" s="595"/>
      <c r="AM1" s="595"/>
      <c r="AN1" s="595"/>
      <c r="AO1" s="595"/>
      <c r="AP1" s="595"/>
      <c r="AQ1" s="595"/>
      <c r="AR1" s="595"/>
      <c r="AS1" s="595"/>
      <c r="AT1" s="595"/>
      <c r="AU1" s="595"/>
      <c r="AV1" s="1027" t="s">
        <v>957</v>
      </c>
      <c r="AW1" s="1027"/>
      <c r="AX1" s="1027"/>
      <c r="AY1" s="1027"/>
      <c r="AZ1" s="1027"/>
      <c r="BA1" s="1027"/>
      <c r="BB1" s="1021">
        <f>HMB!IH4+1</f>
        <v>14</v>
      </c>
      <c r="BC1" s="1022"/>
      <c r="BD1" s="595"/>
      <c r="BE1" s="595"/>
      <c r="BF1" s="595"/>
      <c r="BG1" s="595"/>
      <c r="BH1" s="595"/>
      <c r="BI1" s="595"/>
      <c r="BJ1" s="595"/>
      <c r="BK1" s="595"/>
      <c r="BL1" s="595"/>
      <c r="BM1" s="595"/>
      <c r="BN1" s="595"/>
      <c r="BO1" s="595"/>
      <c r="BP1" s="595"/>
      <c r="BQ1" s="595"/>
      <c r="BR1" s="595"/>
      <c r="BS1" s="595"/>
      <c r="BT1" s="595"/>
      <c r="BU1" s="595"/>
      <c r="BV1" s="595"/>
      <c r="BW1" s="595"/>
      <c r="BX1" s="595"/>
      <c r="BY1" s="595"/>
      <c r="BZ1" s="595"/>
      <c r="CA1" s="595"/>
      <c r="CB1" s="595"/>
      <c r="CC1" s="595"/>
      <c r="CD1" s="595"/>
      <c r="CE1" s="595"/>
      <c r="CF1" s="595"/>
      <c r="CG1" s="596"/>
      <c r="CH1" s="596"/>
      <c r="CI1" s="596"/>
      <c r="CJ1" s="596"/>
      <c r="CK1" s="596"/>
      <c r="CL1" s="596"/>
      <c r="CM1" s="596"/>
      <c r="CN1" s="596"/>
      <c r="CO1" s="596"/>
      <c r="CP1" s="596"/>
      <c r="CQ1" s="596"/>
      <c r="CR1" s="596"/>
      <c r="CS1" s="596"/>
      <c r="CT1" s="596"/>
      <c r="CU1" s="596"/>
      <c r="CV1" s="596"/>
      <c r="CW1" s="596"/>
      <c r="CX1" s="597"/>
    </row>
    <row r="2" spans="1:102" ht="15.75" customHeight="1" x14ac:dyDescent="0.25">
      <c r="A2" s="1038"/>
      <c r="B2" s="1039"/>
      <c r="C2" s="1039"/>
      <c r="D2" s="1039"/>
      <c r="E2" s="1039"/>
      <c r="F2" s="1039"/>
      <c r="G2" s="1039"/>
      <c r="H2" s="1039"/>
      <c r="I2" s="1039"/>
      <c r="J2" s="1039"/>
      <c r="K2" s="984" t="s">
        <v>970</v>
      </c>
      <c r="L2" s="984"/>
      <c r="M2" s="984"/>
      <c r="N2" s="984"/>
      <c r="O2" s="984"/>
      <c r="P2" s="984"/>
      <c r="Q2" s="984"/>
      <c r="R2" s="984"/>
      <c r="S2" s="984"/>
      <c r="T2" s="984"/>
      <c r="U2" s="984"/>
      <c r="V2" s="984"/>
      <c r="W2" s="984"/>
      <c r="X2" s="984"/>
      <c r="Y2" s="984"/>
      <c r="Z2" s="984"/>
      <c r="AA2" s="984"/>
      <c r="AB2" s="984"/>
      <c r="AC2" s="984"/>
      <c r="AD2" s="984"/>
      <c r="AE2" s="984"/>
      <c r="AF2" s="984"/>
      <c r="AG2" s="984"/>
      <c r="AH2" s="984"/>
      <c r="AI2" s="984"/>
      <c r="AJ2" s="984"/>
      <c r="AK2" s="984"/>
      <c r="AL2" s="984"/>
      <c r="AM2" s="984"/>
      <c r="AN2" s="984"/>
      <c r="AO2" s="984"/>
      <c r="AP2" s="984"/>
      <c r="AQ2" s="984"/>
      <c r="AR2" s="984"/>
      <c r="AS2" s="984"/>
      <c r="AT2" s="987" t="s">
        <v>851</v>
      </c>
      <c r="AU2" s="987"/>
      <c r="AV2" s="987"/>
      <c r="AW2" s="987"/>
      <c r="AX2" s="987"/>
      <c r="AY2" s="987"/>
      <c r="AZ2" s="987"/>
      <c r="BA2" s="988"/>
      <c r="BB2" s="1023" t="str">
        <f>IF(ISBLANK(General!$E$6),"",General!$E$6)</f>
        <v/>
      </c>
      <c r="BC2" s="1024"/>
      <c r="BD2" s="196"/>
      <c r="BE2" s="196"/>
      <c r="BF2" s="196"/>
      <c r="BG2" s="196"/>
      <c r="BH2" s="196"/>
      <c r="BI2" s="216"/>
      <c r="BJ2" s="195"/>
      <c r="BK2" s="196"/>
      <c r="BL2" s="196"/>
      <c r="BM2" s="196"/>
      <c r="BN2" s="196"/>
      <c r="BO2" s="196"/>
      <c r="BP2" s="196"/>
      <c r="BQ2" s="196"/>
      <c r="BR2" s="196"/>
      <c r="BS2" s="196"/>
      <c r="BT2" s="195"/>
      <c r="BU2" s="216"/>
      <c r="BV2" s="196"/>
      <c r="BW2" s="196"/>
      <c r="BX2" s="196"/>
      <c r="BY2" s="196"/>
      <c r="BZ2" s="196"/>
      <c r="CA2" s="196"/>
      <c r="CB2" s="216"/>
      <c r="CC2" s="216"/>
      <c r="CD2" s="195"/>
      <c r="CE2" s="216"/>
      <c r="CF2" s="216"/>
      <c r="CG2" s="216"/>
      <c r="CH2" s="216"/>
      <c r="CI2" s="216"/>
      <c r="CJ2" s="216"/>
      <c r="CK2" s="216"/>
      <c r="CL2" s="216"/>
      <c r="CM2" s="216"/>
      <c r="CN2" s="196"/>
      <c r="CO2" s="195"/>
      <c r="CP2" s="216"/>
      <c r="CQ2" s="216"/>
      <c r="CR2" s="216"/>
      <c r="CS2" s="216"/>
      <c r="CT2" s="216"/>
      <c r="CU2" s="216"/>
      <c r="CV2" s="216"/>
      <c r="CW2" s="216"/>
      <c r="CX2" s="598"/>
    </row>
    <row r="3" spans="1:102" ht="15.75" customHeight="1" x14ac:dyDescent="0.25">
      <c r="A3" s="1040"/>
      <c r="B3" s="1041"/>
      <c r="C3" s="1041"/>
      <c r="D3" s="1041"/>
      <c r="E3" s="1041"/>
      <c r="F3" s="1041"/>
      <c r="G3" s="1041"/>
      <c r="H3" s="1041"/>
      <c r="I3" s="1041"/>
      <c r="J3" s="1041"/>
      <c r="K3" s="985"/>
      <c r="L3" s="985"/>
      <c r="M3" s="985"/>
      <c r="N3" s="985"/>
      <c r="O3" s="985"/>
      <c r="P3" s="985"/>
      <c r="Q3" s="985"/>
      <c r="R3" s="985"/>
      <c r="S3" s="985"/>
      <c r="T3" s="985"/>
      <c r="U3" s="985"/>
      <c r="V3" s="985"/>
      <c r="W3" s="985"/>
      <c r="X3" s="985"/>
      <c r="Y3" s="985"/>
      <c r="Z3" s="985"/>
      <c r="AA3" s="985"/>
      <c r="AB3" s="985"/>
      <c r="AC3" s="985"/>
      <c r="AD3" s="985"/>
      <c r="AE3" s="985"/>
      <c r="AF3" s="985"/>
      <c r="AG3" s="985"/>
      <c r="AH3" s="985"/>
      <c r="AI3" s="985"/>
      <c r="AJ3" s="985"/>
      <c r="AK3" s="985"/>
      <c r="AL3" s="985"/>
      <c r="AM3" s="985"/>
      <c r="AN3" s="985"/>
      <c r="AO3" s="985"/>
      <c r="AP3" s="985"/>
      <c r="AQ3" s="985"/>
      <c r="AR3" s="985"/>
      <c r="AS3" s="985"/>
      <c r="AT3" s="989" t="s">
        <v>958</v>
      </c>
      <c r="AU3" s="989"/>
      <c r="AV3" s="989"/>
      <c r="AW3" s="989"/>
      <c r="AX3" s="989"/>
      <c r="AY3" s="989"/>
      <c r="AZ3" s="989"/>
      <c r="BA3" s="990"/>
      <c r="BB3" s="1025" t="str">
        <f>IF(ISBLANK(General!$E$12),"",General!$E$12)</f>
        <v/>
      </c>
      <c r="BC3" s="1026"/>
      <c r="BD3" s="196"/>
      <c r="BE3" s="196"/>
      <c r="BF3" s="196"/>
      <c r="BG3" s="196"/>
      <c r="BH3" s="196"/>
      <c r="BI3" s="197"/>
      <c r="BJ3" s="195"/>
      <c r="BK3" s="196"/>
      <c r="BL3" s="196"/>
      <c r="BM3" s="196"/>
      <c r="BN3" s="196"/>
      <c r="BO3" s="196"/>
      <c r="BP3" s="196"/>
      <c r="BQ3" s="196"/>
      <c r="BR3" s="196"/>
      <c r="BS3" s="196"/>
      <c r="BT3" s="195"/>
      <c r="BU3" s="216"/>
      <c r="BV3" s="196"/>
      <c r="BW3" s="196"/>
      <c r="BX3" s="196"/>
      <c r="BY3" s="196"/>
      <c r="BZ3" s="196"/>
      <c r="CA3" s="196"/>
      <c r="CB3" s="216"/>
      <c r="CC3" s="216"/>
      <c r="CD3" s="195"/>
      <c r="CE3" s="216"/>
      <c r="CF3" s="216"/>
      <c r="CG3" s="216"/>
      <c r="CH3" s="216"/>
      <c r="CI3" s="216"/>
      <c r="CJ3" s="216"/>
      <c r="CK3" s="216"/>
      <c r="CL3" s="216"/>
      <c r="CM3" s="216"/>
      <c r="CN3" s="196"/>
      <c r="CO3" s="195"/>
      <c r="CP3" s="216"/>
      <c r="CQ3" s="216"/>
      <c r="CR3" s="216"/>
      <c r="CS3" s="216"/>
      <c r="CT3" s="216"/>
      <c r="CU3" s="216"/>
      <c r="CV3" s="216"/>
      <c r="CW3" s="216"/>
      <c r="CX3" s="599"/>
    </row>
    <row r="4" spans="1:102" ht="15.75" customHeight="1" x14ac:dyDescent="0.25">
      <c r="A4" s="1040"/>
      <c r="B4" s="1041"/>
      <c r="C4" s="1041"/>
      <c r="D4" s="1041"/>
      <c r="E4" s="1041"/>
      <c r="F4" s="1041"/>
      <c r="G4" s="1041"/>
      <c r="H4" s="1041"/>
      <c r="I4" s="1041"/>
      <c r="J4" s="1041"/>
      <c r="K4" s="985"/>
      <c r="L4" s="985"/>
      <c r="M4" s="985"/>
      <c r="N4" s="985"/>
      <c r="O4" s="985"/>
      <c r="P4" s="985"/>
      <c r="Q4" s="985"/>
      <c r="R4" s="985"/>
      <c r="S4" s="985"/>
      <c r="T4" s="985"/>
      <c r="U4" s="985"/>
      <c r="V4" s="985"/>
      <c r="W4" s="985"/>
      <c r="X4" s="985"/>
      <c r="Y4" s="985"/>
      <c r="Z4" s="985"/>
      <c r="AA4" s="985"/>
      <c r="AB4" s="985"/>
      <c r="AC4" s="985"/>
      <c r="AD4" s="985"/>
      <c r="AE4" s="985"/>
      <c r="AF4" s="985"/>
      <c r="AG4" s="985"/>
      <c r="AH4" s="985"/>
      <c r="AI4" s="985"/>
      <c r="AJ4" s="985"/>
      <c r="AK4" s="985"/>
      <c r="AL4" s="985"/>
      <c r="AM4" s="985"/>
      <c r="AN4" s="985"/>
      <c r="AO4" s="985"/>
      <c r="AP4" s="985"/>
      <c r="AQ4" s="985"/>
      <c r="AR4" s="985"/>
      <c r="AS4" s="985"/>
      <c r="AT4" s="989" t="s">
        <v>959</v>
      </c>
      <c r="AU4" s="989"/>
      <c r="AV4" s="989"/>
      <c r="AW4" s="989"/>
      <c r="AX4" s="989"/>
      <c r="AY4" s="989"/>
      <c r="AZ4" s="989"/>
      <c r="BA4" s="990"/>
      <c r="BB4" s="1034" t="str">
        <f>IF(ISBLANK(General!$E$13),"",General!$E$13)</f>
        <v/>
      </c>
      <c r="BC4" s="1035"/>
      <c r="BD4" s="222"/>
      <c r="BE4" s="223"/>
      <c r="BF4" s="223"/>
      <c r="BG4" s="223"/>
      <c r="BH4" s="1030" t="s">
        <v>691</v>
      </c>
      <c r="BI4" s="1031"/>
      <c r="BJ4" s="1031"/>
      <c r="BK4" s="1031"/>
      <c r="BL4" s="221"/>
      <c r="BM4" s="221"/>
      <c r="BN4" s="221"/>
      <c r="BO4" s="221"/>
      <c r="BP4" s="221"/>
      <c r="BQ4" s="221"/>
      <c r="BR4" s="199"/>
      <c r="BS4" s="199"/>
      <c r="BT4" s="217"/>
      <c r="BU4" s="221"/>
      <c r="BV4" s="199"/>
      <c r="BW4" s="199"/>
      <c r="BX4" s="199"/>
      <c r="BY4" s="199"/>
      <c r="BZ4" s="199"/>
      <c r="CA4" s="199"/>
      <c r="CB4" s="219"/>
      <c r="CC4" s="219"/>
      <c r="CD4" s="222"/>
      <c r="CE4" s="222"/>
      <c r="CF4" s="222"/>
      <c r="CG4" s="222"/>
      <c r="CH4" s="222"/>
      <c r="CI4" s="222"/>
      <c r="CJ4" s="223"/>
      <c r="CK4" s="223"/>
      <c r="CL4" s="223"/>
      <c r="CM4" s="221"/>
      <c r="CN4" s="199"/>
      <c r="CO4" s="222"/>
      <c r="CP4" s="222"/>
      <c r="CQ4" s="222"/>
      <c r="CR4" s="222"/>
      <c r="CS4" s="222"/>
      <c r="CT4" s="222"/>
      <c r="CU4" s="223"/>
      <c r="CV4" s="223"/>
      <c r="CW4" s="223"/>
      <c r="CX4" s="599"/>
    </row>
    <row r="5" spans="1:102" ht="15.75" customHeight="1" x14ac:dyDescent="0.25">
      <c r="A5" s="1042"/>
      <c r="B5" s="1043"/>
      <c r="C5" s="1043"/>
      <c r="D5" s="1043"/>
      <c r="E5" s="1043"/>
      <c r="F5" s="1043"/>
      <c r="G5" s="1043"/>
      <c r="H5" s="1043"/>
      <c r="I5" s="1041"/>
      <c r="J5" s="1041"/>
      <c r="K5" s="986"/>
      <c r="L5" s="986"/>
      <c r="M5" s="986"/>
      <c r="N5" s="986"/>
      <c r="O5" s="986"/>
      <c r="P5" s="986"/>
      <c r="Q5" s="986"/>
      <c r="R5" s="986"/>
      <c r="S5" s="986"/>
      <c r="T5" s="986"/>
      <c r="U5" s="986"/>
      <c r="V5" s="986"/>
      <c r="W5" s="986"/>
      <c r="X5" s="986"/>
      <c r="Y5" s="986"/>
      <c r="Z5" s="986"/>
      <c r="AA5" s="986"/>
      <c r="AB5" s="986"/>
      <c r="AC5" s="986"/>
      <c r="AD5" s="986"/>
      <c r="AE5" s="986"/>
      <c r="AF5" s="986"/>
      <c r="AG5" s="986"/>
      <c r="AH5" s="986"/>
      <c r="AI5" s="986"/>
      <c r="AJ5" s="986"/>
      <c r="AK5" s="986"/>
      <c r="AL5" s="986"/>
      <c r="AM5" s="986"/>
      <c r="AN5" s="986"/>
      <c r="AO5" s="986"/>
      <c r="AP5" s="986"/>
      <c r="AQ5" s="986"/>
      <c r="AR5" s="986"/>
      <c r="AS5" s="986"/>
      <c r="AT5" s="989" t="s">
        <v>960</v>
      </c>
      <c r="AU5" s="989"/>
      <c r="AV5" s="989"/>
      <c r="AW5" s="989"/>
      <c r="AX5" s="989"/>
      <c r="AY5" s="989"/>
      <c r="AZ5" s="989"/>
      <c r="BA5" s="990"/>
      <c r="BB5" s="1036" t="s">
        <v>668</v>
      </c>
      <c r="BC5" s="1037"/>
      <c r="BD5" s="221"/>
      <c r="BE5" s="221"/>
      <c r="BF5" s="221"/>
      <c r="BG5" s="221"/>
      <c r="BH5" s="221"/>
      <c r="BI5" s="221"/>
      <c r="BJ5" s="222"/>
      <c r="BK5" s="222"/>
      <c r="BL5" s="222"/>
      <c r="BM5" s="222"/>
      <c r="BN5" s="222"/>
      <c r="BO5" s="222"/>
      <c r="BP5" s="223"/>
      <c r="BQ5" s="223"/>
      <c r="BR5" s="223"/>
      <c r="BS5" s="221"/>
      <c r="BT5" s="222"/>
      <c r="BU5" s="222"/>
      <c r="BV5" s="222"/>
      <c r="BW5" s="222"/>
      <c r="BX5" s="222"/>
      <c r="BY5" s="222"/>
      <c r="BZ5" s="223"/>
      <c r="CA5" s="197"/>
      <c r="CB5" s="197"/>
      <c r="CC5" s="197"/>
      <c r="CD5" s="197"/>
      <c r="CE5" s="197"/>
      <c r="CF5" s="197"/>
      <c r="CG5" s="197"/>
      <c r="CH5" s="197"/>
      <c r="CI5" s="197"/>
      <c r="CJ5" s="197"/>
      <c r="CK5" s="197"/>
      <c r="CL5" s="197"/>
      <c r="CM5" s="197"/>
      <c r="CN5" s="197"/>
      <c r="CO5" s="197"/>
      <c r="CP5" s="197"/>
      <c r="CQ5" s="197"/>
      <c r="CR5" s="197"/>
      <c r="CS5" s="197"/>
      <c r="CT5" s="221"/>
      <c r="CU5" s="221"/>
      <c r="CV5" s="221"/>
      <c r="CW5" s="221"/>
      <c r="CX5" s="599"/>
    </row>
    <row r="6" spans="1:102" ht="15.75" customHeight="1" x14ac:dyDescent="0.25">
      <c r="A6" s="1017" t="s">
        <v>897</v>
      </c>
      <c r="B6" s="1018"/>
      <c r="C6" s="1018"/>
      <c r="D6" s="1018"/>
      <c r="E6" s="1018"/>
      <c r="F6" s="1018"/>
      <c r="G6" s="1018"/>
      <c r="H6" s="1019"/>
      <c r="I6" s="1048" t="str">
        <f>IF(ISBLANK(General!E8),"",General!E8)</f>
        <v/>
      </c>
      <c r="J6" s="962" t="e">
        <f>IF(ISBLANK(General!#REF!),"",General!#REF!)</f>
        <v>#REF!</v>
      </c>
      <c r="K6" s="962" t="e">
        <f>IF(ISBLANK(General!#REF!),"",General!#REF!)</f>
        <v>#REF!</v>
      </c>
      <c r="L6" s="962" t="e">
        <f>IF(ISBLANK(General!#REF!),"",General!#REF!)</f>
        <v>#REF!</v>
      </c>
      <c r="M6" s="962" t="e">
        <f>IF(ISBLANK(General!#REF!),"",General!#REF!)</f>
        <v>#REF!</v>
      </c>
      <c r="N6" s="962" t="e">
        <f>IF(ISBLANK(General!#REF!),"",General!#REF!)</f>
        <v>#REF!</v>
      </c>
      <c r="O6" s="962" t="e">
        <f>IF(ISBLANK(General!#REF!),"",General!#REF!)</f>
        <v>#REF!</v>
      </c>
      <c r="P6" s="962" t="e">
        <f>IF(ISBLANK(General!#REF!),"",General!#REF!)</f>
        <v>#REF!</v>
      </c>
      <c r="Q6" s="962" t="e">
        <f>IF(ISBLANK(General!#REF!),"",General!#REF!)</f>
        <v>#REF!</v>
      </c>
      <c r="R6" s="962" t="e">
        <f>IF(ISBLANK(General!#REF!),"",General!#REF!)</f>
        <v>#REF!</v>
      </c>
      <c r="S6" s="962" t="e">
        <f>IF(ISBLANK(General!#REF!),"",General!#REF!)</f>
        <v>#REF!</v>
      </c>
      <c r="T6" s="962" t="e">
        <f>IF(ISBLANK(General!#REF!),"",General!#REF!)</f>
        <v>#REF!</v>
      </c>
      <c r="U6" s="962" t="e">
        <f>IF(ISBLANK(General!#REF!),"",General!#REF!)</f>
        <v>#REF!</v>
      </c>
      <c r="V6" s="962" t="e">
        <f>IF(ISBLANK(General!#REF!),"",General!#REF!)</f>
        <v>#REF!</v>
      </c>
      <c r="W6" s="962" t="e">
        <f>IF(ISBLANK(General!#REF!),"",General!#REF!)</f>
        <v>#REF!</v>
      </c>
      <c r="X6" s="962" t="e">
        <f>IF(ISBLANK(General!#REF!),"",General!#REF!)</f>
        <v>#REF!</v>
      </c>
      <c r="Y6" s="962" t="e">
        <f>IF(ISBLANK(General!#REF!),"",General!#REF!)</f>
        <v>#REF!</v>
      </c>
      <c r="Z6" s="962" t="e">
        <f>IF(ISBLANK(General!#REF!),"",General!#REF!)</f>
        <v>#REF!</v>
      </c>
      <c r="AA6" s="962" t="e">
        <f>IF(ISBLANK(General!#REF!),"",General!#REF!)</f>
        <v>#REF!</v>
      </c>
      <c r="AB6" s="963" t="e">
        <f>IF(ISBLANK(General!#REF!),"",General!#REF!)</f>
        <v>#REF!</v>
      </c>
      <c r="AC6" s="970" t="s">
        <v>961</v>
      </c>
      <c r="AD6" s="971"/>
      <c r="AE6" s="971"/>
      <c r="AF6" s="971"/>
      <c r="AG6" s="971"/>
      <c r="AH6" s="971"/>
      <c r="AI6" s="971"/>
      <c r="AJ6" s="971"/>
      <c r="AK6" s="972"/>
      <c r="AL6" s="979" t="str">
        <f>IF(ISBLANK(General!$D$33),"",General!$D$33)</f>
        <v/>
      </c>
      <c r="AM6" s="979"/>
      <c r="AN6" s="979"/>
      <c r="AO6" s="979"/>
      <c r="AP6" s="979"/>
      <c r="AQ6" s="979"/>
      <c r="AR6" s="979"/>
      <c r="AS6" s="979"/>
      <c r="AT6" s="979"/>
      <c r="AU6" s="979"/>
      <c r="AV6" s="979"/>
      <c r="AW6" s="979"/>
      <c r="AX6" s="979"/>
      <c r="AY6" s="979"/>
      <c r="AZ6" s="979"/>
      <c r="BA6" s="979"/>
      <c r="BB6" s="979"/>
      <c r="BC6" s="980"/>
      <c r="BD6" s="196"/>
      <c r="BE6" s="196"/>
      <c r="BF6" s="196"/>
      <c r="BG6" s="196"/>
      <c r="BH6" s="196"/>
      <c r="BI6" s="196"/>
      <c r="BJ6" s="196"/>
      <c r="BK6" s="196"/>
      <c r="BL6" s="196"/>
      <c r="BM6" s="196"/>
      <c r="BN6" s="196"/>
      <c r="BO6" s="196"/>
      <c r="BP6" s="196"/>
      <c r="BQ6" s="196"/>
      <c r="BR6" s="196"/>
      <c r="BS6" s="196"/>
      <c r="BT6" s="196"/>
      <c r="BU6" s="221"/>
      <c r="BV6" s="221"/>
      <c r="BW6" s="221"/>
      <c r="BX6" s="221"/>
      <c r="BY6" s="221"/>
      <c r="BZ6" s="221"/>
      <c r="CA6" s="197"/>
      <c r="CB6" s="197"/>
      <c r="CC6" s="197"/>
      <c r="CD6" s="197"/>
      <c r="CE6" s="197"/>
      <c r="CF6" s="197"/>
      <c r="CG6" s="197"/>
      <c r="CH6" s="197"/>
      <c r="CI6" s="197"/>
      <c r="CJ6" s="197"/>
      <c r="CK6" s="197"/>
      <c r="CL6" s="197"/>
      <c r="CM6" s="197"/>
      <c r="CN6" s="197"/>
      <c r="CO6" s="197"/>
      <c r="CP6" s="197"/>
      <c r="CQ6" s="197"/>
      <c r="CR6" s="197"/>
      <c r="CS6" s="197"/>
      <c r="CT6" s="221"/>
      <c r="CU6" s="196"/>
      <c r="CV6" s="196"/>
      <c r="CW6" s="196"/>
      <c r="CX6" s="600"/>
    </row>
    <row r="7" spans="1:102" ht="15.75" customHeight="1" x14ac:dyDescent="0.25">
      <c r="A7" s="991" t="s">
        <v>962</v>
      </c>
      <c r="B7" s="992"/>
      <c r="C7" s="992"/>
      <c r="D7" s="992"/>
      <c r="E7" s="992"/>
      <c r="F7" s="992"/>
      <c r="G7" s="992"/>
      <c r="H7" s="1020"/>
      <c r="I7" s="1049" t="str">
        <f>IF(ISBLANK(General!E9),"",General!E9)</f>
        <v/>
      </c>
      <c r="J7" s="965" t="e">
        <f>IF(ISBLANK(General!#REF!),"",General!#REF!)</f>
        <v>#REF!</v>
      </c>
      <c r="K7" s="965" t="e">
        <f>IF(ISBLANK(General!#REF!),"",General!#REF!)</f>
        <v>#REF!</v>
      </c>
      <c r="L7" s="965" t="e">
        <f>IF(ISBLANK(General!#REF!),"",General!#REF!)</f>
        <v>#REF!</v>
      </c>
      <c r="M7" s="965" t="e">
        <f>IF(ISBLANK(General!#REF!),"",General!#REF!)</f>
        <v>#REF!</v>
      </c>
      <c r="N7" s="965" t="e">
        <f>IF(ISBLANK(General!#REF!),"",General!#REF!)</f>
        <v>#REF!</v>
      </c>
      <c r="O7" s="965" t="e">
        <f>IF(ISBLANK(General!#REF!),"",General!#REF!)</f>
        <v>#REF!</v>
      </c>
      <c r="P7" s="965" t="e">
        <f>IF(ISBLANK(General!#REF!),"",General!#REF!)</f>
        <v>#REF!</v>
      </c>
      <c r="Q7" s="965" t="e">
        <f>IF(ISBLANK(General!#REF!),"",General!#REF!)</f>
        <v>#REF!</v>
      </c>
      <c r="R7" s="965" t="e">
        <f>IF(ISBLANK(General!#REF!),"",General!#REF!)</f>
        <v>#REF!</v>
      </c>
      <c r="S7" s="965" t="e">
        <f>IF(ISBLANK(General!#REF!),"",General!#REF!)</f>
        <v>#REF!</v>
      </c>
      <c r="T7" s="965" t="e">
        <f>IF(ISBLANK(General!#REF!),"",General!#REF!)</f>
        <v>#REF!</v>
      </c>
      <c r="U7" s="965" t="e">
        <f>IF(ISBLANK(General!#REF!),"",General!#REF!)</f>
        <v>#REF!</v>
      </c>
      <c r="V7" s="965" t="e">
        <f>IF(ISBLANK(General!#REF!),"",General!#REF!)</f>
        <v>#REF!</v>
      </c>
      <c r="W7" s="965" t="e">
        <f>IF(ISBLANK(General!#REF!),"",General!#REF!)</f>
        <v>#REF!</v>
      </c>
      <c r="X7" s="965" t="e">
        <f>IF(ISBLANK(General!#REF!),"",General!#REF!)</f>
        <v>#REF!</v>
      </c>
      <c r="Y7" s="965" t="e">
        <f>IF(ISBLANK(General!#REF!),"",General!#REF!)</f>
        <v>#REF!</v>
      </c>
      <c r="Z7" s="965" t="e">
        <f>IF(ISBLANK(General!#REF!),"",General!#REF!)</f>
        <v>#REF!</v>
      </c>
      <c r="AA7" s="965" t="e">
        <f>IF(ISBLANK(General!#REF!),"",General!#REF!)</f>
        <v>#REF!</v>
      </c>
      <c r="AB7" s="966" t="e">
        <f>IF(ISBLANK(General!#REF!),"",General!#REF!)</f>
        <v>#REF!</v>
      </c>
      <c r="AC7" s="975" t="s">
        <v>963</v>
      </c>
      <c r="AD7" s="976"/>
      <c r="AE7" s="976"/>
      <c r="AF7" s="976"/>
      <c r="AG7" s="976"/>
      <c r="AH7" s="976"/>
      <c r="AI7" s="976"/>
      <c r="AJ7" s="976"/>
      <c r="AK7" s="977"/>
      <c r="AL7" s="982" t="str">
        <f>IF(ISBLANK(General!$E$33),"",General!$E$33)</f>
        <v/>
      </c>
      <c r="AM7" s="982"/>
      <c r="AN7" s="982"/>
      <c r="AO7" s="982"/>
      <c r="AP7" s="982"/>
      <c r="AQ7" s="982"/>
      <c r="AR7" s="982"/>
      <c r="AS7" s="982"/>
      <c r="AT7" s="982"/>
      <c r="AU7" s="982"/>
      <c r="AV7" s="982"/>
      <c r="AW7" s="982"/>
      <c r="AX7" s="982"/>
      <c r="AY7" s="982"/>
      <c r="AZ7" s="982"/>
      <c r="BA7" s="982"/>
      <c r="BB7" s="982"/>
      <c r="BC7" s="983"/>
      <c r="BD7" s="196"/>
      <c r="BE7" s="196"/>
      <c r="BF7" s="221"/>
      <c r="BG7" s="196"/>
      <c r="BH7" s="196"/>
      <c r="BI7" s="196"/>
      <c r="BJ7" s="196"/>
      <c r="BK7" s="196"/>
      <c r="BL7" s="196"/>
      <c r="BM7" s="221"/>
      <c r="BN7" s="221"/>
      <c r="BO7" s="195"/>
      <c r="BP7" s="196"/>
      <c r="BQ7" s="221"/>
      <c r="BR7" s="196"/>
      <c r="BS7" s="196"/>
      <c r="BT7" s="196"/>
      <c r="BU7" s="196"/>
      <c r="BV7" s="196"/>
      <c r="BW7" s="196"/>
      <c r="BX7" s="221"/>
      <c r="BY7" s="195"/>
      <c r="BZ7" s="196"/>
      <c r="CA7" s="197"/>
      <c r="CB7" s="197"/>
      <c r="CC7" s="197"/>
      <c r="CD7" s="197"/>
      <c r="CE7" s="197"/>
      <c r="CF7" s="197"/>
      <c r="CG7" s="197"/>
      <c r="CH7" s="197"/>
      <c r="CI7" s="197"/>
      <c r="CJ7" s="197"/>
      <c r="CK7" s="197"/>
      <c r="CL7" s="197"/>
      <c r="CM7" s="197"/>
      <c r="CN7" s="197"/>
      <c r="CO7" s="197"/>
      <c r="CP7" s="197"/>
      <c r="CQ7" s="197"/>
      <c r="CR7" s="197"/>
      <c r="CS7" s="197"/>
      <c r="CT7" s="196"/>
      <c r="CU7" s="196"/>
      <c r="CV7" s="196"/>
      <c r="CW7" s="196"/>
      <c r="CX7" s="600"/>
    </row>
    <row r="8" spans="1:102" ht="15.75" customHeight="1" x14ac:dyDescent="0.25">
      <c r="A8" s="1015" t="s">
        <v>932</v>
      </c>
      <c r="B8" s="1016"/>
      <c r="C8" s="1016"/>
      <c r="D8" s="1016"/>
      <c r="E8" s="1016"/>
      <c r="F8" s="1016"/>
      <c r="G8" s="1016"/>
      <c r="H8" s="1047"/>
      <c r="I8" s="1050" t="str">
        <f>IF(ISBLANK(General!E17),"",General!E17)</f>
        <v/>
      </c>
      <c r="J8" s="968" t="e">
        <f>IF(ISBLANK(General!#REF!),"",General!#REF!)</f>
        <v>#REF!</v>
      </c>
      <c r="K8" s="968" t="e">
        <f>IF(ISBLANK(General!#REF!),"",General!#REF!)</f>
        <v>#REF!</v>
      </c>
      <c r="L8" s="968" t="e">
        <f>IF(ISBLANK(General!#REF!),"",General!#REF!)</f>
        <v>#REF!</v>
      </c>
      <c r="M8" s="968" t="e">
        <f>IF(ISBLANK(General!#REF!),"",General!#REF!)</f>
        <v>#REF!</v>
      </c>
      <c r="N8" s="968" t="e">
        <f>IF(ISBLANK(General!#REF!),"",General!#REF!)</f>
        <v>#REF!</v>
      </c>
      <c r="O8" s="968" t="e">
        <f>IF(ISBLANK(General!#REF!),"",General!#REF!)</f>
        <v>#REF!</v>
      </c>
      <c r="P8" s="968" t="e">
        <f>IF(ISBLANK(General!#REF!),"",General!#REF!)</f>
        <v>#REF!</v>
      </c>
      <c r="Q8" s="968" t="e">
        <f>IF(ISBLANK(General!#REF!),"",General!#REF!)</f>
        <v>#REF!</v>
      </c>
      <c r="R8" s="968" t="e">
        <f>IF(ISBLANK(General!#REF!),"",General!#REF!)</f>
        <v>#REF!</v>
      </c>
      <c r="S8" s="968" t="e">
        <f>IF(ISBLANK(General!#REF!),"",General!#REF!)</f>
        <v>#REF!</v>
      </c>
      <c r="T8" s="968" t="e">
        <f>IF(ISBLANK(General!#REF!),"",General!#REF!)</f>
        <v>#REF!</v>
      </c>
      <c r="U8" s="968" t="e">
        <f>IF(ISBLANK(General!#REF!),"",General!#REF!)</f>
        <v>#REF!</v>
      </c>
      <c r="V8" s="968" t="e">
        <f>IF(ISBLANK(General!#REF!),"",General!#REF!)</f>
        <v>#REF!</v>
      </c>
      <c r="W8" s="968" t="e">
        <f>IF(ISBLANK(General!#REF!),"",General!#REF!)</f>
        <v>#REF!</v>
      </c>
      <c r="X8" s="968" t="e">
        <f>IF(ISBLANK(General!#REF!),"",General!#REF!)</f>
        <v>#REF!</v>
      </c>
      <c r="Y8" s="968" t="e">
        <f>IF(ISBLANK(General!#REF!),"",General!#REF!)</f>
        <v>#REF!</v>
      </c>
      <c r="Z8" s="968" t="e">
        <f>IF(ISBLANK(General!#REF!),"",General!#REF!)</f>
        <v>#REF!</v>
      </c>
      <c r="AA8" s="968" t="e">
        <f>IF(ISBLANK(General!#REF!),"",General!#REF!)</f>
        <v>#REF!</v>
      </c>
      <c r="AB8" s="969" t="e">
        <f>IF(ISBLANK(General!#REF!),"",General!#REF!)</f>
        <v>#REF!</v>
      </c>
      <c r="AC8" s="954" t="s">
        <v>930</v>
      </c>
      <c r="AD8" s="955"/>
      <c r="AE8" s="955"/>
      <c r="AF8" s="955"/>
      <c r="AG8" s="955"/>
      <c r="AH8" s="955"/>
      <c r="AI8" s="955"/>
      <c r="AJ8" s="955"/>
      <c r="AK8" s="956"/>
      <c r="AL8" s="958" t="str">
        <f>IF(ISBLANK(General!$E$16),"",General!$E$16)</f>
        <v/>
      </c>
      <c r="AM8" s="958"/>
      <c r="AN8" s="958"/>
      <c r="AO8" s="958"/>
      <c r="AP8" s="958"/>
      <c r="AQ8" s="958"/>
      <c r="AR8" s="958"/>
      <c r="AS8" s="958"/>
      <c r="AT8" s="958"/>
      <c r="AU8" s="958"/>
      <c r="AV8" s="958"/>
      <c r="AW8" s="958"/>
      <c r="AX8" s="958"/>
      <c r="AY8" s="958"/>
      <c r="AZ8" s="958"/>
      <c r="BA8" s="958"/>
      <c r="BB8" s="958"/>
      <c r="BC8" s="959"/>
      <c r="BD8" s="196"/>
      <c r="BE8" s="196"/>
      <c r="BF8" s="221"/>
      <c r="BG8" s="196"/>
      <c r="BH8" s="196"/>
      <c r="BI8" s="196"/>
      <c r="BJ8" s="196"/>
      <c r="BK8" s="196"/>
      <c r="BL8" s="196"/>
      <c r="BM8" s="221"/>
      <c r="BN8" s="221"/>
      <c r="BO8" s="195"/>
      <c r="BP8" s="196"/>
      <c r="BQ8" s="221"/>
      <c r="BR8" s="196"/>
      <c r="BS8" s="196"/>
      <c r="BT8" s="196"/>
      <c r="BU8" s="196"/>
      <c r="BV8" s="196"/>
      <c r="BW8" s="196"/>
      <c r="BX8" s="221"/>
      <c r="BY8" s="195"/>
      <c r="BZ8" s="196"/>
      <c r="CA8" s="197"/>
      <c r="CB8" s="197"/>
      <c r="CC8" s="197"/>
      <c r="CD8" s="197"/>
      <c r="CE8" s="197"/>
      <c r="CF8" s="197"/>
      <c r="CG8" s="197"/>
      <c r="CH8" s="197"/>
      <c r="CI8" s="197"/>
      <c r="CJ8" s="197"/>
      <c r="CK8" s="197"/>
      <c r="CL8" s="197"/>
      <c r="CM8" s="197"/>
      <c r="CN8" s="197"/>
      <c r="CO8" s="197"/>
      <c r="CP8" s="197"/>
      <c r="CQ8" s="197"/>
      <c r="CR8" s="197"/>
      <c r="CS8" s="197"/>
      <c r="CT8" s="196"/>
      <c r="CU8" s="196"/>
      <c r="CV8" s="196"/>
      <c r="CW8" s="196"/>
      <c r="CX8" s="600"/>
    </row>
    <row r="9" spans="1:102" ht="15.75" customHeight="1" thickBot="1" x14ac:dyDescent="0.3">
      <c r="A9" s="1044" t="s">
        <v>969</v>
      </c>
      <c r="B9" s="1045"/>
      <c r="C9" s="1045"/>
      <c r="D9" s="1045"/>
      <c r="E9" s="1045"/>
      <c r="F9" s="1045"/>
      <c r="G9" s="1045"/>
      <c r="H9" s="1045"/>
      <c r="I9" s="1045"/>
      <c r="J9" s="1045"/>
      <c r="K9" s="1045"/>
      <c r="L9" s="1045"/>
      <c r="M9" s="1045"/>
      <c r="N9" s="1045"/>
      <c r="O9" s="1045"/>
      <c r="P9" s="1045"/>
      <c r="Q9" s="1045"/>
      <c r="R9" s="1045"/>
      <c r="S9" s="1045"/>
      <c r="T9" s="1045"/>
      <c r="U9" s="1045"/>
      <c r="V9" s="1045"/>
      <c r="W9" s="1045"/>
      <c r="X9" s="1045"/>
      <c r="Y9" s="1045"/>
      <c r="Z9" s="1045"/>
      <c r="AA9" s="1045"/>
      <c r="AB9" s="1045"/>
      <c r="AC9" s="1045"/>
      <c r="AD9" s="1045"/>
      <c r="AE9" s="1045"/>
      <c r="AF9" s="1045"/>
      <c r="AG9" s="1045"/>
      <c r="AH9" s="1045"/>
      <c r="AI9" s="1045"/>
      <c r="AJ9" s="1045"/>
      <c r="AK9" s="1045"/>
      <c r="AL9" s="1045"/>
      <c r="AM9" s="1045"/>
      <c r="AN9" s="1045"/>
      <c r="AO9" s="1045"/>
      <c r="AP9" s="1045"/>
      <c r="AQ9" s="1045"/>
      <c r="AR9" s="1045"/>
      <c r="AS9" s="1045"/>
      <c r="AT9" s="1045"/>
      <c r="AU9" s="1045"/>
      <c r="AV9" s="1045"/>
      <c r="AW9" s="1045"/>
      <c r="AX9" s="1045"/>
      <c r="AY9" s="1045"/>
      <c r="AZ9" s="1045"/>
      <c r="BA9" s="1045"/>
      <c r="BB9" s="1045"/>
      <c r="BC9" s="1046"/>
      <c r="BD9" s="199"/>
      <c r="BE9" s="199"/>
      <c r="BF9" s="217"/>
      <c r="BG9" s="199"/>
      <c r="BH9" s="199"/>
      <c r="BI9" s="219"/>
      <c r="BJ9" s="223"/>
      <c r="BK9" s="223"/>
      <c r="BL9" s="221"/>
      <c r="BM9" s="221"/>
      <c r="BN9" s="221"/>
      <c r="BO9" s="217"/>
      <c r="BP9" s="199"/>
      <c r="BQ9" s="219"/>
      <c r="BR9" s="217"/>
      <c r="BS9" s="199"/>
      <c r="BT9" s="219"/>
      <c r="BU9" s="199"/>
      <c r="BV9" s="223"/>
      <c r="BW9" s="223"/>
      <c r="BX9" s="221"/>
      <c r="BY9" s="217"/>
      <c r="BZ9" s="199"/>
      <c r="CA9" s="197"/>
      <c r="CB9" s="197"/>
      <c r="CC9" s="197"/>
      <c r="CD9" s="197"/>
      <c r="CE9" s="197"/>
      <c r="CF9" s="197"/>
      <c r="CG9" s="197"/>
      <c r="CH9" s="197"/>
      <c r="CI9" s="197"/>
      <c r="CJ9" s="197"/>
      <c r="CK9" s="197"/>
      <c r="CL9" s="197"/>
      <c r="CM9" s="197"/>
      <c r="CN9" s="197"/>
      <c r="CO9" s="197"/>
      <c r="CP9" s="197"/>
      <c r="CQ9" s="197"/>
      <c r="CR9" s="197"/>
      <c r="CS9" s="197"/>
      <c r="CT9" s="221"/>
      <c r="CU9" s="199"/>
      <c r="CV9" s="199"/>
      <c r="CW9" s="199"/>
      <c r="CX9" s="601"/>
    </row>
    <row r="10" spans="1:102" ht="15.75" customHeight="1" x14ac:dyDescent="0.25">
      <c r="A10" s="602"/>
      <c r="B10" s="196"/>
      <c r="C10" s="221"/>
      <c r="D10" s="221"/>
      <c r="E10" s="221"/>
      <c r="F10" s="221"/>
      <c r="G10" s="221"/>
      <c r="H10" s="221"/>
      <c r="I10" s="221"/>
      <c r="J10" s="221"/>
      <c r="K10" s="221"/>
      <c r="L10" s="221"/>
      <c r="M10" s="221"/>
      <c r="N10" s="221"/>
      <c r="O10" s="221"/>
      <c r="P10" s="221"/>
      <c r="Q10" s="221"/>
      <c r="R10" s="221"/>
      <c r="S10" s="221"/>
      <c r="T10" s="221"/>
      <c r="U10" s="221"/>
      <c r="V10" s="221"/>
      <c r="W10" s="221"/>
      <c r="X10" s="221"/>
      <c r="Y10" s="221"/>
      <c r="Z10" s="221"/>
      <c r="AA10" s="221"/>
      <c r="AB10" s="221"/>
      <c r="AC10" s="221"/>
      <c r="AD10" s="221"/>
      <c r="AE10" s="221"/>
      <c r="AF10" s="217"/>
      <c r="AG10" s="199"/>
      <c r="AH10" s="199"/>
      <c r="AI10" s="217"/>
      <c r="AJ10" s="221"/>
      <c r="AK10" s="199"/>
      <c r="AL10" s="199"/>
      <c r="AM10" s="219"/>
      <c r="AN10" s="199"/>
      <c r="AO10" s="221"/>
      <c r="AP10" s="221"/>
      <c r="AQ10" s="217"/>
      <c r="AR10" s="199"/>
      <c r="AS10" s="199"/>
      <c r="AT10" s="217"/>
      <c r="AU10" s="199"/>
      <c r="AV10" s="199"/>
      <c r="AW10" s="219"/>
      <c r="AX10" s="199"/>
      <c r="AY10" s="199"/>
      <c r="AZ10" s="199"/>
      <c r="BA10" s="221"/>
      <c r="BB10" s="221"/>
      <c r="BC10" s="217"/>
      <c r="BD10" s="199"/>
      <c r="BE10" s="199"/>
      <c r="BF10" s="217"/>
      <c r="BG10" s="199"/>
      <c r="BH10" s="199"/>
      <c r="BI10" s="219"/>
      <c r="BJ10" s="199"/>
      <c r="BK10" s="199"/>
      <c r="BL10" s="199"/>
      <c r="BM10" s="221"/>
      <c r="BN10" s="221"/>
      <c r="BO10" s="217"/>
      <c r="BP10" s="199"/>
      <c r="BQ10" s="219"/>
      <c r="BR10" s="217"/>
      <c r="BS10" s="199"/>
      <c r="BT10" s="219"/>
      <c r="BU10" s="199"/>
      <c r="BV10" s="199"/>
      <c r="BW10" s="199"/>
      <c r="BX10" s="221"/>
      <c r="BY10" s="217"/>
      <c r="BZ10" s="199"/>
      <c r="CA10" s="223"/>
      <c r="CB10" s="223"/>
      <c r="CC10" s="221"/>
      <c r="CD10" s="199"/>
      <c r="CE10" s="221"/>
      <c r="CF10" s="221"/>
      <c r="CG10" s="221"/>
      <c r="CH10" s="221"/>
      <c r="CI10" s="221"/>
      <c r="CJ10" s="221"/>
      <c r="CK10" s="221"/>
      <c r="CL10" s="221"/>
      <c r="CM10" s="221"/>
      <c r="CN10" s="221"/>
      <c r="CO10" s="221"/>
      <c r="CP10" s="221"/>
      <c r="CQ10" s="221"/>
      <c r="CR10" s="221"/>
      <c r="CS10" s="221"/>
      <c r="CT10" s="199"/>
      <c r="CU10" s="199"/>
      <c r="CV10" s="199"/>
      <c r="CW10" s="199"/>
      <c r="CX10" s="601"/>
    </row>
    <row r="11" spans="1:102" ht="15.75" customHeight="1" x14ac:dyDescent="0.25">
      <c r="A11" s="602"/>
      <c r="B11" s="196"/>
      <c r="C11" s="221"/>
      <c r="D11" s="221"/>
      <c r="E11" s="221"/>
      <c r="F11" s="221"/>
      <c r="G11" s="221"/>
      <c r="H11" s="221"/>
      <c r="I11" s="221"/>
      <c r="J11" s="219"/>
      <c r="K11" s="219"/>
      <c r="L11" s="219"/>
      <c r="M11" s="219"/>
      <c r="N11" s="219"/>
      <c r="O11" s="219"/>
      <c r="P11" s="199"/>
      <c r="Q11" s="199"/>
      <c r="R11" s="199"/>
      <c r="S11" s="199"/>
      <c r="T11" s="199"/>
      <c r="U11" s="199"/>
      <c r="V11" s="199"/>
      <c r="W11" s="199"/>
      <c r="X11" s="199"/>
      <c r="Y11" s="199"/>
      <c r="Z11" s="199"/>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199"/>
      <c r="AX11" s="199"/>
      <c r="AY11" s="221"/>
      <c r="AZ11" s="221"/>
      <c r="BA11" s="221"/>
      <c r="BB11" s="221"/>
      <c r="BC11" s="221"/>
      <c r="BD11" s="221"/>
      <c r="BE11" s="221"/>
      <c r="BF11" s="221"/>
      <c r="BG11" s="221"/>
      <c r="BH11" s="221"/>
      <c r="BI11" s="22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196"/>
      <c r="CV11" s="196"/>
      <c r="CW11" s="196"/>
      <c r="CX11" s="600"/>
    </row>
    <row r="12" spans="1:102" ht="15.75" customHeight="1" x14ac:dyDescent="0.25">
      <c r="A12" s="602"/>
      <c r="B12" s="195"/>
      <c r="C12" s="196"/>
      <c r="D12" s="196"/>
      <c r="E12" s="221"/>
      <c r="F12" s="196"/>
      <c r="G12" s="196"/>
      <c r="H12" s="224"/>
      <c r="I12" s="196"/>
      <c r="J12" s="196"/>
      <c r="K12" s="196"/>
      <c r="L12" s="195"/>
      <c r="M12" s="196"/>
      <c r="N12" s="196"/>
      <c r="O12" s="221"/>
      <c r="P12" s="196"/>
      <c r="Q12" s="196"/>
      <c r="R12" s="224"/>
      <c r="S12" s="196"/>
      <c r="T12" s="196"/>
      <c r="U12" s="196"/>
      <c r="V12" s="221"/>
      <c r="W12" s="195"/>
      <c r="X12" s="196"/>
      <c r="Y12" s="196"/>
      <c r="Z12" s="221"/>
      <c r="AA12" s="196"/>
      <c r="AB12" s="196"/>
      <c r="AC12" s="224"/>
      <c r="AD12" s="196"/>
      <c r="AE12" s="196"/>
      <c r="AF12" s="196"/>
      <c r="AG12" s="196"/>
      <c r="AH12" s="221"/>
      <c r="AI12" s="195"/>
      <c r="AJ12" s="196"/>
      <c r="AK12" s="221"/>
      <c r="AL12" s="221"/>
      <c r="AM12" s="196"/>
      <c r="AN12" s="221"/>
      <c r="AO12" s="221"/>
      <c r="AP12" s="221"/>
      <c r="AQ12" s="221"/>
      <c r="AR12" s="196"/>
      <c r="AS12" s="221"/>
      <c r="AT12" s="195"/>
      <c r="AU12" s="221"/>
      <c r="AV12" s="221"/>
      <c r="AW12" s="221"/>
      <c r="AX12" s="224"/>
      <c r="AY12" s="196"/>
      <c r="AZ12" s="196"/>
      <c r="BA12" s="196"/>
      <c r="BB12" s="196"/>
      <c r="BC12" s="196"/>
      <c r="BD12" s="195"/>
      <c r="BE12" s="196"/>
      <c r="BF12" s="196"/>
      <c r="BG12" s="224"/>
      <c r="BH12" s="196"/>
      <c r="BI12" s="196"/>
      <c r="BJ12" s="196"/>
      <c r="BK12" s="196"/>
      <c r="BL12" s="196"/>
      <c r="BM12" s="196"/>
      <c r="BN12" s="221"/>
      <c r="BO12" s="195"/>
      <c r="BP12" s="225" t="s">
        <v>197</v>
      </c>
      <c r="BQ12" s="221"/>
      <c r="BR12" s="221"/>
      <c r="BS12" s="221"/>
      <c r="BT12" s="221"/>
      <c r="BU12" s="221"/>
      <c r="BV12" s="221"/>
      <c r="BW12" s="221"/>
      <c r="BX12" s="195"/>
      <c r="BY12" s="221"/>
      <c r="BZ12" s="221"/>
      <c r="CA12" s="196"/>
      <c r="CB12" s="196"/>
      <c r="CC12" s="196"/>
      <c r="CD12" s="196"/>
      <c r="CE12" s="196"/>
      <c r="CF12" s="196"/>
      <c r="CG12" s="196"/>
      <c r="CH12" s="196"/>
      <c r="CI12" s="221"/>
      <c r="CJ12" s="221"/>
      <c r="CK12" s="195"/>
      <c r="CL12" s="196"/>
      <c r="CM12" s="196"/>
      <c r="CN12" s="196"/>
      <c r="CO12" s="196"/>
      <c r="CP12" s="196"/>
      <c r="CQ12" s="196"/>
      <c r="CR12" s="196"/>
      <c r="CS12" s="196"/>
      <c r="CT12" s="221"/>
      <c r="CU12" s="196"/>
      <c r="CV12" s="196"/>
      <c r="CW12" s="196"/>
      <c r="CX12" s="600"/>
    </row>
    <row r="13" spans="1:102" ht="15.75" customHeight="1" x14ac:dyDescent="0.25">
      <c r="A13" s="602"/>
      <c r="B13" s="195"/>
      <c r="C13" s="196"/>
      <c r="D13" s="196"/>
      <c r="E13" s="197"/>
      <c r="F13" s="197"/>
      <c r="G13" s="197"/>
      <c r="H13" s="197"/>
      <c r="I13" s="197"/>
      <c r="J13" s="197"/>
      <c r="K13" s="197"/>
      <c r="L13" s="197"/>
      <c r="M13" s="197"/>
      <c r="N13" s="197"/>
      <c r="O13" s="197"/>
      <c r="P13" s="197"/>
      <c r="Q13" s="197"/>
      <c r="R13" s="197"/>
      <c r="S13" s="196"/>
      <c r="T13" s="196"/>
      <c r="U13" s="196"/>
      <c r="V13" s="221"/>
      <c r="W13" s="195"/>
      <c r="X13" s="196"/>
      <c r="Y13" s="196"/>
      <c r="Z13" s="221"/>
      <c r="AA13" s="196"/>
      <c r="AB13" s="196"/>
      <c r="AC13" s="224"/>
      <c r="AD13" s="196"/>
      <c r="AE13" s="196"/>
      <c r="AF13" s="196"/>
      <c r="AG13" s="196"/>
      <c r="AH13" s="221"/>
      <c r="AI13" s="195"/>
      <c r="AJ13" s="196"/>
      <c r="AK13" s="221"/>
      <c r="AL13" s="221"/>
      <c r="AM13" s="196"/>
      <c r="AN13" s="221"/>
      <c r="AO13" s="221"/>
      <c r="AP13" s="221"/>
      <c r="AQ13" s="221"/>
      <c r="AR13" s="196"/>
      <c r="AS13" s="221"/>
      <c r="AT13" s="195"/>
      <c r="AU13" s="221"/>
      <c r="AV13" s="221"/>
      <c r="AW13" s="221"/>
      <c r="AX13" s="224"/>
      <c r="AY13" s="196"/>
      <c r="AZ13" s="196"/>
      <c r="BA13" s="196"/>
      <c r="BB13" s="196"/>
      <c r="BC13" s="196"/>
      <c r="BD13" s="195"/>
      <c r="BE13" s="196"/>
      <c r="BF13" s="196"/>
      <c r="BG13" s="224"/>
      <c r="BH13" s="196"/>
      <c r="BI13" s="196"/>
      <c r="BJ13" s="196"/>
      <c r="BK13" s="196"/>
      <c r="BL13" s="196"/>
      <c r="BM13" s="196"/>
      <c r="BN13" s="221"/>
      <c r="BO13" s="195"/>
      <c r="BP13" s="226" t="s">
        <v>671</v>
      </c>
      <c r="BQ13" s="221"/>
      <c r="BR13" s="221"/>
      <c r="BS13" s="221"/>
      <c r="BT13" s="221"/>
      <c r="BU13" s="221"/>
      <c r="BV13" s="221"/>
      <c r="BW13" s="221"/>
      <c r="BX13" s="195"/>
      <c r="BY13" s="221"/>
      <c r="BZ13" s="221"/>
      <c r="CA13" s="196"/>
      <c r="CB13" s="196"/>
      <c r="CC13" s="196"/>
      <c r="CD13" s="196"/>
      <c r="CE13" s="196"/>
      <c r="CF13" s="196"/>
      <c r="CG13" s="196"/>
      <c r="CH13" s="196"/>
      <c r="CI13" s="221"/>
      <c r="CJ13" s="221"/>
      <c r="CK13" s="195"/>
      <c r="CL13" s="196"/>
      <c r="CM13" s="196"/>
      <c r="CN13" s="196"/>
      <c r="CO13" s="196"/>
      <c r="CP13" s="196"/>
      <c r="CQ13" s="196"/>
      <c r="CR13" s="196"/>
      <c r="CS13" s="196"/>
      <c r="CT13" s="221"/>
      <c r="CU13" s="221"/>
      <c r="CV13" s="221"/>
      <c r="CW13" s="221"/>
      <c r="CX13" s="600"/>
    </row>
    <row r="14" spans="1:102" ht="15.75" customHeight="1" x14ac:dyDescent="0.25">
      <c r="A14" s="602"/>
      <c r="B14" s="217"/>
      <c r="C14" s="199"/>
      <c r="D14" s="199"/>
      <c r="E14" s="197"/>
      <c r="F14" s="197"/>
      <c r="G14" s="197"/>
      <c r="H14" s="197"/>
      <c r="I14" s="197"/>
      <c r="J14" s="197"/>
      <c r="K14" s="197"/>
      <c r="L14" s="197"/>
      <c r="M14" s="197"/>
      <c r="N14" s="197"/>
      <c r="O14" s="197"/>
      <c r="P14" s="197"/>
      <c r="Q14" s="197"/>
      <c r="R14" s="197"/>
      <c r="S14" s="223"/>
      <c r="T14" s="223"/>
      <c r="U14" s="199"/>
      <c r="V14" s="221"/>
      <c r="W14" s="217"/>
      <c r="X14" s="199"/>
      <c r="Y14" s="199"/>
      <c r="Z14" s="219"/>
      <c r="AA14" s="199"/>
      <c r="AB14" s="199"/>
      <c r="AC14" s="217"/>
      <c r="AD14" s="199"/>
      <c r="AE14" s="199"/>
      <c r="AF14" s="199"/>
      <c r="AG14" s="199"/>
      <c r="AH14" s="221"/>
      <c r="AI14" s="217"/>
      <c r="AJ14" s="199"/>
      <c r="AK14" s="219"/>
      <c r="AL14" s="219"/>
      <c r="AM14" s="199"/>
      <c r="AN14" s="221"/>
      <c r="AO14" s="221"/>
      <c r="AP14" s="221"/>
      <c r="AQ14" s="221"/>
      <c r="AR14" s="199"/>
      <c r="AS14" s="221"/>
      <c r="AT14" s="217"/>
      <c r="AU14" s="221"/>
      <c r="AV14" s="221"/>
      <c r="AW14" s="221"/>
      <c r="AX14" s="217"/>
      <c r="AY14" s="199"/>
      <c r="AZ14" s="199"/>
      <c r="BA14" s="199"/>
      <c r="BB14" s="199"/>
      <c r="BC14" s="199"/>
      <c r="BD14" s="217"/>
      <c r="BE14" s="199"/>
      <c r="BF14" s="199"/>
      <c r="BG14" s="217"/>
      <c r="BH14" s="199"/>
      <c r="BI14" s="199"/>
      <c r="BJ14" s="199"/>
      <c r="BK14" s="199"/>
      <c r="BL14" s="199"/>
      <c r="BM14" s="199"/>
      <c r="BN14" s="221"/>
      <c r="BO14" s="195"/>
      <c r="BP14" s="221"/>
      <c r="BQ14" s="221"/>
      <c r="BR14" s="221"/>
      <c r="BS14" s="221"/>
      <c r="BT14" s="221"/>
      <c r="BU14" s="221"/>
      <c r="BV14" s="221"/>
      <c r="BW14" s="221"/>
      <c r="BX14" s="217"/>
      <c r="BY14" s="221"/>
      <c r="BZ14" s="221"/>
      <c r="CA14" s="199"/>
      <c r="CB14" s="217"/>
      <c r="CC14" s="199"/>
      <c r="CD14" s="199"/>
      <c r="CE14" s="199"/>
      <c r="CF14" s="223"/>
      <c r="CG14" s="223"/>
      <c r="CH14" s="221"/>
      <c r="CI14" s="221"/>
      <c r="CJ14" s="221"/>
      <c r="CK14" s="217"/>
      <c r="CL14" s="199"/>
      <c r="CM14" s="199"/>
      <c r="CN14" s="217"/>
      <c r="CO14" s="199"/>
      <c r="CP14" s="199"/>
      <c r="CQ14" s="199"/>
      <c r="CR14" s="223"/>
      <c r="CS14" s="223"/>
      <c r="CT14" s="221"/>
      <c r="CU14" s="221"/>
      <c r="CV14" s="221"/>
      <c r="CW14" s="221"/>
      <c r="CX14" s="601"/>
    </row>
    <row r="15" spans="1:102" ht="15.75" customHeight="1" x14ac:dyDescent="0.25">
      <c r="A15" s="602"/>
      <c r="B15" s="217"/>
      <c r="C15" s="221"/>
      <c r="D15" s="221"/>
      <c r="E15" s="197"/>
      <c r="F15" s="197"/>
      <c r="G15" s="197"/>
      <c r="H15" s="197"/>
      <c r="I15" s="197"/>
      <c r="J15" s="197"/>
      <c r="K15" s="197"/>
      <c r="L15" s="197"/>
      <c r="M15" s="197"/>
      <c r="N15" s="197"/>
      <c r="O15" s="197"/>
      <c r="P15" s="197"/>
      <c r="Q15" s="197"/>
      <c r="R15" s="197"/>
      <c r="S15" s="221"/>
      <c r="T15" s="221"/>
      <c r="U15" s="221"/>
      <c r="V15" s="221"/>
      <c r="W15" s="221"/>
      <c r="X15" s="221"/>
      <c r="Y15" s="221"/>
      <c r="Z15" s="221"/>
      <c r="AA15" s="221"/>
      <c r="AB15" s="221"/>
      <c r="AC15" s="221"/>
      <c r="AD15" s="221"/>
      <c r="AE15" s="221"/>
      <c r="AF15" s="221"/>
      <c r="AG15" s="221"/>
      <c r="AH15" s="221"/>
      <c r="AI15" s="221"/>
      <c r="AJ15" s="221"/>
      <c r="AK15" s="199"/>
      <c r="AL15" s="221"/>
      <c r="AM15" s="221"/>
      <c r="AN15" s="221"/>
      <c r="AO15" s="221"/>
      <c r="AP15" s="221"/>
      <c r="AQ15" s="221"/>
      <c r="AR15" s="221"/>
      <c r="AS15" s="221"/>
      <c r="AT15" s="221"/>
      <c r="AU15" s="221"/>
      <c r="AV15" s="221"/>
      <c r="AW15" s="221"/>
      <c r="AX15" s="221"/>
      <c r="AY15" s="221"/>
      <c r="AZ15" s="217"/>
      <c r="BA15" s="199"/>
      <c r="BB15" s="221"/>
      <c r="BC15" s="221"/>
      <c r="BD15" s="199"/>
      <c r="BE15" s="199"/>
      <c r="BF15" s="199"/>
      <c r="BG15" s="199"/>
      <c r="BH15" s="199"/>
      <c r="BI15" s="199"/>
      <c r="BJ15" s="199"/>
      <c r="BK15" s="199"/>
      <c r="BL15" s="217"/>
      <c r="BM15" s="199"/>
      <c r="BN15" s="199"/>
      <c r="BO15" s="217"/>
      <c r="BP15" s="219"/>
      <c r="BQ15" s="219"/>
      <c r="BR15" s="219"/>
      <c r="BS15" s="219"/>
      <c r="BT15" s="219"/>
      <c r="BU15" s="219"/>
      <c r="BV15" s="221"/>
      <c r="BW15" s="199"/>
      <c r="BX15" s="199"/>
      <c r="BY15" s="217"/>
      <c r="BZ15" s="199"/>
      <c r="CA15" s="199"/>
      <c r="CB15" s="217"/>
      <c r="CC15" s="199"/>
      <c r="CD15" s="199"/>
      <c r="CE15" s="199"/>
      <c r="CF15" s="199"/>
      <c r="CG15" s="199"/>
      <c r="CH15" s="199"/>
      <c r="CI15" s="221"/>
      <c r="CJ15" s="221"/>
      <c r="CK15" s="217"/>
      <c r="CL15" s="199"/>
      <c r="CM15" s="199"/>
      <c r="CN15" s="217"/>
      <c r="CO15" s="199"/>
      <c r="CP15" s="199"/>
      <c r="CQ15" s="199"/>
      <c r="CR15" s="199"/>
      <c r="CS15" s="199"/>
      <c r="CT15" s="221"/>
      <c r="CU15" s="196"/>
      <c r="CV15" s="196"/>
      <c r="CW15" s="196"/>
      <c r="CX15" s="601"/>
    </row>
    <row r="16" spans="1:102" ht="15.75" customHeight="1" x14ac:dyDescent="0.25">
      <c r="A16" s="602"/>
      <c r="B16" s="196"/>
      <c r="C16" s="221"/>
      <c r="D16" s="224"/>
      <c r="E16" s="197"/>
      <c r="F16" s="197"/>
      <c r="G16" s="197"/>
      <c r="H16" s="197"/>
      <c r="I16" s="197"/>
      <c r="J16" s="197"/>
      <c r="K16" s="197"/>
      <c r="L16" s="197"/>
      <c r="M16" s="197"/>
      <c r="N16" s="197"/>
      <c r="O16" s="197"/>
      <c r="P16" s="197"/>
      <c r="Q16" s="197"/>
      <c r="R16" s="197"/>
      <c r="S16" s="221"/>
      <c r="T16" s="221"/>
      <c r="U16" s="221"/>
      <c r="V16" s="221"/>
      <c r="W16" s="221"/>
      <c r="X16" s="221"/>
      <c r="Y16" s="221"/>
      <c r="Z16" s="221"/>
      <c r="AA16" s="221"/>
      <c r="AB16" s="220"/>
      <c r="AC16" s="220"/>
      <c r="AD16" s="220"/>
      <c r="AE16" s="220"/>
      <c r="AF16" s="220"/>
      <c r="AG16" s="220"/>
      <c r="AH16" s="196"/>
      <c r="AI16" s="220"/>
      <c r="AJ16" s="220"/>
      <c r="AK16" s="196"/>
      <c r="AL16" s="220"/>
      <c r="AM16" s="199"/>
      <c r="AN16" s="220"/>
      <c r="AO16" s="199"/>
      <c r="AP16" s="220"/>
      <c r="AQ16" s="220"/>
      <c r="AR16" s="220"/>
      <c r="AS16" s="220"/>
      <c r="AT16" s="220"/>
      <c r="AU16" s="199"/>
      <c r="AV16" s="199"/>
      <c r="AW16" s="199"/>
      <c r="AX16" s="199"/>
      <c r="AY16" s="199"/>
      <c r="AZ16" s="217"/>
      <c r="BA16" s="199"/>
      <c r="BB16" s="199"/>
      <c r="BC16" s="217"/>
      <c r="BD16" s="199"/>
      <c r="BE16" s="199"/>
      <c r="BF16" s="199"/>
      <c r="BG16" s="199"/>
      <c r="BH16" s="199"/>
      <c r="BI16" s="199"/>
      <c r="BJ16" s="199"/>
      <c r="BK16" s="199"/>
      <c r="BL16" s="199"/>
      <c r="BM16" s="217"/>
      <c r="BN16" s="199"/>
      <c r="BO16" s="199"/>
      <c r="BP16" s="196"/>
      <c r="BQ16" s="196"/>
      <c r="BR16" s="196"/>
      <c r="BS16" s="196"/>
      <c r="BT16" s="196"/>
      <c r="BU16" s="196"/>
      <c r="BV16" s="196"/>
      <c r="BW16" s="196"/>
      <c r="BX16" s="199"/>
      <c r="BY16" s="199"/>
      <c r="BZ16" s="217"/>
      <c r="CA16" s="221"/>
      <c r="CB16" s="221"/>
      <c r="CC16" s="221"/>
      <c r="CD16" s="221"/>
      <c r="CE16" s="221"/>
      <c r="CF16" s="221"/>
      <c r="CG16" s="221"/>
      <c r="CH16" s="221"/>
      <c r="CI16" s="221"/>
      <c r="CJ16" s="221"/>
      <c r="CK16" s="221"/>
      <c r="CL16" s="221"/>
      <c r="CM16" s="221"/>
      <c r="CN16" s="221"/>
      <c r="CO16" s="221"/>
      <c r="CP16" s="221"/>
      <c r="CQ16" s="221"/>
      <c r="CR16" s="221"/>
      <c r="CS16" s="221"/>
      <c r="CT16" s="218"/>
      <c r="CU16" s="200"/>
      <c r="CV16" s="200"/>
      <c r="CW16" s="200"/>
      <c r="CX16" s="603"/>
    </row>
    <row r="17" spans="1:112" ht="15.75" customHeight="1" x14ac:dyDescent="0.25">
      <c r="A17" s="602"/>
      <c r="B17" s="196"/>
      <c r="C17" s="221"/>
      <c r="D17" s="224"/>
      <c r="E17" s="196"/>
      <c r="F17" s="196"/>
      <c r="G17" s="224"/>
      <c r="H17" s="196"/>
      <c r="I17" s="196"/>
      <c r="J17" s="196"/>
      <c r="K17" s="221"/>
      <c r="L17" s="221"/>
      <c r="M17" s="221"/>
      <c r="N17" s="221"/>
      <c r="O17" s="221"/>
      <c r="P17" s="221"/>
      <c r="Q17" s="221"/>
      <c r="R17" s="199"/>
      <c r="S17" s="221"/>
      <c r="T17" s="199"/>
      <c r="U17" s="221"/>
      <c r="V17" s="221"/>
      <c r="W17" s="221"/>
      <c r="X17" s="221"/>
      <c r="Y17" s="221"/>
      <c r="Z17" s="221"/>
      <c r="AA17" s="221"/>
      <c r="AB17" s="220"/>
      <c r="AC17" s="201" t="s">
        <v>576</v>
      </c>
      <c r="AD17" s="220"/>
      <c r="AE17" s="220"/>
      <c r="AF17" s="220"/>
      <c r="AG17" s="220"/>
      <c r="AH17" s="196"/>
      <c r="AI17" s="220"/>
      <c r="AJ17" s="220"/>
      <c r="AK17" s="196"/>
      <c r="AL17" s="220"/>
      <c r="AM17" s="220"/>
      <c r="AN17" s="220"/>
      <c r="AO17" s="220"/>
      <c r="AP17" s="220"/>
      <c r="AQ17" s="220"/>
      <c r="AR17" s="220"/>
      <c r="AS17" s="220"/>
      <c r="AT17" s="220"/>
      <c r="AU17" s="199"/>
      <c r="AV17" s="199"/>
      <c r="AW17" s="199"/>
      <c r="AX17" s="199"/>
      <c r="AY17" s="199"/>
      <c r="AZ17" s="217"/>
      <c r="BA17" s="199"/>
      <c r="BB17" s="199"/>
      <c r="BC17" s="217"/>
      <c r="BD17" s="199"/>
      <c r="BE17" s="199"/>
      <c r="BF17" s="199"/>
      <c r="BG17" s="199"/>
      <c r="BH17" s="199"/>
      <c r="BI17" s="199"/>
      <c r="BJ17" s="199"/>
      <c r="BK17" s="199"/>
      <c r="BL17" s="199"/>
      <c r="BM17" s="217"/>
      <c r="BN17" s="199"/>
      <c r="BO17" s="199"/>
      <c r="BP17" s="196"/>
      <c r="BQ17" s="196"/>
      <c r="BR17" s="196"/>
      <c r="BS17" s="196"/>
      <c r="BT17" s="196"/>
      <c r="BU17" s="196"/>
      <c r="BV17" s="196"/>
      <c r="BW17" s="196"/>
      <c r="BX17" s="199"/>
      <c r="BY17" s="199"/>
      <c r="BZ17" s="217"/>
      <c r="CA17" s="221"/>
      <c r="CB17" s="221"/>
      <c r="CC17" s="221"/>
      <c r="CD17" s="221"/>
      <c r="CE17" s="221"/>
      <c r="CF17" s="221"/>
      <c r="CG17" s="221"/>
      <c r="CH17" s="221"/>
      <c r="CI17" s="221"/>
      <c r="CJ17" s="221"/>
      <c r="CK17" s="221"/>
      <c r="CL17" s="221"/>
      <c r="CM17" s="221"/>
      <c r="CN17" s="221"/>
      <c r="CO17" s="221"/>
      <c r="CP17" s="221"/>
      <c r="CQ17" s="221"/>
      <c r="CR17" s="221"/>
      <c r="CS17" s="221"/>
      <c r="CT17" s="218"/>
      <c r="CU17" s="200"/>
      <c r="CV17" s="200"/>
      <c r="CW17" s="200"/>
      <c r="CX17" s="603"/>
    </row>
    <row r="18" spans="1:112" ht="15.75" customHeight="1" x14ac:dyDescent="0.25">
      <c r="A18" s="602"/>
      <c r="B18" s="197"/>
      <c r="C18" s="197"/>
      <c r="D18" s="197"/>
      <c r="E18" s="197"/>
      <c r="F18" s="197"/>
      <c r="G18" s="197"/>
      <c r="H18" s="197"/>
      <c r="I18" s="197"/>
      <c r="J18" s="197"/>
      <c r="K18" s="197"/>
      <c r="L18" s="197"/>
      <c r="M18" s="197"/>
      <c r="N18" s="197"/>
      <c r="O18" s="197"/>
      <c r="P18" s="197"/>
      <c r="Q18" s="197"/>
      <c r="R18" s="197"/>
      <c r="S18" s="197"/>
      <c r="T18" s="197"/>
      <c r="U18" s="197"/>
      <c r="V18" s="197"/>
      <c r="W18" s="197"/>
      <c r="X18" s="197"/>
      <c r="Y18" s="197"/>
      <c r="Z18" s="197"/>
      <c r="AA18" s="197"/>
      <c r="AB18" s="197"/>
      <c r="AC18" s="227" t="s">
        <v>692</v>
      </c>
      <c r="AD18" s="197"/>
      <c r="AE18" s="197"/>
      <c r="AF18" s="197"/>
      <c r="AG18" s="197"/>
      <c r="AH18" s="197"/>
      <c r="AI18" s="197"/>
      <c r="AJ18" s="197"/>
      <c r="AK18" s="197"/>
      <c r="AL18" s="197"/>
      <c r="AM18" s="197"/>
      <c r="AN18" s="197"/>
      <c r="AO18" s="197"/>
      <c r="AP18" s="197"/>
      <c r="AQ18" s="197"/>
      <c r="AR18" s="197"/>
      <c r="AS18" s="197"/>
      <c r="AT18" s="197"/>
      <c r="AU18" s="197"/>
      <c r="AV18" s="197"/>
      <c r="AW18" s="197"/>
      <c r="AX18" s="197"/>
      <c r="AY18" s="197"/>
      <c r="AZ18" s="197"/>
      <c r="BA18" s="197"/>
      <c r="BB18" s="197"/>
      <c r="BC18" s="197"/>
      <c r="BD18" s="197"/>
      <c r="BE18" s="197"/>
      <c r="BF18" s="197"/>
      <c r="BG18" s="197"/>
      <c r="BH18" s="197"/>
      <c r="BI18" s="197"/>
      <c r="BJ18" s="197"/>
      <c r="BK18" s="197"/>
      <c r="BL18" s="197"/>
      <c r="BM18" s="197"/>
      <c r="BN18" s="197"/>
      <c r="BO18" s="197"/>
      <c r="BP18" s="197"/>
      <c r="BQ18" s="197"/>
      <c r="BR18" s="197"/>
      <c r="BS18" s="197"/>
      <c r="BT18" s="197"/>
      <c r="BU18" s="197"/>
      <c r="BV18" s="197"/>
      <c r="BW18" s="197"/>
      <c r="BX18" s="197"/>
      <c r="BY18" s="197"/>
      <c r="BZ18" s="197"/>
      <c r="CA18" s="221"/>
      <c r="CB18" s="221"/>
      <c r="CC18" s="221"/>
      <c r="CD18" s="221"/>
      <c r="CE18" s="221"/>
      <c r="CF18" s="221"/>
      <c r="CG18" s="221"/>
      <c r="CH18" s="221"/>
      <c r="CI18" s="221"/>
      <c r="CJ18" s="221"/>
      <c r="CK18" s="221"/>
      <c r="CL18" s="221"/>
      <c r="CM18" s="221"/>
      <c r="CN18" s="221"/>
      <c r="CO18" s="221"/>
      <c r="CP18" s="221"/>
      <c r="CQ18" s="221"/>
      <c r="CR18" s="221"/>
      <c r="CS18" s="221"/>
      <c r="CT18" s="228"/>
      <c r="CU18" s="200"/>
      <c r="CV18" s="200"/>
      <c r="CW18" s="200"/>
      <c r="CX18" s="604"/>
    </row>
    <row r="19" spans="1:112" ht="15.75" customHeight="1" x14ac:dyDescent="0.25">
      <c r="A19" s="602"/>
      <c r="B19" s="197"/>
      <c r="C19" s="197"/>
      <c r="D19" s="197"/>
      <c r="E19" s="197"/>
      <c r="F19" s="197"/>
      <c r="G19" s="197"/>
      <c r="H19" s="197"/>
      <c r="I19" s="197"/>
      <c r="J19" s="197"/>
      <c r="K19" s="197"/>
      <c r="L19" s="197"/>
      <c r="M19" s="197"/>
      <c r="N19" s="197"/>
      <c r="O19" s="197"/>
      <c r="P19" s="197"/>
      <c r="Q19" s="197"/>
      <c r="R19" s="197"/>
      <c r="S19" s="197"/>
      <c r="T19" s="197"/>
      <c r="U19" s="197"/>
      <c r="V19" s="197"/>
      <c r="W19" s="197"/>
      <c r="X19" s="197"/>
      <c r="Y19" s="196"/>
      <c r="Z19" s="196"/>
      <c r="AA19" s="196"/>
      <c r="AB19" s="196"/>
      <c r="AC19" s="227" t="s">
        <v>693</v>
      </c>
      <c r="AD19" s="196"/>
      <c r="AE19" s="197"/>
      <c r="AF19" s="197"/>
      <c r="AG19" s="197"/>
      <c r="AH19" s="197"/>
      <c r="AI19" s="196"/>
      <c r="AJ19" s="197"/>
      <c r="AK19" s="196"/>
      <c r="AL19" s="197"/>
      <c r="AM19" s="197"/>
      <c r="AN19" s="197"/>
      <c r="AO19" s="197"/>
      <c r="AP19" s="197"/>
      <c r="AQ19" s="197"/>
      <c r="AR19" s="196"/>
      <c r="AS19" s="196"/>
      <c r="AT19" s="196"/>
      <c r="AU19" s="197"/>
      <c r="AV19" s="197"/>
      <c r="AW19" s="196"/>
      <c r="AX19" s="196"/>
      <c r="AY19" s="196"/>
      <c r="AZ19" s="196"/>
      <c r="BA19" s="196"/>
      <c r="BB19" s="196"/>
      <c r="BC19" s="196"/>
      <c r="BD19" s="197"/>
      <c r="BE19" s="196"/>
      <c r="BF19" s="197"/>
      <c r="BG19" s="197"/>
      <c r="BH19" s="197"/>
      <c r="BI19" s="196"/>
      <c r="BJ19" s="197"/>
      <c r="BK19" s="196"/>
      <c r="BL19" s="229"/>
      <c r="BM19" s="196"/>
      <c r="BN19" s="196"/>
      <c r="BO19" s="196"/>
      <c r="BP19" s="197"/>
      <c r="BQ19" s="197"/>
      <c r="BR19" s="197"/>
      <c r="BS19" s="197"/>
      <c r="BT19" s="197"/>
      <c r="BU19" s="197"/>
      <c r="BV19" s="197"/>
      <c r="BW19" s="196"/>
      <c r="BX19" s="196"/>
      <c r="BY19" s="196"/>
      <c r="BZ19" s="196"/>
      <c r="CA19" s="221"/>
      <c r="CB19" s="221"/>
      <c r="CC19" s="221"/>
      <c r="CD19" s="221"/>
      <c r="CE19" s="197"/>
      <c r="CF19" s="197"/>
      <c r="CG19" s="197"/>
      <c r="CH19" s="221"/>
      <c r="CI19" s="221"/>
      <c r="CJ19" s="221"/>
      <c r="CK19" s="221"/>
      <c r="CL19" s="221"/>
      <c r="CM19" s="221"/>
      <c r="CN19" s="221"/>
      <c r="CO19" s="221"/>
      <c r="CP19" s="221"/>
      <c r="CQ19" s="221"/>
      <c r="CR19" s="221"/>
      <c r="CS19" s="221"/>
      <c r="CT19" s="197"/>
      <c r="CU19" s="197"/>
      <c r="CV19" s="197"/>
      <c r="CW19" s="197"/>
      <c r="CX19" s="604"/>
    </row>
    <row r="20" spans="1:112" ht="15.75" customHeight="1" x14ac:dyDescent="0.25">
      <c r="A20" s="602"/>
      <c r="B20" s="196"/>
      <c r="C20" s="197"/>
      <c r="D20" s="197"/>
      <c r="E20" s="197"/>
      <c r="F20" s="197"/>
      <c r="G20" s="197"/>
      <c r="H20" s="197"/>
      <c r="I20" s="197"/>
      <c r="J20" s="197"/>
      <c r="K20" s="197"/>
      <c r="L20" s="197"/>
      <c r="M20" s="197"/>
      <c r="N20" s="197"/>
      <c r="O20" s="197"/>
      <c r="P20" s="197"/>
      <c r="Q20" s="197"/>
      <c r="R20" s="197"/>
      <c r="S20" s="197"/>
      <c r="T20" s="197"/>
      <c r="U20" s="197"/>
      <c r="V20" s="197"/>
      <c r="W20" s="196"/>
      <c r="X20" s="196"/>
      <c r="Y20" s="196"/>
      <c r="Z20" s="196"/>
      <c r="AA20" s="196"/>
      <c r="AB20" s="196"/>
      <c r="AC20" s="196"/>
      <c r="AD20" s="196"/>
      <c r="AE20" s="197"/>
      <c r="AF20" s="197"/>
      <c r="AG20" s="197"/>
      <c r="AH20" s="197"/>
      <c r="AI20" s="196"/>
      <c r="AJ20" s="197"/>
      <c r="AK20" s="199"/>
      <c r="AL20" s="197"/>
      <c r="AM20" s="197"/>
      <c r="AN20" s="197"/>
      <c r="AO20" s="197"/>
      <c r="AP20" s="197"/>
      <c r="AQ20" s="197"/>
      <c r="AR20" s="197"/>
      <c r="AS20" s="197"/>
      <c r="AT20" s="196"/>
      <c r="AU20" s="196"/>
      <c r="AV20" s="197"/>
      <c r="AW20" s="197"/>
      <c r="AX20" s="197"/>
      <c r="AY20" s="197"/>
      <c r="AZ20" s="196"/>
      <c r="BA20" s="196"/>
      <c r="BB20" s="196"/>
      <c r="BC20" s="195"/>
      <c r="BD20" s="197"/>
      <c r="BE20" s="196"/>
      <c r="BF20" s="197"/>
      <c r="BG20" s="197"/>
      <c r="BH20" s="197"/>
      <c r="BI20" s="196"/>
      <c r="BJ20" s="197"/>
      <c r="BK20" s="230"/>
      <c r="BL20" s="230"/>
      <c r="BM20" s="196"/>
      <c r="BN20" s="196"/>
      <c r="BO20" s="196"/>
      <c r="BP20" s="196"/>
      <c r="BQ20" s="196"/>
      <c r="BR20" s="196"/>
      <c r="BS20" s="196"/>
      <c r="BT20" s="196"/>
      <c r="BU20" s="196"/>
      <c r="BV20" s="196"/>
      <c r="BW20" s="196"/>
      <c r="BX20" s="195"/>
      <c r="BY20" s="196"/>
      <c r="BZ20" s="196"/>
      <c r="CA20" s="199"/>
      <c r="CB20" s="199"/>
      <c r="CC20" s="199"/>
      <c r="CD20" s="221"/>
      <c r="CE20" s="195" t="s">
        <v>199</v>
      </c>
      <c r="CF20" s="197"/>
      <c r="CG20" s="197"/>
      <c r="CH20" s="221"/>
      <c r="CI20" s="221"/>
      <c r="CJ20" s="221"/>
      <c r="CK20" s="221"/>
      <c r="CL20" s="221"/>
      <c r="CM20" s="221"/>
      <c r="CN20" s="221"/>
      <c r="CO20" s="196"/>
      <c r="CP20" s="221"/>
      <c r="CQ20" s="221"/>
      <c r="CR20" s="221"/>
      <c r="CS20" s="221"/>
      <c r="CT20" s="202"/>
      <c r="CU20" s="202"/>
      <c r="CV20" s="202"/>
      <c r="CW20" s="202"/>
      <c r="CX20" s="604"/>
    </row>
    <row r="21" spans="1:112" ht="15.75" customHeight="1" x14ac:dyDescent="0.25">
      <c r="A21" s="602"/>
      <c r="B21" s="196"/>
      <c r="C21" s="197"/>
      <c r="D21" s="197"/>
      <c r="E21" s="197"/>
      <c r="F21" s="197"/>
      <c r="G21" s="197"/>
      <c r="H21" s="197"/>
      <c r="I21" s="197"/>
      <c r="J21" s="197"/>
      <c r="K21" s="197"/>
      <c r="L21" s="197"/>
      <c r="M21" s="197"/>
      <c r="N21" s="197"/>
      <c r="O21" s="197"/>
      <c r="P21" s="197"/>
      <c r="Q21" s="197"/>
      <c r="R21" s="197"/>
      <c r="S21" s="197"/>
      <c r="T21" s="197"/>
      <c r="U21" s="196"/>
      <c r="V21" s="196"/>
      <c r="W21" s="196"/>
      <c r="X21" s="196"/>
      <c r="Y21" s="196"/>
      <c r="Z21" s="196"/>
      <c r="AA21" s="196"/>
      <c r="AB21" s="196"/>
      <c r="AC21" s="196"/>
      <c r="AD21" s="196"/>
      <c r="AE21" s="197"/>
      <c r="AF21" s="197"/>
      <c r="AG21" s="197"/>
      <c r="AH21" s="197"/>
      <c r="AI21" s="196"/>
      <c r="AJ21" s="197"/>
      <c r="AK21" s="199"/>
      <c r="AL21" s="197"/>
      <c r="AM21" s="197"/>
      <c r="AN21" s="197"/>
      <c r="AO21" s="197"/>
      <c r="AP21" s="197"/>
      <c r="AQ21" s="197"/>
      <c r="AR21" s="197"/>
      <c r="AS21" s="197"/>
      <c r="AT21" s="196"/>
      <c r="AU21" s="196"/>
      <c r="AV21" s="196"/>
      <c r="AW21" s="196"/>
      <c r="AX21" s="196"/>
      <c r="AY21" s="196"/>
      <c r="AZ21" s="196"/>
      <c r="BA21" s="196"/>
      <c r="BB21" s="196"/>
      <c r="BC21" s="196"/>
      <c r="BD21" s="197"/>
      <c r="BE21" s="196"/>
      <c r="BF21" s="197"/>
      <c r="BG21" s="197"/>
      <c r="BH21" s="197"/>
      <c r="BI21" s="196"/>
      <c r="BJ21" s="197"/>
      <c r="BK21" s="221"/>
      <c r="BL21" s="221"/>
      <c r="BM21" s="196"/>
      <c r="BN21" s="196"/>
      <c r="BO21" s="196"/>
      <c r="BP21" s="196"/>
      <c r="BQ21" s="196"/>
      <c r="BR21" s="196"/>
      <c r="BS21" s="196"/>
      <c r="BT21" s="196"/>
      <c r="BU21" s="196"/>
      <c r="BV21" s="196"/>
      <c r="BW21" s="196"/>
      <c r="BX21" s="196"/>
      <c r="BY21" s="196"/>
      <c r="BZ21" s="196"/>
      <c r="CA21" s="199"/>
      <c r="CB21" s="199"/>
      <c r="CC21" s="199"/>
      <c r="CD21" s="199"/>
      <c r="CE21" s="231" t="s">
        <v>694</v>
      </c>
      <c r="CF21" s="199"/>
      <c r="CG21" s="199"/>
      <c r="CH21" s="199"/>
      <c r="CI21" s="199"/>
      <c r="CJ21" s="217"/>
      <c r="CK21" s="199"/>
      <c r="CL21" s="196"/>
      <c r="CM21" s="220"/>
      <c r="CN21" s="220"/>
      <c r="CO21" s="220"/>
      <c r="CP21" s="220"/>
      <c r="CQ21" s="196"/>
      <c r="CR21" s="196"/>
      <c r="CS21" s="218"/>
      <c r="CT21" s="202"/>
      <c r="CU21" s="202"/>
      <c r="CV21" s="202"/>
      <c r="CW21" s="202"/>
      <c r="CX21" s="604"/>
    </row>
    <row r="22" spans="1:112" ht="15" customHeight="1" x14ac:dyDescent="0.25">
      <c r="A22" s="602"/>
      <c r="B22" s="197"/>
      <c r="C22" s="197"/>
      <c r="D22" s="197"/>
      <c r="E22" s="197"/>
      <c r="F22" s="197"/>
      <c r="G22" s="197"/>
      <c r="H22" s="197"/>
      <c r="I22" s="197"/>
      <c r="J22" s="197"/>
      <c r="K22" s="196"/>
      <c r="L22" s="229"/>
      <c r="M22" s="197"/>
      <c r="N22" s="197"/>
      <c r="O22" s="196"/>
      <c r="P22" s="197"/>
      <c r="Q22" s="197"/>
      <c r="R22" s="197"/>
      <c r="S22" s="197"/>
      <c r="T22" s="197"/>
      <c r="U22" s="197"/>
      <c r="V22" s="197"/>
      <c r="W22" s="196"/>
      <c r="X22" s="196"/>
      <c r="Y22" s="196"/>
      <c r="Z22" s="196"/>
      <c r="AA22" s="196"/>
      <c r="AB22" s="196"/>
      <c r="AC22" s="196"/>
      <c r="AD22" s="196"/>
      <c r="AE22" s="197"/>
      <c r="AF22" s="197"/>
      <c r="AG22" s="197"/>
      <c r="AH22" s="197"/>
      <c r="AI22" s="196"/>
      <c r="AJ22" s="196"/>
      <c r="AK22" s="197"/>
      <c r="AL22" s="197"/>
      <c r="AM22" s="197"/>
      <c r="AN22" s="197"/>
      <c r="AO22" s="197"/>
      <c r="AP22" s="197"/>
      <c r="AQ22" s="197"/>
      <c r="AR22" s="197"/>
      <c r="AS22" s="197"/>
      <c r="AT22" s="196"/>
      <c r="AU22" s="196"/>
      <c r="AV22" s="196"/>
      <c r="AW22" s="196"/>
      <c r="AX22" s="196"/>
      <c r="AY22" s="196"/>
      <c r="AZ22" s="196"/>
      <c r="BA22" s="196"/>
      <c r="BB22" s="196"/>
      <c r="BC22" s="196"/>
      <c r="BD22" s="197"/>
      <c r="BE22" s="196"/>
      <c r="BF22" s="197"/>
      <c r="BG22" s="197"/>
      <c r="BH22" s="197"/>
      <c r="BI22" s="196"/>
      <c r="BJ22" s="197"/>
      <c r="BK22" s="196"/>
      <c r="BL22" s="196"/>
      <c r="BM22" s="196"/>
      <c r="BN22" s="196"/>
      <c r="BO22" s="196"/>
      <c r="BP22" s="196"/>
      <c r="BQ22" s="196"/>
      <c r="BR22" s="196"/>
      <c r="BS22" s="196"/>
      <c r="BT22" s="196"/>
      <c r="BU22" s="196"/>
      <c r="BV22" s="196"/>
      <c r="BW22" s="196"/>
      <c r="BX22" s="196"/>
      <c r="BY22" s="197"/>
      <c r="BZ22" s="197"/>
      <c r="CA22" s="199"/>
      <c r="CB22" s="199"/>
      <c r="CC22" s="199"/>
      <c r="CD22" s="199"/>
      <c r="CE22" s="197"/>
      <c r="CF22" s="199"/>
      <c r="CG22" s="199"/>
      <c r="CH22" s="199"/>
      <c r="CI22" s="199"/>
      <c r="CJ22" s="217"/>
      <c r="CK22" s="199"/>
      <c r="CL22" s="232"/>
      <c r="CM22" s="217"/>
      <c r="CN22" s="199"/>
      <c r="CO22" s="220"/>
      <c r="CP22" s="220"/>
      <c r="CQ22" s="196"/>
      <c r="CR22" s="196"/>
      <c r="CS22" s="200"/>
      <c r="CT22" s="202"/>
      <c r="CU22" s="202"/>
      <c r="CV22" s="202"/>
      <c r="CW22" s="202"/>
      <c r="CX22" s="604"/>
    </row>
    <row r="23" spans="1:112" x14ac:dyDescent="0.25">
      <c r="A23" s="602"/>
      <c r="B23" s="197"/>
      <c r="C23" s="197"/>
      <c r="D23" s="197"/>
      <c r="E23" s="197"/>
      <c r="F23" s="197"/>
      <c r="G23" s="196"/>
      <c r="H23" s="197"/>
      <c r="I23" s="196"/>
      <c r="J23" s="197"/>
      <c r="K23" s="230"/>
      <c r="L23" s="230"/>
      <c r="M23" s="197"/>
      <c r="N23" s="197"/>
      <c r="O23" s="197"/>
      <c r="P23" s="197"/>
      <c r="Q23" s="197"/>
      <c r="R23" s="197"/>
      <c r="S23" s="197"/>
      <c r="T23" s="197"/>
      <c r="U23" s="196"/>
      <c r="V23" s="197"/>
      <c r="W23" s="197"/>
      <c r="X23" s="197"/>
      <c r="Y23" s="197"/>
      <c r="Z23" s="196"/>
      <c r="AA23" s="196"/>
      <c r="AB23" s="197"/>
      <c r="AC23" s="197"/>
      <c r="AD23" s="197"/>
      <c r="AE23" s="197"/>
      <c r="AF23" s="197"/>
      <c r="AG23" s="197"/>
      <c r="AH23" s="197"/>
      <c r="AI23" s="196"/>
      <c r="AJ23" s="196"/>
      <c r="AK23" s="196"/>
      <c r="AL23" s="197"/>
      <c r="AM23" s="197"/>
      <c r="AN23" s="197"/>
      <c r="AO23" s="197"/>
      <c r="AP23" s="197"/>
      <c r="AQ23" s="197"/>
      <c r="AR23" s="196"/>
      <c r="AS23" s="197"/>
      <c r="AT23" s="196"/>
      <c r="AU23" s="196"/>
      <c r="AV23" s="196"/>
      <c r="AW23" s="196"/>
      <c r="AX23" s="196"/>
      <c r="AY23" s="196"/>
      <c r="AZ23" s="197"/>
      <c r="BA23" s="197"/>
      <c r="BB23" s="197"/>
      <c r="BC23" s="197"/>
      <c r="BD23" s="197"/>
      <c r="BE23" s="196"/>
      <c r="BF23" s="197"/>
      <c r="BG23" s="197"/>
      <c r="BH23" s="197"/>
      <c r="BI23" s="196"/>
      <c r="BJ23" s="197"/>
      <c r="BK23" s="196"/>
      <c r="BL23" s="196"/>
      <c r="BM23" s="196"/>
      <c r="BN23" s="196"/>
      <c r="BO23" s="196"/>
      <c r="BP23" s="196"/>
      <c r="BQ23" s="196"/>
      <c r="BR23" s="196"/>
      <c r="BS23" s="196"/>
      <c r="BT23" s="196"/>
      <c r="BU23" s="196"/>
      <c r="BV23" s="196"/>
      <c r="BW23" s="196"/>
      <c r="BX23" s="197"/>
      <c r="BY23" s="196"/>
      <c r="BZ23" s="196"/>
      <c r="CA23" s="197"/>
      <c r="CB23" s="197"/>
      <c r="CC23" s="197"/>
      <c r="CD23" s="197"/>
      <c r="CE23" s="197"/>
      <c r="CF23" s="197"/>
      <c r="CG23" s="197"/>
      <c r="CH23" s="197"/>
      <c r="CI23" s="197"/>
      <c r="CJ23" s="197"/>
      <c r="CK23" s="197"/>
      <c r="CL23" s="197"/>
      <c r="CM23" s="197"/>
      <c r="CN23" s="197"/>
      <c r="CO23" s="217"/>
      <c r="CP23" s="199"/>
      <c r="CQ23" s="199"/>
      <c r="CR23" s="199"/>
      <c r="CS23" s="200"/>
      <c r="CT23" s="202"/>
      <c r="CU23" s="202"/>
      <c r="CV23" s="202"/>
      <c r="CW23" s="202"/>
      <c r="CX23" s="604"/>
    </row>
    <row r="24" spans="1:112" x14ac:dyDescent="0.25">
      <c r="A24" s="602"/>
      <c r="B24" s="224"/>
      <c r="C24" s="224"/>
      <c r="D24" s="224"/>
      <c r="E24" s="224"/>
      <c r="F24" s="196"/>
      <c r="G24" s="196"/>
      <c r="H24" s="196"/>
      <c r="I24" s="196"/>
      <c r="J24" s="197"/>
      <c r="K24" s="221"/>
      <c r="L24" s="221"/>
      <c r="M24" s="196"/>
      <c r="N24" s="196"/>
      <c r="O24" s="197"/>
      <c r="P24" s="197"/>
      <c r="Q24" s="197"/>
      <c r="R24" s="197"/>
      <c r="S24" s="197"/>
      <c r="T24" s="197"/>
      <c r="U24" s="196"/>
      <c r="V24" s="197"/>
      <c r="W24" s="197"/>
      <c r="X24" s="197"/>
      <c r="Y24" s="197"/>
      <c r="Z24" s="196"/>
      <c r="AA24" s="196"/>
      <c r="AB24" s="197"/>
      <c r="AC24" s="197"/>
      <c r="AD24" s="197"/>
      <c r="AE24" s="197"/>
      <c r="AF24" s="197"/>
      <c r="AG24" s="197"/>
      <c r="AH24" s="197"/>
      <c r="AI24" s="233" t="s">
        <v>586</v>
      </c>
      <c r="AJ24" s="197"/>
      <c r="AK24" s="197"/>
      <c r="AL24" s="197"/>
      <c r="AM24" s="197"/>
      <c r="AN24" s="197"/>
      <c r="AO24" s="197"/>
      <c r="AP24" s="197"/>
      <c r="AQ24" s="197"/>
      <c r="AR24" s="196"/>
      <c r="AS24" s="197"/>
      <c r="AT24" s="196"/>
      <c r="AU24" s="196"/>
      <c r="AV24" s="196"/>
      <c r="AW24" s="196"/>
      <c r="AX24" s="196"/>
      <c r="AY24" s="196"/>
      <c r="AZ24" s="234" t="s">
        <v>668</v>
      </c>
      <c r="BA24" s="234"/>
      <c r="BB24" s="234"/>
      <c r="BC24" s="196"/>
      <c r="BD24" s="197"/>
      <c r="BE24" s="197"/>
      <c r="BF24" s="197"/>
      <c r="BG24" s="197"/>
      <c r="BH24" s="197"/>
      <c r="BI24" s="197"/>
      <c r="BJ24" s="197"/>
      <c r="BK24" s="197"/>
      <c r="BL24" s="197"/>
      <c r="BM24" s="197"/>
      <c r="BN24" s="197"/>
      <c r="BO24" s="197"/>
      <c r="BP24" s="197"/>
      <c r="BQ24" s="197"/>
      <c r="BR24" s="197"/>
      <c r="BS24" s="197"/>
      <c r="BT24" s="196"/>
      <c r="BU24" s="196"/>
      <c r="BV24" s="196"/>
      <c r="BW24" s="196"/>
      <c r="BX24" s="197"/>
      <c r="BY24" s="197"/>
      <c r="BZ24" s="197"/>
      <c r="CA24" s="196"/>
      <c r="CB24" s="196"/>
      <c r="CC24" s="196"/>
      <c r="CD24" s="196"/>
      <c r="CE24" s="202"/>
      <c r="CF24" s="202"/>
      <c r="CG24" s="197"/>
      <c r="CH24" s="197"/>
      <c r="CI24" s="197"/>
      <c r="CJ24" s="202"/>
      <c r="CK24" s="202"/>
      <c r="CL24" s="202"/>
      <c r="CM24" s="202"/>
      <c r="CN24" s="197"/>
      <c r="CO24" s="197"/>
      <c r="CP24" s="197"/>
      <c r="CQ24" s="197"/>
      <c r="CR24" s="197"/>
      <c r="CS24" s="197"/>
      <c r="CT24" s="202"/>
      <c r="CU24" s="202"/>
      <c r="CV24" s="202"/>
      <c r="CW24" s="202"/>
      <c r="CX24" s="604"/>
    </row>
    <row r="25" spans="1:112" x14ac:dyDescent="0.25">
      <c r="A25" s="602"/>
      <c r="B25" s="224"/>
      <c r="C25" s="224"/>
      <c r="D25" s="224"/>
      <c r="E25" s="224"/>
      <c r="F25" s="196"/>
      <c r="G25" s="196"/>
      <c r="H25" s="196"/>
      <c r="I25" s="235"/>
      <c r="J25" s="197"/>
      <c r="K25" s="197"/>
      <c r="L25" s="196"/>
      <c r="M25" s="196"/>
      <c r="N25" s="196"/>
      <c r="O25" s="197"/>
      <c r="P25" s="197"/>
      <c r="Q25" s="197"/>
      <c r="R25" s="196"/>
      <c r="S25" s="196"/>
      <c r="T25" s="197"/>
      <c r="U25" s="196"/>
      <c r="V25" s="197"/>
      <c r="W25" s="197"/>
      <c r="X25" s="197"/>
      <c r="Y25" s="197"/>
      <c r="Z25" s="196"/>
      <c r="AA25" s="196"/>
      <c r="AB25" s="197"/>
      <c r="AC25" s="197"/>
      <c r="AD25" s="197"/>
      <c r="AE25" s="197"/>
      <c r="AF25" s="197"/>
      <c r="AG25" s="197"/>
      <c r="AH25" s="197"/>
      <c r="AI25" s="227" t="s">
        <v>695</v>
      </c>
      <c r="AJ25" s="197"/>
      <c r="AK25" s="197"/>
      <c r="AL25" s="197"/>
      <c r="AM25" s="197"/>
      <c r="AN25" s="197"/>
      <c r="AO25" s="197"/>
      <c r="AP25" s="197"/>
      <c r="AQ25" s="197"/>
      <c r="AR25" s="197"/>
      <c r="AS25" s="197"/>
      <c r="AT25" s="196"/>
      <c r="AU25" s="196"/>
      <c r="AV25" s="196"/>
      <c r="AW25" s="196"/>
      <c r="AX25" s="196"/>
      <c r="AY25" s="196"/>
      <c r="AZ25" s="236"/>
      <c r="BA25" s="236"/>
      <c r="BB25" s="236"/>
      <c r="BC25" s="197"/>
      <c r="BD25" s="197"/>
      <c r="BE25" s="197"/>
      <c r="BF25" s="197"/>
      <c r="BG25" s="221"/>
      <c r="BH25" s="234"/>
      <c r="BI25" s="234"/>
      <c r="BJ25" s="221"/>
      <c r="BK25" s="197"/>
      <c r="BL25" s="196"/>
      <c r="BM25" s="196"/>
      <c r="BN25" s="196"/>
      <c r="BO25" s="196"/>
      <c r="BP25" s="196"/>
      <c r="BQ25" s="197"/>
      <c r="BR25" s="197"/>
      <c r="BS25" s="197"/>
      <c r="BT25" s="196"/>
      <c r="BU25" s="196"/>
      <c r="BV25" s="196"/>
      <c r="BW25" s="196"/>
      <c r="BX25" s="196"/>
      <c r="BY25" s="196"/>
      <c r="BZ25" s="196"/>
      <c r="CA25" s="196"/>
      <c r="CB25" s="196"/>
      <c r="CC25" s="196"/>
      <c r="CD25" s="196"/>
      <c r="CE25" s="202"/>
      <c r="CF25" s="202"/>
      <c r="CG25" s="197"/>
      <c r="CH25" s="197"/>
      <c r="CI25" s="197"/>
      <c r="CJ25" s="202"/>
      <c r="CK25" s="202"/>
      <c r="CL25" s="202"/>
      <c r="CM25" s="202"/>
      <c r="CN25" s="197"/>
      <c r="CO25" s="202"/>
      <c r="CP25" s="202"/>
      <c r="CQ25" s="202"/>
      <c r="CR25" s="202"/>
      <c r="CS25" s="202"/>
      <c r="CT25" s="197"/>
      <c r="CU25" s="197"/>
      <c r="CV25" s="197"/>
      <c r="CW25" s="202"/>
      <c r="CX25" s="604"/>
    </row>
    <row r="26" spans="1:112" x14ac:dyDescent="0.25">
      <c r="A26" s="602"/>
      <c r="B26" s="224"/>
      <c r="C26" s="224"/>
      <c r="D26" s="224"/>
      <c r="E26" s="224"/>
      <c r="F26" s="196"/>
      <c r="G26" s="196"/>
      <c r="H26" s="196"/>
      <c r="I26" s="196"/>
      <c r="J26" s="197"/>
      <c r="K26" s="197"/>
      <c r="L26" s="196"/>
      <c r="M26" s="197"/>
      <c r="N26" s="197"/>
      <c r="O26" s="196"/>
      <c r="P26" s="197"/>
      <c r="Q26" s="197"/>
      <c r="R26" s="197"/>
      <c r="S26" s="196"/>
      <c r="T26" s="197"/>
      <c r="U26" s="196"/>
      <c r="V26" s="197"/>
      <c r="W26" s="197"/>
      <c r="X26" s="197"/>
      <c r="Y26" s="197"/>
      <c r="Z26" s="196"/>
      <c r="AA26" s="196"/>
      <c r="AB26" s="197"/>
      <c r="AC26" s="197"/>
      <c r="AD26" s="197"/>
      <c r="AE26" s="197"/>
      <c r="AF26" s="196"/>
      <c r="AG26" s="196"/>
      <c r="AH26" s="197"/>
      <c r="AI26" s="227" t="s">
        <v>696</v>
      </c>
      <c r="AJ26" s="197"/>
      <c r="AK26" s="197"/>
      <c r="AL26" s="197"/>
      <c r="AM26" s="197"/>
      <c r="AN26" s="197"/>
      <c r="AO26" s="197"/>
      <c r="AP26" s="197"/>
      <c r="AQ26" s="197"/>
      <c r="AR26" s="196"/>
      <c r="AS26" s="197"/>
      <c r="AT26" s="196"/>
      <c r="AU26" s="196"/>
      <c r="AV26" s="196"/>
      <c r="AW26" s="197"/>
      <c r="AX26" s="195" t="s">
        <v>240</v>
      </c>
      <c r="AY26" s="196"/>
      <c r="AZ26" s="229"/>
      <c r="BA26" s="229"/>
      <c r="BB26" s="229"/>
      <c r="BC26" s="197"/>
      <c r="BD26" s="197"/>
      <c r="BE26" s="196"/>
      <c r="BF26" s="197"/>
      <c r="BG26" s="196"/>
      <c r="BH26" s="236"/>
      <c r="BI26" s="236"/>
      <c r="BJ26" s="196"/>
      <c r="BK26" s="197"/>
      <c r="BL26" s="196"/>
      <c r="BM26" s="196"/>
      <c r="BN26" s="196"/>
      <c r="BO26" s="196"/>
      <c r="BP26" s="196"/>
      <c r="BQ26" s="197"/>
      <c r="BR26" s="197"/>
      <c r="BS26" s="197"/>
      <c r="BT26" s="196"/>
      <c r="BU26" s="196"/>
      <c r="BV26" s="196"/>
      <c r="BW26" s="197"/>
      <c r="BX26" s="202"/>
      <c r="BY26" s="197"/>
      <c r="BZ26" s="197"/>
      <c r="CA26" s="196"/>
      <c r="CB26" s="196"/>
      <c r="CC26" s="196"/>
      <c r="CD26" s="196"/>
      <c r="CE26" s="202"/>
      <c r="CF26" s="202"/>
      <c r="CG26" s="195"/>
      <c r="CH26" s="197"/>
      <c r="CI26" s="197"/>
      <c r="CJ26" s="197"/>
      <c r="CK26" s="202"/>
      <c r="CL26" s="202"/>
      <c r="CM26" s="202"/>
      <c r="CN26" s="197"/>
      <c r="CO26" s="202"/>
      <c r="CP26" s="202"/>
      <c r="CQ26" s="202"/>
      <c r="CR26" s="202"/>
      <c r="CS26" s="202"/>
      <c r="CT26" s="197"/>
      <c r="CU26" s="197"/>
      <c r="CV26" s="197"/>
      <c r="CW26" s="202"/>
      <c r="CX26" s="604"/>
    </row>
    <row r="27" spans="1:112" x14ac:dyDescent="0.25">
      <c r="A27" s="602"/>
      <c r="B27" s="196"/>
      <c r="C27" s="196"/>
      <c r="D27" s="196"/>
      <c r="E27" s="196"/>
      <c r="F27" s="196"/>
      <c r="G27" s="196"/>
      <c r="H27" s="196"/>
      <c r="I27" s="196"/>
      <c r="J27" s="197"/>
      <c r="K27" s="197"/>
      <c r="L27" s="197"/>
      <c r="M27" s="196"/>
      <c r="N27" s="196"/>
      <c r="O27" s="196"/>
      <c r="P27" s="196"/>
      <c r="Q27" s="196"/>
      <c r="R27" s="197"/>
      <c r="S27" s="197"/>
      <c r="T27" s="197"/>
      <c r="U27" s="197"/>
      <c r="V27" s="197"/>
      <c r="W27" s="197"/>
      <c r="X27" s="196"/>
      <c r="Y27" s="196"/>
      <c r="Z27" s="196"/>
      <c r="AA27" s="196"/>
      <c r="AB27" s="221"/>
      <c r="AC27" s="221"/>
      <c r="AD27" s="221"/>
      <c r="AE27" s="221"/>
      <c r="AF27" s="196"/>
      <c r="AG27" s="196"/>
      <c r="AH27" s="197"/>
      <c r="AI27" s="197"/>
      <c r="AJ27" s="197"/>
      <c r="AK27" s="197"/>
      <c r="AL27" s="197"/>
      <c r="AM27" s="196"/>
      <c r="AN27" s="196"/>
      <c r="AO27" s="196"/>
      <c r="AP27" s="196"/>
      <c r="AQ27" s="235"/>
      <c r="AR27" s="235"/>
      <c r="AS27" s="197"/>
      <c r="AT27" s="196"/>
      <c r="AU27" s="196"/>
      <c r="AV27" s="196"/>
      <c r="AW27" s="196"/>
      <c r="AX27" s="231" t="s">
        <v>672</v>
      </c>
      <c r="AY27" s="196"/>
      <c r="AZ27" s="230"/>
      <c r="BA27" s="230"/>
      <c r="BB27" s="230"/>
      <c r="BC27" s="196"/>
      <c r="BD27" s="197"/>
      <c r="BE27" s="196"/>
      <c r="BF27" s="197"/>
      <c r="BG27" s="196"/>
      <c r="BH27" s="229"/>
      <c r="BI27" s="229"/>
      <c r="BJ27" s="196"/>
      <c r="BK27" s="196"/>
      <c r="BL27" s="196"/>
      <c r="BM27" s="197"/>
      <c r="BN27" s="197"/>
      <c r="BO27" s="196"/>
      <c r="BP27" s="196"/>
      <c r="BQ27" s="197"/>
      <c r="BR27" s="197"/>
      <c r="BS27" s="235"/>
      <c r="BT27" s="197"/>
      <c r="BU27" s="197"/>
      <c r="BV27" s="197"/>
      <c r="BW27" s="197"/>
      <c r="BX27" s="196"/>
      <c r="BY27" s="196"/>
      <c r="BZ27" s="196"/>
      <c r="CA27" s="197"/>
      <c r="CB27" s="197"/>
      <c r="CC27" s="197"/>
      <c r="CD27" s="197"/>
      <c r="CE27" s="202"/>
      <c r="CF27" s="202"/>
      <c r="CG27" s="197"/>
      <c r="CH27" s="197"/>
      <c r="CI27" s="197"/>
      <c r="CJ27" s="202"/>
      <c r="CK27" s="202"/>
      <c r="CL27" s="202"/>
      <c r="CM27" s="202"/>
      <c r="CN27" s="197"/>
      <c r="CO27" s="202"/>
      <c r="CP27" s="202"/>
      <c r="CQ27" s="202"/>
      <c r="CR27" s="202"/>
      <c r="CS27" s="202"/>
      <c r="CT27" s="197"/>
      <c r="CU27" s="197"/>
      <c r="CV27" s="197"/>
      <c r="CW27" s="202"/>
      <c r="CX27" s="604"/>
    </row>
    <row r="28" spans="1:112" x14ac:dyDescent="0.25">
      <c r="A28" s="602"/>
      <c r="B28" s="196"/>
      <c r="C28" s="196"/>
      <c r="D28" s="196"/>
      <c r="E28" s="196"/>
      <c r="F28" s="196"/>
      <c r="G28" s="196"/>
      <c r="H28" s="196"/>
      <c r="I28" s="196"/>
      <c r="J28" s="197"/>
      <c r="K28" s="197"/>
      <c r="L28" s="196"/>
      <c r="M28" s="196"/>
      <c r="N28" s="196"/>
      <c r="O28" s="197"/>
      <c r="P28" s="197"/>
      <c r="Q28" s="196"/>
      <c r="R28" s="197"/>
      <c r="S28" s="197"/>
      <c r="T28" s="197"/>
      <c r="U28" s="196"/>
      <c r="V28" s="197"/>
      <c r="W28" s="196"/>
      <c r="X28" s="197"/>
      <c r="Y28" s="197"/>
      <c r="Z28" s="197"/>
      <c r="AA28" s="196"/>
      <c r="AB28" s="196"/>
      <c r="AC28" s="234"/>
      <c r="AD28" s="234"/>
      <c r="AE28" s="196"/>
      <c r="AF28" s="197"/>
      <c r="AG28" s="197"/>
      <c r="AH28" s="197"/>
      <c r="AI28" s="197"/>
      <c r="AJ28" s="196"/>
      <c r="AK28" s="196"/>
      <c r="AL28" s="196"/>
      <c r="AM28" s="196"/>
      <c r="AN28" s="196"/>
      <c r="AO28" s="196"/>
      <c r="AP28" s="196"/>
      <c r="AQ28" s="197"/>
      <c r="AR28" s="237"/>
      <c r="AS28" s="196"/>
      <c r="AT28" s="196"/>
      <c r="AU28" s="196"/>
      <c r="AV28" s="196"/>
      <c r="AW28" s="196"/>
      <c r="AX28" s="196"/>
      <c r="AY28" s="196"/>
      <c r="AZ28" s="197"/>
      <c r="BA28" s="197"/>
      <c r="BB28" s="197"/>
      <c r="BC28" s="197"/>
      <c r="BD28" s="197"/>
      <c r="BE28" s="196"/>
      <c r="BF28" s="197"/>
      <c r="BG28" s="230"/>
      <c r="BH28" s="230"/>
      <c r="BI28" s="230"/>
      <c r="BJ28" s="230"/>
      <c r="BK28" s="196"/>
      <c r="BL28" s="196"/>
      <c r="BM28" s="196"/>
      <c r="BN28" s="195"/>
      <c r="BO28" s="196"/>
      <c r="BP28" s="197"/>
      <c r="BQ28" s="206"/>
      <c r="BR28" s="197"/>
      <c r="BS28" s="197"/>
      <c r="BT28" s="196"/>
      <c r="BU28" s="197"/>
      <c r="BV28" s="197"/>
      <c r="BW28" s="197"/>
      <c r="BX28" s="196"/>
      <c r="BY28" s="202"/>
      <c r="BZ28" s="236"/>
      <c r="CA28" s="196"/>
      <c r="CB28" s="197"/>
      <c r="CC28" s="197"/>
      <c r="CD28" s="197"/>
      <c r="CE28" s="202"/>
      <c r="CF28" s="202"/>
      <c r="CG28" s="197"/>
      <c r="CH28" s="197"/>
      <c r="CI28" s="197"/>
      <c r="CJ28" s="197"/>
      <c r="CK28" s="197"/>
      <c r="CL28" s="197"/>
      <c r="CM28" s="197"/>
      <c r="CN28" s="197"/>
      <c r="CO28" s="197"/>
      <c r="CP28" s="202"/>
      <c r="CQ28" s="202"/>
      <c r="CR28" s="202"/>
      <c r="CS28" s="202"/>
      <c r="CT28" s="197"/>
      <c r="CU28" s="197"/>
      <c r="CV28" s="197"/>
      <c r="CW28" s="202"/>
      <c r="CX28" s="604"/>
      <c r="CZ28" s="198"/>
      <c r="DA28" s="198"/>
      <c r="DB28" s="198"/>
      <c r="DC28" s="198"/>
      <c r="DD28" s="198"/>
      <c r="DE28" s="198"/>
      <c r="DG28" s="205"/>
      <c r="DH28" s="203"/>
    </row>
    <row r="29" spans="1:112" x14ac:dyDescent="0.25">
      <c r="A29" s="602"/>
      <c r="B29" s="224"/>
      <c r="C29" s="224"/>
      <c r="D29" s="224"/>
      <c r="E29" s="224"/>
      <c r="F29" s="196"/>
      <c r="G29" s="196"/>
      <c r="H29" s="197"/>
      <c r="I29" s="196"/>
      <c r="J29" s="196"/>
      <c r="K29" s="197"/>
      <c r="L29" s="196"/>
      <c r="M29" s="197"/>
      <c r="N29" s="196"/>
      <c r="O29" s="196"/>
      <c r="P29" s="197"/>
      <c r="Q29" s="197"/>
      <c r="R29" s="197"/>
      <c r="S29" s="197"/>
      <c r="T29" s="197"/>
      <c r="U29" s="197"/>
      <c r="V29" s="197"/>
      <c r="W29" s="197"/>
      <c r="X29" s="197"/>
      <c r="Y29" s="197"/>
      <c r="Z29" s="197"/>
      <c r="AA29" s="197"/>
      <c r="AB29" s="196"/>
      <c r="AC29" s="236"/>
      <c r="AD29" s="236"/>
      <c r="AE29" s="233" t="s">
        <v>577</v>
      </c>
      <c r="AF29" s="197"/>
      <c r="AG29" s="197"/>
      <c r="AH29" s="197"/>
      <c r="AI29" s="197"/>
      <c r="AJ29" s="196"/>
      <c r="AK29" s="196"/>
      <c r="AL29" s="196"/>
      <c r="AM29" s="196"/>
      <c r="AN29" s="196"/>
      <c r="AO29" s="196"/>
      <c r="AP29" s="196"/>
      <c r="AQ29" s="196"/>
      <c r="AR29" s="196"/>
      <c r="AS29" s="197"/>
      <c r="AT29" s="196"/>
      <c r="AU29" s="196"/>
      <c r="AV29" s="196"/>
      <c r="AW29" s="197"/>
      <c r="AX29" s="196"/>
      <c r="AY29" s="196"/>
      <c r="AZ29" s="196"/>
      <c r="BA29" s="196"/>
      <c r="BB29" s="196"/>
      <c r="BC29" s="196"/>
      <c r="BD29" s="197"/>
      <c r="BE29" s="196"/>
      <c r="BF29" s="197"/>
      <c r="BG29" s="196"/>
      <c r="BH29" s="197"/>
      <c r="BI29" s="197"/>
      <c r="BJ29" s="197"/>
      <c r="BK29" s="196"/>
      <c r="BL29" s="196"/>
      <c r="BM29" s="196"/>
      <c r="BN29" s="196"/>
      <c r="BO29" s="196"/>
      <c r="BP29" s="1032"/>
      <c r="BQ29" s="1032"/>
      <c r="BR29" s="496"/>
      <c r="BS29" s="197"/>
      <c r="BT29" s="196"/>
      <c r="BU29" s="197"/>
      <c r="BV29" s="197"/>
      <c r="BW29" s="197"/>
      <c r="BX29" s="196"/>
      <c r="BY29" s="202"/>
      <c r="BZ29" s="229"/>
      <c r="CA29" s="197"/>
      <c r="CB29" s="197"/>
      <c r="CC29" s="197"/>
      <c r="CD29" s="197"/>
      <c r="CE29" s="202"/>
      <c r="CF29" s="202"/>
      <c r="CG29" s="197"/>
      <c r="CH29" s="197"/>
      <c r="CI29" s="197"/>
      <c r="CJ29" s="202"/>
      <c r="CK29" s="202"/>
      <c r="CL29" s="202"/>
      <c r="CM29" s="202"/>
      <c r="CN29" s="197"/>
      <c r="CO29" s="202"/>
      <c r="CP29" s="202"/>
      <c r="CQ29" s="202"/>
      <c r="CR29" s="202"/>
      <c r="CS29" s="202"/>
      <c r="CT29" s="197"/>
      <c r="CU29" s="197"/>
      <c r="CV29" s="197"/>
      <c r="CW29" s="202"/>
      <c r="CX29" s="604"/>
      <c r="CZ29" s="198"/>
      <c r="DA29" s="198"/>
      <c r="DB29" s="198"/>
      <c r="DC29" s="198"/>
      <c r="DD29" s="198"/>
      <c r="DE29" s="198"/>
      <c r="DF29" s="198"/>
      <c r="DG29" s="198"/>
      <c r="DH29" s="198"/>
    </row>
    <row r="30" spans="1:112" x14ac:dyDescent="0.25">
      <c r="A30" s="602"/>
      <c r="B30" s="224"/>
      <c r="C30" s="224"/>
      <c r="D30" s="224"/>
      <c r="E30" s="224"/>
      <c r="F30" s="196"/>
      <c r="G30" s="196"/>
      <c r="H30" s="197"/>
      <c r="I30" s="196"/>
      <c r="J30" s="196"/>
      <c r="K30" s="196"/>
      <c r="L30" s="196"/>
      <c r="M30" s="197"/>
      <c r="N30" s="196"/>
      <c r="O30" s="196"/>
      <c r="P30" s="196"/>
      <c r="Q30" s="197"/>
      <c r="R30" s="197"/>
      <c r="S30" s="197"/>
      <c r="T30" s="197"/>
      <c r="U30" s="197"/>
      <c r="V30" s="196"/>
      <c r="W30" s="197"/>
      <c r="X30" s="197"/>
      <c r="Y30" s="197"/>
      <c r="Z30" s="197"/>
      <c r="AA30" s="197"/>
      <c r="AB30" s="196"/>
      <c r="AC30" s="229"/>
      <c r="AD30" s="229"/>
      <c r="AE30" s="231" t="s">
        <v>692</v>
      </c>
      <c r="AF30" s="197"/>
      <c r="AG30" s="197"/>
      <c r="AH30" s="197"/>
      <c r="AI30" s="197"/>
      <c r="AJ30" s="196"/>
      <c r="AK30" s="196"/>
      <c r="AL30" s="196"/>
      <c r="AM30" s="196"/>
      <c r="AN30" s="196"/>
      <c r="AO30" s="196"/>
      <c r="AP30" s="196"/>
      <c r="AQ30" s="196"/>
      <c r="AR30" s="196"/>
      <c r="AS30" s="196"/>
      <c r="AT30" s="196"/>
      <c r="AU30" s="196"/>
      <c r="AV30" s="196"/>
      <c r="AW30" s="196"/>
      <c r="AX30" s="196"/>
      <c r="AY30" s="196"/>
      <c r="AZ30" s="197"/>
      <c r="BA30" s="197"/>
      <c r="BB30" s="197"/>
      <c r="BC30" s="197"/>
      <c r="BD30" s="196"/>
      <c r="BE30" s="197"/>
      <c r="BF30" s="197"/>
      <c r="BG30" s="196"/>
      <c r="BH30" s="196"/>
      <c r="BI30" s="196"/>
      <c r="BJ30" s="197"/>
      <c r="BK30" s="197"/>
      <c r="BL30" s="197"/>
      <c r="BM30" s="196"/>
      <c r="BN30" s="196"/>
      <c r="BO30" s="196"/>
      <c r="BP30" s="196"/>
      <c r="BQ30" s="196"/>
      <c r="BR30" s="197"/>
      <c r="BS30" s="197"/>
      <c r="BT30" s="197"/>
      <c r="BU30" s="197"/>
      <c r="BV30" s="197"/>
      <c r="BW30" s="197"/>
      <c r="BX30" s="197"/>
      <c r="BY30" s="202"/>
      <c r="BZ30" s="230"/>
      <c r="CA30" s="197"/>
      <c r="CB30" s="197"/>
      <c r="CC30" s="197"/>
      <c r="CD30" s="197"/>
      <c r="CE30" s="197"/>
      <c r="CF30" s="197"/>
      <c r="CG30" s="197"/>
      <c r="CH30" s="197"/>
      <c r="CI30" s="197"/>
      <c r="CJ30" s="202"/>
      <c r="CK30" s="202"/>
      <c r="CL30" s="202"/>
      <c r="CM30" s="202"/>
      <c r="CN30" s="197"/>
      <c r="CO30" s="202"/>
      <c r="CP30" s="202"/>
      <c r="CQ30" s="202"/>
      <c r="CR30" s="202"/>
      <c r="CS30" s="197"/>
      <c r="CT30" s="197"/>
      <c r="CU30" s="197"/>
      <c r="CV30" s="197"/>
      <c r="CW30" s="202"/>
      <c r="CX30" s="604"/>
      <c r="CZ30" s="198"/>
      <c r="DA30" s="198"/>
      <c r="DB30" s="198"/>
      <c r="DC30" s="198"/>
      <c r="DD30" s="198"/>
      <c r="DE30" s="198"/>
      <c r="DF30" s="198"/>
      <c r="DG30" s="198"/>
    </row>
    <row r="31" spans="1:112" x14ac:dyDescent="0.25">
      <c r="A31" s="602"/>
      <c r="B31" s="224"/>
      <c r="C31" s="224"/>
      <c r="D31" s="224"/>
      <c r="E31" s="224"/>
      <c r="F31" s="196"/>
      <c r="G31" s="196"/>
      <c r="H31" s="196"/>
      <c r="I31" s="229"/>
      <c r="J31" s="196"/>
      <c r="K31" s="196"/>
      <c r="L31" s="196"/>
      <c r="M31" s="197"/>
      <c r="N31" s="196"/>
      <c r="O31" s="196"/>
      <c r="P31" s="201" t="s">
        <v>203</v>
      </c>
      <c r="Q31" s="196"/>
      <c r="R31" s="196"/>
      <c r="S31" s="196"/>
      <c r="T31" s="196"/>
      <c r="U31" s="197"/>
      <c r="V31" s="196"/>
      <c r="W31" s="196"/>
      <c r="X31" s="196"/>
      <c r="Y31" s="196"/>
      <c r="Z31" s="196"/>
      <c r="AA31" s="197"/>
      <c r="AB31" s="230"/>
      <c r="AC31" s="230"/>
      <c r="AD31" s="230"/>
      <c r="AE31" s="230"/>
      <c r="AF31" s="197"/>
      <c r="AG31" s="197"/>
      <c r="AH31" s="197"/>
      <c r="AI31" s="197"/>
      <c r="AJ31" s="196"/>
      <c r="AK31" s="196"/>
      <c r="AL31" s="196"/>
      <c r="AM31" s="196"/>
      <c r="AN31" s="196"/>
      <c r="AO31" s="196"/>
      <c r="AP31" s="196"/>
      <c r="AQ31" s="196"/>
      <c r="AR31" s="196"/>
      <c r="AS31" s="196"/>
      <c r="AT31" s="196"/>
      <c r="AU31" s="196"/>
      <c r="AV31" s="196"/>
      <c r="AW31" s="196"/>
      <c r="AX31" s="196"/>
      <c r="AY31" s="196"/>
      <c r="AZ31" s="196"/>
      <c r="BA31" s="196"/>
      <c r="BB31" s="197"/>
      <c r="BC31" s="197"/>
      <c r="BD31" s="197"/>
      <c r="BE31" s="197"/>
      <c r="BF31" s="197"/>
      <c r="BG31" s="197"/>
      <c r="BH31" s="197"/>
      <c r="BI31" s="197"/>
      <c r="BJ31" s="197"/>
      <c r="BK31" s="238"/>
      <c r="BL31" s="238"/>
      <c r="BM31" s="238"/>
      <c r="BN31" s="197"/>
      <c r="BO31" s="197"/>
      <c r="BP31" s="197"/>
      <c r="BQ31" s="197"/>
      <c r="BR31" s="197"/>
      <c r="BS31" s="197"/>
      <c r="BT31" s="196"/>
      <c r="BU31" s="196"/>
      <c r="BV31" s="196"/>
      <c r="BW31" s="196"/>
      <c r="BX31" s="197"/>
      <c r="BY31" s="196"/>
      <c r="BZ31" s="234"/>
      <c r="CA31" s="197"/>
      <c r="CB31" s="197"/>
      <c r="CC31" s="197"/>
      <c r="CD31" s="197"/>
      <c r="CE31" s="202"/>
      <c r="CF31" s="202"/>
      <c r="CG31" s="197"/>
      <c r="CH31" s="197"/>
      <c r="CI31" s="197"/>
      <c r="CJ31" s="197"/>
      <c r="CK31" s="197"/>
      <c r="CL31" s="197"/>
      <c r="CM31" s="197"/>
      <c r="CN31" s="197"/>
      <c r="CO31" s="197"/>
      <c r="CP31" s="202"/>
      <c r="CQ31" s="202"/>
      <c r="CR31" s="197"/>
      <c r="CS31" s="197"/>
      <c r="CT31" s="197"/>
      <c r="CU31" s="197"/>
      <c r="CV31" s="197"/>
      <c r="CW31" s="202"/>
      <c r="CX31" s="604"/>
      <c r="CZ31" s="198"/>
      <c r="DA31" s="198"/>
      <c r="DB31" s="198"/>
      <c r="DC31" s="198"/>
      <c r="DD31" s="198"/>
      <c r="DE31" s="198"/>
      <c r="DF31" s="198"/>
      <c r="DG31" s="198"/>
      <c r="DH31" s="198"/>
    </row>
    <row r="32" spans="1:112" x14ac:dyDescent="0.25">
      <c r="A32" s="602"/>
      <c r="B32" s="224"/>
      <c r="C32" s="224"/>
      <c r="D32" s="224"/>
      <c r="E32" s="224"/>
      <c r="F32" s="196"/>
      <c r="G32" s="196"/>
      <c r="H32" s="230"/>
      <c r="I32" s="230"/>
      <c r="J32" s="196"/>
      <c r="K32" s="197"/>
      <c r="L32" s="196"/>
      <c r="M32" s="196"/>
      <c r="N32" s="196"/>
      <c r="O32" s="231" t="s">
        <v>697</v>
      </c>
      <c r="P32" s="197"/>
      <c r="Q32" s="196"/>
      <c r="R32" s="196"/>
      <c r="S32" s="196"/>
      <c r="T32" s="197"/>
      <c r="U32" s="197"/>
      <c r="V32" s="197"/>
      <c r="W32" s="197"/>
      <c r="X32" s="197"/>
      <c r="Y32" s="197"/>
      <c r="Z32" s="197"/>
      <c r="AA32" s="197"/>
      <c r="AB32" s="221"/>
      <c r="AC32" s="221"/>
      <c r="AD32" s="221"/>
      <c r="AE32" s="221"/>
      <c r="AF32" s="197"/>
      <c r="AG32" s="197"/>
      <c r="AH32" s="197"/>
      <c r="AI32" s="197"/>
      <c r="AJ32" s="196"/>
      <c r="AK32" s="196"/>
      <c r="AL32" s="196"/>
      <c r="AM32" s="196"/>
      <c r="AN32" s="196"/>
      <c r="AO32" s="207"/>
      <c r="AP32" s="196"/>
      <c r="AQ32" s="196"/>
      <c r="AR32" s="196"/>
      <c r="AS32" s="196"/>
      <c r="AT32" s="196"/>
      <c r="AU32" s="196"/>
      <c r="AV32" s="196"/>
      <c r="AW32" s="196"/>
      <c r="AX32" s="196"/>
      <c r="AY32" s="196"/>
      <c r="AZ32" s="196"/>
      <c r="BA32" s="196"/>
      <c r="BB32" s="197"/>
      <c r="BC32" s="195"/>
      <c r="BD32" s="197"/>
      <c r="BE32" s="206"/>
      <c r="BF32" s="197"/>
      <c r="BG32" s="196"/>
      <c r="BH32" s="197"/>
      <c r="BI32" s="197"/>
      <c r="BJ32" s="239"/>
      <c r="BK32" s="238"/>
      <c r="BL32" s="238"/>
      <c r="BM32" s="238"/>
      <c r="BN32" s="196"/>
      <c r="BO32" s="197"/>
      <c r="BP32" s="197"/>
      <c r="BQ32" s="196"/>
      <c r="BR32" s="197"/>
      <c r="BS32" s="197"/>
      <c r="BT32" s="197"/>
      <c r="BU32" s="197"/>
      <c r="BV32" s="197"/>
      <c r="BW32" s="197"/>
      <c r="BX32" s="197"/>
      <c r="BY32" s="197"/>
      <c r="BZ32" s="196"/>
      <c r="CA32" s="197"/>
      <c r="CB32" s="233" t="s">
        <v>611</v>
      </c>
      <c r="CC32" s="197"/>
      <c r="CD32" s="197"/>
      <c r="CE32" s="202"/>
      <c r="CF32" s="202"/>
      <c r="CG32" s="197"/>
      <c r="CH32" s="197"/>
      <c r="CI32" s="197"/>
      <c r="CJ32" s="202"/>
      <c r="CK32" s="202"/>
      <c r="CL32" s="202"/>
      <c r="CM32" s="202"/>
      <c r="CN32" s="197"/>
      <c r="CO32" s="202"/>
      <c r="CP32" s="202"/>
      <c r="CQ32" s="202"/>
      <c r="CR32" s="197"/>
      <c r="CS32" s="197"/>
      <c r="CT32" s="197"/>
      <c r="CU32" s="197"/>
      <c r="CV32" s="197"/>
      <c r="CW32" s="197"/>
      <c r="CX32" s="604"/>
      <c r="CZ32" s="198"/>
      <c r="DA32" s="198"/>
      <c r="DB32" s="198"/>
      <c r="DC32" s="198"/>
      <c r="DD32" s="207"/>
      <c r="DE32" s="198"/>
      <c r="DF32" s="198"/>
      <c r="DG32" s="198"/>
      <c r="DH32" s="198"/>
    </row>
    <row r="33" spans="1:112" x14ac:dyDescent="0.25">
      <c r="A33" s="602"/>
      <c r="B33" s="197"/>
      <c r="C33" s="197"/>
      <c r="D33" s="197"/>
      <c r="E33" s="197"/>
      <c r="F33" s="197"/>
      <c r="G33" s="197"/>
      <c r="H33" s="221"/>
      <c r="I33" s="221"/>
      <c r="J33" s="197"/>
      <c r="K33" s="197"/>
      <c r="L33" s="196"/>
      <c r="M33" s="196"/>
      <c r="N33" s="196"/>
      <c r="O33" s="196"/>
      <c r="P33" s="196"/>
      <c r="Q33" s="196"/>
      <c r="R33" s="196"/>
      <c r="S33" s="196"/>
      <c r="T33" s="197"/>
      <c r="U33" s="197"/>
      <c r="V33" s="197"/>
      <c r="W33" s="197"/>
      <c r="X33" s="196"/>
      <c r="Y33" s="196"/>
      <c r="Z33" s="197"/>
      <c r="AA33" s="197"/>
      <c r="AB33" s="197"/>
      <c r="AC33" s="197"/>
      <c r="AD33" s="197"/>
      <c r="AE33" s="197"/>
      <c r="AF33" s="197"/>
      <c r="AG33" s="197"/>
      <c r="AH33" s="197"/>
      <c r="AI33" s="197"/>
      <c r="AJ33" s="196"/>
      <c r="AK33" s="196"/>
      <c r="AL33" s="236"/>
      <c r="AM33" s="236"/>
      <c r="AN33" s="236"/>
      <c r="AO33" s="240"/>
      <c r="AP33" s="240"/>
      <c r="AQ33" s="196"/>
      <c r="AR33" s="196"/>
      <c r="AS33" s="196"/>
      <c r="AT33" s="196"/>
      <c r="AU33" s="196"/>
      <c r="AV33" s="196"/>
      <c r="AW33" s="196"/>
      <c r="AX33" s="196"/>
      <c r="AY33" s="196"/>
      <c r="AZ33" s="196"/>
      <c r="BA33" s="197"/>
      <c r="BB33" s="197"/>
      <c r="BC33" s="241"/>
      <c r="BD33" s="241"/>
      <c r="BE33" s="241"/>
      <c r="BF33" s="197"/>
      <c r="BG33" s="197"/>
      <c r="BH33" s="197"/>
      <c r="BI33" s="197"/>
      <c r="BJ33" s="197"/>
      <c r="BK33" s="197"/>
      <c r="BL33" s="197"/>
      <c r="BM33" s="196"/>
      <c r="BN33" s="196"/>
      <c r="BO33" s="221"/>
      <c r="BP33" s="234"/>
      <c r="BQ33" s="234"/>
      <c r="BR33" s="221"/>
      <c r="BS33" s="197"/>
      <c r="BT33" s="196"/>
      <c r="BU33" s="196"/>
      <c r="BV33" s="196"/>
      <c r="BW33" s="196"/>
      <c r="BX33" s="196"/>
      <c r="BY33" s="196"/>
      <c r="BZ33" s="196"/>
      <c r="CA33" s="236"/>
      <c r="CB33" s="227" t="s">
        <v>674</v>
      </c>
      <c r="CC33" s="197"/>
      <c r="CD33" s="197"/>
      <c r="CE33" s="202"/>
      <c r="CF33" s="202"/>
      <c r="CG33" s="197"/>
      <c r="CH33" s="209"/>
      <c r="CI33" s="242"/>
      <c r="CJ33" s="197"/>
      <c r="CK33" s="202"/>
      <c r="CL33" s="202"/>
      <c r="CM33" s="243"/>
      <c r="CN33" s="202"/>
      <c r="CO33" s="197"/>
      <c r="CP33" s="197"/>
      <c r="CQ33" s="202"/>
      <c r="CR33" s="197"/>
      <c r="CS33" s="197"/>
      <c r="CT33" s="197"/>
      <c r="CU33" s="197"/>
      <c r="CV33" s="197"/>
      <c r="CW33" s="197"/>
      <c r="CX33" s="604"/>
      <c r="CZ33" s="198"/>
      <c r="DA33" s="204"/>
      <c r="DB33" s="204"/>
      <c r="DC33" s="204"/>
      <c r="DD33" s="208"/>
      <c r="DE33" s="208"/>
      <c r="DF33" s="198"/>
      <c r="DG33" s="198"/>
      <c r="DH33" s="198"/>
    </row>
    <row r="34" spans="1:112" x14ac:dyDescent="0.25">
      <c r="A34" s="602"/>
      <c r="B34" s="197"/>
      <c r="C34" s="197"/>
      <c r="D34" s="197"/>
      <c r="E34" s="197"/>
      <c r="F34" s="197"/>
      <c r="G34" s="197"/>
      <c r="H34" s="197"/>
      <c r="I34" s="197"/>
      <c r="J34" s="197"/>
      <c r="K34" s="197"/>
      <c r="L34" s="196"/>
      <c r="M34" s="196"/>
      <c r="N34" s="196"/>
      <c r="O34" s="196"/>
      <c r="P34" s="197"/>
      <c r="Q34" s="197"/>
      <c r="R34" s="197"/>
      <c r="S34" s="221"/>
      <c r="T34" s="221"/>
      <c r="U34" s="221"/>
      <c r="V34" s="221"/>
      <c r="W34" s="221"/>
      <c r="X34" s="221"/>
      <c r="Y34" s="196"/>
      <c r="Z34" s="197"/>
      <c r="AA34" s="196"/>
      <c r="AB34" s="196"/>
      <c r="AC34" s="196"/>
      <c r="AD34" s="197"/>
      <c r="AE34" s="197"/>
      <c r="AF34" s="196"/>
      <c r="AG34" s="196"/>
      <c r="AH34" s="197"/>
      <c r="AI34" s="196"/>
      <c r="AJ34" s="196"/>
      <c r="AK34" s="196"/>
      <c r="AL34" s="229"/>
      <c r="AM34" s="229"/>
      <c r="AN34" s="229"/>
      <c r="AO34" s="221"/>
      <c r="AP34" s="221"/>
      <c r="AQ34" s="196"/>
      <c r="AR34" s="196"/>
      <c r="AS34" s="196"/>
      <c r="AT34" s="196"/>
      <c r="AU34" s="196"/>
      <c r="AV34" s="196"/>
      <c r="AW34" s="196"/>
      <c r="AX34" s="196"/>
      <c r="AY34" s="196"/>
      <c r="AZ34" s="197"/>
      <c r="BA34" s="196"/>
      <c r="BB34" s="234"/>
      <c r="BC34" s="234"/>
      <c r="BD34" s="196"/>
      <c r="BE34" s="197"/>
      <c r="BF34" s="196"/>
      <c r="BG34" s="197"/>
      <c r="BH34" s="197"/>
      <c r="BI34" s="197"/>
      <c r="BJ34" s="197"/>
      <c r="BK34" s="197"/>
      <c r="BL34" s="197"/>
      <c r="BM34" s="197"/>
      <c r="BN34" s="197"/>
      <c r="BO34" s="196"/>
      <c r="BP34" s="236"/>
      <c r="BQ34" s="236"/>
      <c r="BR34" s="196"/>
      <c r="BS34" s="197"/>
      <c r="BT34" s="196"/>
      <c r="BU34" s="196"/>
      <c r="BV34" s="196"/>
      <c r="BW34" s="196"/>
      <c r="BX34" s="196"/>
      <c r="BY34" s="196"/>
      <c r="BZ34" s="196"/>
      <c r="CA34" s="229"/>
      <c r="CB34" s="227" t="s">
        <v>698</v>
      </c>
      <c r="CC34" s="197"/>
      <c r="CD34" s="197"/>
      <c r="CE34" s="202"/>
      <c r="CF34" s="202"/>
      <c r="CG34" s="202"/>
      <c r="CH34" s="202"/>
      <c r="CI34" s="202"/>
      <c r="CJ34" s="197"/>
      <c r="CK34" s="202"/>
      <c r="CL34" s="202"/>
      <c r="CM34" s="202"/>
      <c r="CN34" s="202"/>
      <c r="CO34" s="197"/>
      <c r="CP34" s="197"/>
      <c r="CQ34" s="197"/>
      <c r="CR34" s="197"/>
      <c r="CS34" s="197"/>
      <c r="CT34" s="197"/>
      <c r="CU34" s="197"/>
      <c r="CV34" s="197"/>
      <c r="CW34" s="197"/>
      <c r="CX34" s="604"/>
    </row>
    <row r="35" spans="1:112" x14ac:dyDescent="0.25">
      <c r="A35" s="602"/>
      <c r="B35" s="224"/>
      <c r="C35" s="224"/>
      <c r="D35" s="224"/>
      <c r="E35" s="224"/>
      <c r="F35" s="196"/>
      <c r="G35" s="196"/>
      <c r="H35" s="196"/>
      <c r="I35" s="196"/>
      <c r="J35" s="197"/>
      <c r="K35" s="197"/>
      <c r="L35" s="197"/>
      <c r="M35" s="197"/>
      <c r="N35" s="197"/>
      <c r="O35" s="196"/>
      <c r="P35" s="197"/>
      <c r="Q35" s="197"/>
      <c r="R35" s="197"/>
      <c r="S35" s="221"/>
      <c r="T35" s="221"/>
      <c r="U35" s="221"/>
      <c r="V35" s="221"/>
      <c r="W35" s="221"/>
      <c r="X35" s="221"/>
      <c r="Y35" s="197"/>
      <c r="Z35" s="197"/>
      <c r="AA35" s="197"/>
      <c r="AB35" s="197"/>
      <c r="AC35" s="197"/>
      <c r="AD35" s="197"/>
      <c r="AE35" s="197"/>
      <c r="AF35" s="197"/>
      <c r="AG35" s="197"/>
      <c r="AH35" s="197"/>
      <c r="AI35" s="197"/>
      <c r="AJ35" s="197"/>
      <c r="AK35" s="196"/>
      <c r="AL35" s="230"/>
      <c r="AM35" s="230"/>
      <c r="AN35" s="230"/>
      <c r="AO35" s="196"/>
      <c r="AP35" s="196"/>
      <c r="AQ35" s="196"/>
      <c r="AR35" s="196"/>
      <c r="AS35" s="196"/>
      <c r="AT35" s="196"/>
      <c r="AU35" s="196"/>
      <c r="AV35" s="196"/>
      <c r="AW35" s="196"/>
      <c r="AX35" s="196"/>
      <c r="AY35" s="196"/>
      <c r="AZ35" s="197"/>
      <c r="BA35" s="196"/>
      <c r="BB35" s="244"/>
      <c r="BC35" s="244"/>
      <c r="BD35" s="196"/>
      <c r="BE35" s="196"/>
      <c r="BF35" s="196"/>
      <c r="BG35" s="196"/>
      <c r="BH35" s="197"/>
      <c r="BI35" s="197"/>
      <c r="BJ35" s="197"/>
      <c r="BK35" s="197"/>
      <c r="BL35" s="197"/>
      <c r="BM35" s="197"/>
      <c r="BN35" s="197"/>
      <c r="BO35" s="196"/>
      <c r="BP35" s="229"/>
      <c r="BQ35" s="229"/>
      <c r="BR35" s="196"/>
      <c r="BS35" s="197"/>
      <c r="BT35" s="197"/>
      <c r="BU35" s="197"/>
      <c r="BV35" s="197"/>
      <c r="BW35" s="197"/>
      <c r="BX35" s="197"/>
      <c r="BY35" s="197"/>
      <c r="BZ35" s="196"/>
      <c r="CA35" s="230"/>
      <c r="CB35" s="230"/>
      <c r="CC35" s="197"/>
      <c r="CD35" s="197"/>
      <c r="CE35" s="197"/>
      <c r="CF35" s="197"/>
      <c r="CG35" s="202"/>
      <c r="CH35" s="202"/>
      <c r="CI35" s="197"/>
      <c r="CJ35" s="197"/>
      <c r="CK35" s="202"/>
      <c r="CL35" s="202"/>
      <c r="CM35" s="202"/>
      <c r="CN35" s="202"/>
      <c r="CO35" s="197"/>
      <c r="CP35" s="197"/>
      <c r="CQ35" s="197"/>
      <c r="CR35" s="197"/>
      <c r="CS35" s="197"/>
      <c r="CT35" s="197"/>
      <c r="CU35" s="197"/>
      <c r="CV35" s="197"/>
      <c r="CW35" s="197"/>
      <c r="CX35" s="604"/>
    </row>
    <row r="36" spans="1:112" x14ac:dyDescent="0.25">
      <c r="A36" s="602"/>
      <c r="B36" s="224"/>
      <c r="C36" s="224"/>
      <c r="D36" s="224"/>
      <c r="E36" s="224"/>
      <c r="F36" s="196"/>
      <c r="G36" s="196"/>
      <c r="H36" s="196"/>
      <c r="I36" s="196"/>
      <c r="J36" s="197"/>
      <c r="K36" s="197"/>
      <c r="L36" s="197"/>
      <c r="M36" s="197"/>
      <c r="N36" s="197"/>
      <c r="O36" s="196"/>
      <c r="P36" s="197"/>
      <c r="Q36" s="197"/>
      <c r="R36" s="197"/>
      <c r="S36" s="221"/>
      <c r="T36" s="196"/>
      <c r="U36" s="234"/>
      <c r="V36" s="234"/>
      <c r="W36" s="196"/>
      <c r="X36" s="221"/>
      <c r="Y36" s="196"/>
      <c r="Z36" s="196"/>
      <c r="AA36" s="196"/>
      <c r="AB36" s="196"/>
      <c r="AC36" s="196"/>
      <c r="AD36" s="196"/>
      <c r="AE36" s="196"/>
      <c r="AF36" s="196"/>
      <c r="AG36" s="196"/>
      <c r="AH36" s="197"/>
      <c r="AI36" s="196"/>
      <c r="AJ36" s="196"/>
      <c r="AK36" s="196"/>
      <c r="AL36" s="234"/>
      <c r="AM36" s="234"/>
      <c r="AN36" s="234"/>
      <c r="AO36" s="196"/>
      <c r="AP36" s="196"/>
      <c r="AQ36" s="197"/>
      <c r="AR36" s="196"/>
      <c r="AS36" s="196"/>
      <c r="AT36" s="196"/>
      <c r="AU36" s="196"/>
      <c r="AV36" s="196"/>
      <c r="AW36" s="196"/>
      <c r="AX36" s="196"/>
      <c r="AY36" s="196"/>
      <c r="AZ36" s="197"/>
      <c r="BA36" s="196"/>
      <c r="BB36" s="229"/>
      <c r="BC36" s="229"/>
      <c r="BD36" s="196"/>
      <c r="BE36" s="197"/>
      <c r="BF36" s="196"/>
      <c r="BG36" s="197"/>
      <c r="BH36" s="196"/>
      <c r="BI36" s="197"/>
      <c r="BJ36" s="197"/>
      <c r="BK36" s="197"/>
      <c r="BL36" s="197"/>
      <c r="BM36" s="197"/>
      <c r="BN36" s="197"/>
      <c r="BO36" s="230"/>
      <c r="BP36" s="230"/>
      <c r="BQ36" s="230"/>
      <c r="BR36" s="230"/>
      <c r="BS36" s="197"/>
      <c r="BT36" s="197"/>
      <c r="BU36" s="197"/>
      <c r="BV36" s="197"/>
      <c r="BW36" s="197"/>
      <c r="BX36" s="197"/>
      <c r="BY36" s="197"/>
      <c r="BZ36" s="197"/>
      <c r="CA36" s="234"/>
      <c r="CB36" s="234"/>
      <c r="CC36" s="197"/>
      <c r="CD36" s="197"/>
      <c r="CE36" s="197"/>
      <c r="CF36" s="197"/>
      <c r="CG36" s="202"/>
      <c r="CH36" s="202"/>
      <c r="CI36" s="197"/>
      <c r="CJ36" s="197"/>
      <c r="CK36" s="202"/>
      <c r="CL36" s="202"/>
      <c r="CM36" s="202"/>
      <c r="CN36" s="202"/>
      <c r="CO36" s="197"/>
      <c r="CP36" s="202"/>
      <c r="CQ36" s="202"/>
      <c r="CR36" s="197"/>
      <c r="CS36" s="197"/>
      <c r="CT36" s="197"/>
      <c r="CU36" s="197"/>
      <c r="CV36" s="202"/>
      <c r="CW36" s="202"/>
      <c r="CX36" s="604"/>
    </row>
    <row r="37" spans="1:112" x14ac:dyDescent="0.25">
      <c r="A37" s="602"/>
      <c r="B37" s="196"/>
      <c r="C37" s="196"/>
      <c r="D37" s="196"/>
      <c r="E37" s="196"/>
      <c r="F37" s="196"/>
      <c r="G37" s="196"/>
      <c r="H37" s="196"/>
      <c r="I37" s="196"/>
      <c r="J37" s="197"/>
      <c r="K37" s="197"/>
      <c r="L37" s="197"/>
      <c r="M37" s="197"/>
      <c r="N37" s="197"/>
      <c r="O37" s="196"/>
      <c r="P37" s="196"/>
      <c r="Q37" s="196"/>
      <c r="R37" s="196"/>
      <c r="S37" s="196"/>
      <c r="T37" s="196"/>
      <c r="U37" s="236"/>
      <c r="V37" s="236"/>
      <c r="W37" s="196"/>
      <c r="X37" s="196"/>
      <c r="Y37" s="196"/>
      <c r="Z37" s="196"/>
      <c r="AA37" s="196"/>
      <c r="AB37" s="197"/>
      <c r="AC37" s="197"/>
      <c r="AD37" s="196"/>
      <c r="AE37" s="196"/>
      <c r="AF37" s="196"/>
      <c r="AG37" s="196"/>
      <c r="AH37" s="197"/>
      <c r="AI37" s="196"/>
      <c r="AJ37" s="196"/>
      <c r="AK37" s="197"/>
      <c r="AL37" s="197"/>
      <c r="AM37" s="197"/>
      <c r="AN37" s="197"/>
      <c r="AO37" s="196"/>
      <c r="AP37" s="196"/>
      <c r="AQ37" s="197"/>
      <c r="AR37" s="197"/>
      <c r="AS37" s="196"/>
      <c r="AT37" s="196"/>
      <c r="AU37" s="196"/>
      <c r="AV37" s="196"/>
      <c r="AW37" s="196"/>
      <c r="AX37" s="196"/>
      <c r="AY37" s="196"/>
      <c r="AZ37" s="197"/>
      <c r="BA37" s="230"/>
      <c r="BB37" s="230"/>
      <c r="BC37" s="230"/>
      <c r="BD37" s="245" t="s">
        <v>699</v>
      </c>
      <c r="BE37" s="197"/>
      <c r="BF37" s="196"/>
      <c r="BG37" s="196"/>
      <c r="BH37" s="196"/>
      <c r="BI37" s="197"/>
      <c r="BJ37" s="197"/>
      <c r="BK37" s="197"/>
      <c r="BL37" s="197"/>
      <c r="BM37" s="197"/>
      <c r="BN37" s="196"/>
      <c r="BO37" s="196"/>
      <c r="BP37" s="197"/>
      <c r="BQ37" s="196"/>
      <c r="BR37" s="196"/>
      <c r="BS37" s="196"/>
      <c r="BT37" s="196"/>
      <c r="BU37" s="196"/>
      <c r="BV37" s="197"/>
      <c r="BW37" s="197"/>
      <c r="BX37" s="197"/>
      <c r="BY37" s="197"/>
      <c r="BZ37" s="197"/>
      <c r="CA37" s="197"/>
      <c r="CB37" s="197"/>
      <c r="CC37" s="197"/>
      <c r="CD37" s="197"/>
      <c r="CE37" s="197"/>
      <c r="CF37" s="197"/>
      <c r="CG37" s="202"/>
      <c r="CH37" s="202"/>
      <c r="CI37" s="197"/>
      <c r="CJ37" s="197"/>
      <c r="CK37" s="202"/>
      <c r="CL37" s="202"/>
      <c r="CM37" s="202"/>
      <c r="CN37" s="202"/>
      <c r="CO37" s="197"/>
      <c r="CP37" s="202"/>
      <c r="CQ37" s="202"/>
      <c r="CR37" s="197"/>
      <c r="CS37" s="197"/>
      <c r="CT37" s="202"/>
      <c r="CU37" s="202"/>
      <c r="CV37" s="197"/>
      <c r="CW37" s="202"/>
      <c r="CX37" s="604"/>
    </row>
    <row r="38" spans="1:112" x14ac:dyDescent="0.25">
      <c r="A38" s="602"/>
      <c r="B38" s="196"/>
      <c r="C38" s="196"/>
      <c r="D38" s="196"/>
      <c r="E38" s="196"/>
      <c r="F38" s="196"/>
      <c r="G38" s="196"/>
      <c r="H38" s="196"/>
      <c r="I38" s="196"/>
      <c r="J38" s="197"/>
      <c r="K38" s="197"/>
      <c r="L38" s="197"/>
      <c r="M38" s="197"/>
      <c r="N38" s="197"/>
      <c r="O38" s="196"/>
      <c r="P38" s="196"/>
      <c r="Q38" s="196"/>
      <c r="R38" s="196"/>
      <c r="S38" s="196"/>
      <c r="T38" s="196"/>
      <c r="U38" s="229"/>
      <c r="V38" s="229"/>
      <c r="W38" s="196"/>
      <c r="X38" s="196"/>
      <c r="Y38" s="196"/>
      <c r="Z38" s="196"/>
      <c r="AA38" s="196"/>
      <c r="AB38" s="197"/>
      <c r="AC38" s="197"/>
      <c r="AD38" s="196"/>
      <c r="AE38" s="196"/>
      <c r="AF38" s="196"/>
      <c r="AG38" s="196"/>
      <c r="AH38" s="197"/>
      <c r="AI38" s="196"/>
      <c r="AJ38" s="196"/>
      <c r="AK38" s="196"/>
      <c r="AL38" s="196"/>
      <c r="AM38" s="196"/>
      <c r="AN38" s="196"/>
      <c r="AO38" s="196"/>
      <c r="AP38" s="196"/>
      <c r="AQ38" s="197"/>
      <c r="AR38" s="196"/>
      <c r="AS38" s="196"/>
      <c r="AT38" s="196"/>
      <c r="AU38" s="196"/>
      <c r="AV38" s="196"/>
      <c r="AW38" s="196"/>
      <c r="AX38" s="196"/>
      <c r="AY38" s="196"/>
      <c r="AZ38" s="197"/>
      <c r="BA38" s="197"/>
      <c r="BB38" s="197"/>
      <c r="BC38" s="197"/>
      <c r="BD38" s="227" t="s">
        <v>700</v>
      </c>
      <c r="BE38" s="196"/>
      <c r="BF38" s="196"/>
      <c r="BG38" s="196"/>
      <c r="BH38" s="196"/>
      <c r="BI38" s="196"/>
      <c r="BJ38" s="197"/>
      <c r="BK38" s="196"/>
      <c r="BL38" s="196"/>
      <c r="BM38" s="196"/>
      <c r="BN38" s="196"/>
      <c r="BO38" s="197"/>
      <c r="BP38" s="196"/>
      <c r="BQ38" s="197"/>
      <c r="BR38" s="196"/>
      <c r="BS38" s="196"/>
      <c r="BT38" s="196"/>
      <c r="BU38" s="197"/>
      <c r="BV38" s="197"/>
      <c r="BW38" s="197"/>
      <c r="BX38" s="197"/>
      <c r="BY38" s="197"/>
      <c r="BZ38" s="197"/>
      <c r="CA38" s="197"/>
      <c r="CB38" s="197"/>
      <c r="CC38" s="197"/>
      <c r="CD38" s="197"/>
      <c r="CE38" s="197"/>
      <c r="CF38" s="202"/>
      <c r="CG38" s="202"/>
      <c r="CH38" s="246" t="s">
        <v>701</v>
      </c>
      <c r="CI38" s="202"/>
      <c r="CJ38" s="202"/>
      <c r="CK38" s="202"/>
      <c r="CL38" s="202"/>
      <c r="CM38" s="202"/>
      <c r="CN38" s="197"/>
      <c r="CO38" s="197"/>
      <c r="CP38" s="202"/>
      <c r="CQ38" s="202"/>
      <c r="CR38" s="197"/>
      <c r="CS38" s="197"/>
      <c r="CT38" s="197"/>
      <c r="CU38" s="197"/>
      <c r="CV38" s="197"/>
      <c r="CW38" s="197"/>
      <c r="CX38" s="604"/>
    </row>
    <row r="39" spans="1:112" x14ac:dyDescent="0.25">
      <c r="A39" s="602"/>
      <c r="B39" s="197"/>
      <c r="C39" s="197"/>
      <c r="D39" s="197"/>
      <c r="E39" s="197"/>
      <c r="F39" s="197"/>
      <c r="G39" s="197"/>
      <c r="H39" s="197"/>
      <c r="I39" s="197"/>
      <c r="J39" s="197"/>
      <c r="K39" s="196"/>
      <c r="L39" s="197"/>
      <c r="M39" s="197"/>
      <c r="N39" s="197"/>
      <c r="O39" s="196"/>
      <c r="P39" s="196"/>
      <c r="Q39" s="196"/>
      <c r="R39" s="196"/>
      <c r="S39" s="221"/>
      <c r="T39" s="230"/>
      <c r="U39" s="230"/>
      <c r="V39" s="230"/>
      <c r="W39" s="230"/>
      <c r="X39" s="221"/>
      <c r="Y39" s="196"/>
      <c r="Z39" s="196"/>
      <c r="AA39" s="196"/>
      <c r="AB39" s="197"/>
      <c r="AC39" s="197"/>
      <c r="AD39" s="196"/>
      <c r="AE39" s="196"/>
      <c r="AF39" s="196"/>
      <c r="AG39" s="196"/>
      <c r="AH39" s="197"/>
      <c r="AI39" s="196"/>
      <c r="AJ39" s="196"/>
      <c r="AK39" s="196"/>
      <c r="AL39" s="196"/>
      <c r="AM39" s="196"/>
      <c r="AN39" s="196"/>
      <c r="AO39" s="197"/>
      <c r="AP39" s="197"/>
      <c r="AQ39" s="197"/>
      <c r="AR39" s="196"/>
      <c r="AS39" s="196"/>
      <c r="AT39" s="196"/>
      <c r="AU39" s="196"/>
      <c r="AV39" s="196"/>
      <c r="AW39" s="196"/>
      <c r="AX39" s="196"/>
      <c r="AY39" s="196"/>
      <c r="AZ39" s="196"/>
      <c r="BA39" s="197"/>
      <c r="BB39" s="236"/>
      <c r="BC39" s="236"/>
      <c r="BD39" s="236"/>
      <c r="BE39" s="196"/>
      <c r="BF39" s="196"/>
      <c r="BG39" s="196"/>
      <c r="BH39" s="196"/>
      <c r="BI39" s="196"/>
      <c r="BJ39" s="197"/>
      <c r="BK39" s="196"/>
      <c r="BL39" s="197"/>
      <c r="BM39" s="197"/>
      <c r="BN39" s="197"/>
      <c r="BO39" s="197"/>
      <c r="BP39" s="196"/>
      <c r="BQ39" s="197"/>
      <c r="BR39" s="196"/>
      <c r="BS39" s="196"/>
      <c r="BT39" s="196"/>
      <c r="BU39" s="197"/>
      <c r="BV39" s="197"/>
      <c r="BW39" s="197"/>
      <c r="BX39" s="197"/>
      <c r="BY39" s="196"/>
      <c r="BZ39" s="197"/>
      <c r="CA39" s="197"/>
      <c r="CB39" s="197"/>
      <c r="CC39" s="196"/>
      <c r="CD39" s="196"/>
      <c r="CE39" s="202"/>
      <c r="CF39" s="202"/>
      <c r="CG39" s="197"/>
      <c r="CH39" s="197"/>
      <c r="CI39" s="197"/>
      <c r="CJ39" s="196"/>
      <c r="CK39" s="229"/>
      <c r="CL39" s="229"/>
      <c r="CM39" s="196"/>
      <c r="CN39" s="197"/>
      <c r="CO39" s="197"/>
      <c r="CP39" s="197"/>
      <c r="CQ39" s="197"/>
      <c r="CR39" s="197"/>
      <c r="CS39" s="197"/>
      <c r="CT39" s="197"/>
      <c r="CU39" s="197"/>
      <c r="CV39" s="202"/>
      <c r="CW39" s="202"/>
      <c r="CX39" s="604"/>
    </row>
    <row r="40" spans="1:112" x14ac:dyDescent="0.25">
      <c r="A40" s="602"/>
      <c r="B40" s="224"/>
      <c r="C40" s="224"/>
      <c r="D40" s="224"/>
      <c r="E40" s="224"/>
      <c r="F40" s="196"/>
      <c r="G40" s="196"/>
      <c r="H40" s="197"/>
      <c r="I40" s="196"/>
      <c r="J40" s="196"/>
      <c r="K40" s="196"/>
      <c r="L40" s="197"/>
      <c r="M40" s="197"/>
      <c r="N40" s="197"/>
      <c r="O40" s="196"/>
      <c r="P40" s="196"/>
      <c r="Q40" s="196"/>
      <c r="R40" s="196"/>
      <c r="S40" s="196"/>
      <c r="T40" s="196"/>
      <c r="U40" s="196"/>
      <c r="V40" s="196"/>
      <c r="W40" s="196"/>
      <c r="X40" s="196"/>
      <c r="Y40" s="196"/>
      <c r="Z40" s="196"/>
      <c r="AA40" s="195"/>
      <c r="AB40" s="197"/>
      <c r="AC40" s="197"/>
      <c r="AD40" s="196"/>
      <c r="AE40" s="196"/>
      <c r="AF40" s="196"/>
      <c r="AG40" s="196"/>
      <c r="AH40" s="197"/>
      <c r="AI40" s="196"/>
      <c r="AJ40" s="196"/>
      <c r="AK40" s="196"/>
      <c r="AL40" s="196"/>
      <c r="AM40" s="196"/>
      <c r="AN40" s="196"/>
      <c r="AO40" s="196"/>
      <c r="AP40" s="196"/>
      <c r="AQ40" s="197"/>
      <c r="AR40" s="196"/>
      <c r="AS40" s="196"/>
      <c r="AT40" s="196"/>
      <c r="AU40" s="196"/>
      <c r="AV40" s="196"/>
      <c r="AW40" s="196"/>
      <c r="AX40" s="196"/>
      <c r="AY40" s="196"/>
      <c r="AZ40" s="197"/>
      <c r="BA40" s="197"/>
      <c r="BB40" s="229"/>
      <c r="BC40" s="229"/>
      <c r="BD40" s="229"/>
      <c r="BE40" s="196"/>
      <c r="BF40" s="196"/>
      <c r="BG40" s="196"/>
      <c r="BH40" s="196"/>
      <c r="BI40" s="196"/>
      <c r="BJ40" s="197"/>
      <c r="BK40" s="196"/>
      <c r="BL40" s="236"/>
      <c r="BM40" s="236"/>
      <c r="BN40" s="221"/>
      <c r="BO40" s="234" t="s">
        <v>668</v>
      </c>
      <c r="BP40" s="234"/>
      <c r="BQ40" s="197"/>
      <c r="BR40" s="196"/>
      <c r="BS40" s="196"/>
      <c r="BT40" s="196"/>
      <c r="BU40" s="197"/>
      <c r="BV40" s="197"/>
      <c r="BW40" s="197"/>
      <c r="BX40" s="197"/>
      <c r="BY40" s="197"/>
      <c r="BZ40" s="197"/>
      <c r="CA40" s="197"/>
      <c r="CB40" s="197"/>
      <c r="CC40" s="196"/>
      <c r="CD40" s="197"/>
      <c r="CE40" s="197"/>
      <c r="CF40" s="202"/>
      <c r="CG40" s="196"/>
      <c r="CH40" s="202"/>
      <c r="CI40" s="197"/>
      <c r="CJ40" s="230"/>
      <c r="CK40" s="230"/>
      <c r="CL40" s="230"/>
      <c r="CM40" s="230"/>
      <c r="CN40" s="197"/>
      <c r="CO40" s="197"/>
      <c r="CP40" s="202"/>
      <c r="CQ40" s="202"/>
      <c r="CR40" s="202"/>
      <c r="CS40" s="202"/>
      <c r="CT40" s="202"/>
      <c r="CU40" s="202"/>
      <c r="CV40" s="202"/>
      <c r="CW40" s="202"/>
      <c r="CX40" s="604"/>
    </row>
    <row r="41" spans="1:112" x14ac:dyDescent="0.25">
      <c r="A41" s="602"/>
      <c r="B41" s="224"/>
      <c r="C41" s="224"/>
      <c r="D41" s="224"/>
      <c r="E41" s="224"/>
      <c r="F41" s="196"/>
      <c r="G41" s="196"/>
      <c r="H41" s="197"/>
      <c r="I41" s="196"/>
      <c r="J41" s="196"/>
      <c r="K41" s="196"/>
      <c r="L41" s="196"/>
      <c r="M41" s="196"/>
      <c r="N41" s="197"/>
      <c r="O41" s="196"/>
      <c r="P41" s="196"/>
      <c r="Q41" s="196"/>
      <c r="R41" s="196"/>
      <c r="S41" s="196"/>
      <c r="T41" s="196"/>
      <c r="U41" s="196"/>
      <c r="V41" s="196"/>
      <c r="W41" s="196"/>
      <c r="X41" s="196"/>
      <c r="Y41" s="196"/>
      <c r="Z41" s="196"/>
      <c r="AA41" s="196"/>
      <c r="AB41" s="197"/>
      <c r="AC41" s="197"/>
      <c r="AD41" s="196"/>
      <c r="AE41" s="196"/>
      <c r="AF41" s="196"/>
      <c r="AG41" s="196"/>
      <c r="AH41" s="197"/>
      <c r="AI41" s="196"/>
      <c r="AJ41" s="196"/>
      <c r="AK41" s="196"/>
      <c r="AL41" s="196"/>
      <c r="AM41" s="196"/>
      <c r="AN41" s="196"/>
      <c r="AO41" s="196"/>
      <c r="AP41" s="196"/>
      <c r="AQ41" s="196"/>
      <c r="AR41" s="196"/>
      <c r="AS41" s="196"/>
      <c r="AT41" s="196"/>
      <c r="AU41" s="196"/>
      <c r="AV41" s="196"/>
      <c r="AW41" s="197"/>
      <c r="AX41" s="243"/>
      <c r="AY41" s="197"/>
      <c r="AZ41" s="197"/>
      <c r="BA41" s="197"/>
      <c r="BB41" s="230"/>
      <c r="BC41" s="230"/>
      <c r="BD41" s="230"/>
      <c r="BE41" s="196"/>
      <c r="BF41" s="196"/>
      <c r="BG41" s="196"/>
      <c r="BH41" s="196"/>
      <c r="BI41" s="196"/>
      <c r="BJ41" s="196"/>
      <c r="BK41" s="230"/>
      <c r="BL41" s="230"/>
      <c r="BM41" s="230"/>
      <c r="BN41" s="230"/>
      <c r="BO41" s="196"/>
      <c r="BP41" s="196"/>
      <c r="BQ41" s="196"/>
      <c r="BR41" s="196"/>
      <c r="BS41" s="196"/>
      <c r="BT41" s="196"/>
      <c r="BU41" s="197"/>
      <c r="BV41" s="197"/>
      <c r="BW41" s="197"/>
      <c r="BX41" s="197"/>
      <c r="BY41" s="197"/>
      <c r="BZ41" s="197"/>
      <c r="CA41" s="196"/>
      <c r="CB41" s="197"/>
      <c r="CC41" s="196"/>
      <c r="CD41" s="196"/>
      <c r="CE41" s="202"/>
      <c r="CF41" s="196"/>
      <c r="CG41" s="196"/>
      <c r="CH41" s="197"/>
      <c r="CI41" s="197"/>
      <c r="CJ41" s="221"/>
      <c r="CK41" s="221"/>
      <c r="CL41" s="221"/>
      <c r="CM41" s="221"/>
      <c r="CN41" s="197"/>
      <c r="CO41" s="197"/>
      <c r="CP41" s="197"/>
      <c r="CQ41" s="197"/>
      <c r="CR41" s="197"/>
      <c r="CS41" s="197"/>
      <c r="CT41" s="197"/>
      <c r="CU41" s="197"/>
      <c r="CV41" s="197"/>
      <c r="CW41" s="202"/>
      <c r="CX41" s="604"/>
    </row>
    <row r="42" spans="1:112" x14ac:dyDescent="0.25">
      <c r="A42" s="602"/>
      <c r="B42" s="224"/>
      <c r="C42" s="224"/>
      <c r="D42" s="224"/>
      <c r="E42" s="224"/>
      <c r="F42" s="196"/>
      <c r="G42" s="196"/>
      <c r="H42" s="197"/>
      <c r="I42" s="196"/>
      <c r="J42" s="196"/>
      <c r="K42" s="197"/>
      <c r="L42" s="196"/>
      <c r="M42" s="196"/>
      <c r="N42" s="197"/>
      <c r="O42" s="196"/>
      <c r="P42" s="196"/>
      <c r="Q42" s="196"/>
      <c r="R42" s="196"/>
      <c r="S42" s="196"/>
      <c r="T42" s="196"/>
      <c r="U42" s="196"/>
      <c r="V42" s="196"/>
      <c r="W42" s="196"/>
      <c r="X42" s="206"/>
      <c r="Y42" s="196"/>
      <c r="Z42" s="196"/>
      <c r="AA42" s="196"/>
      <c r="AB42" s="197"/>
      <c r="AC42" s="197"/>
      <c r="AD42" s="196"/>
      <c r="AE42" s="196"/>
      <c r="AF42" s="196"/>
      <c r="AG42" s="196"/>
      <c r="AH42" s="197"/>
      <c r="AI42" s="196"/>
      <c r="AJ42" s="196"/>
      <c r="AK42" s="196"/>
      <c r="AL42" s="196"/>
      <c r="AM42" s="196"/>
      <c r="AN42" s="196"/>
      <c r="AO42" s="196"/>
      <c r="AP42" s="196"/>
      <c r="AQ42" s="196"/>
      <c r="AR42" s="196"/>
      <c r="AS42" s="196"/>
      <c r="AT42" s="196"/>
      <c r="AU42" s="196"/>
      <c r="AV42" s="196"/>
      <c r="AW42" s="197"/>
      <c r="AX42" s="196"/>
      <c r="AY42" s="197"/>
      <c r="AZ42" s="197"/>
      <c r="BA42" s="197"/>
      <c r="BB42" s="234"/>
      <c r="BC42" s="234"/>
      <c r="BD42" s="234"/>
      <c r="BE42" s="196"/>
      <c r="BF42" s="196"/>
      <c r="BG42" s="196"/>
      <c r="BH42" s="196"/>
      <c r="BI42" s="196"/>
      <c r="BJ42" s="197"/>
      <c r="BK42" s="197"/>
      <c r="BL42" s="196"/>
      <c r="BM42" s="196"/>
      <c r="BN42" s="196"/>
      <c r="BO42" s="196"/>
      <c r="BP42" s="196"/>
      <c r="BQ42" s="196"/>
      <c r="BR42" s="196"/>
      <c r="BS42" s="196"/>
      <c r="BT42" s="196"/>
      <c r="BU42" s="197"/>
      <c r="BV42" s="197"/>
      <c r="BW42" s="197"/>
      <c r="BX42" s="197"/>
      <c r="BY42" s="197"/>
      <c r="BZ42" s="197"/>
      <c r="CA42" s="197"/>
      <c r="CB42" s="197"/>
      <c r="CC42" s="196"/>
      <c r="CD42" s="196"/>
      <c r="CE42" s="196"/>
      <c r="CF42" s="196"/>
      <c r="CG42" s="197"/>
      <c r="CH42" s="197"/>
      <c r="CI42" s="197"/>
      <c r="CJ42" s="196"/>
      <c r="CK42" s="197"/>
      <c r="CL42" s="197"/>
      <c r="CM42" s="197"/>
      <c r="CN42" s="197"/>
      <c r="CO42" s="197"/>
      <c r="CP42" s="202"/>
      <c r="CQ42" s="202"/>
      <c r="CR42" s="202"/>
      <c r="CS42" s="202"/>
      <c r="CT42" s="202"/>
      <c r="CU42" s="202"/>
      <c r="CV42" s="202"/>
      <c r="CW42" s="202"/>
      <c r="CX42" s="604"/>
    </row>
    <row r="43" spans="1:112" x14ac:dyDescent="0.25">
      <c r="A43" s="602"/>
      <c r="B43" s="224"/>
      <c r="C43" s="224"/>
      <c r="D43" s="224"/>
      <c r="E43" s="224"/>
      <c r="F43" s="196"/>
      <c r="G43" s="196"/>
      <c r="H43" s="196"/>
      <c r="I43" s="196"/>
      <c r="J43" s="196"/>
      <c r="K43" s="197"/>
      <c r="L43" s="196"/>
      <c r="M43" s="196"/>
      <c r="N43" s="197"/>
      <c r="O43" s="196"/>
      <c r="P43" s="196"/>
      <c r="Q43" s="196"/>
      <c r="R43" s="196"/>
      <c r="S43" s="196"/>
      <c r="T43" s="196"/>
      <c r="U43" s="196"/>
      <c r="V43" s="196"/>
      <c r="W43" s="196"/>
      <c r="X43" s="196"/>
      <c r="Y43" s="196"/>
      <c r="Z43" s="196"/>
      <c r="AA43" s="196"/>
      <c r="AB43" s="197"/>
      <c r="AC43" s="197"/>
      <c r="AD43" s="196"/>
      <c r="AE43" s="196"/>
      <c r="AF43" s="196"/>
      <c r="AG43" s="196"/>
      <c r="AH43" s="197"/>
      <c r="AI43" s="196"/>
      <c r="AJ43" s="196"/>
      <c r="AK43" s="196"/>
      <c r="AL43" s="210"/>
      <c r="AM43" s="195"/>
      <c r="AN43" s="196"/>
      <c r="AO43" s="196"/>
      <c r="AP43" s="196"/>
      <c r="AQ43" s="196"/>
      <c r="AR43" s="196"/>
      <c r="AS43" s="196"/>
      <c r="AT43" s="196"/>
      <c r="AU43" s="197"/>
      <c r="AV43" s="197"/>
      <c r="AW43" s="196"/>
      <c r="AX43" s="196"/>
      <c r="AY43" s="197"/>
      <c r="AZ43" s="197"/>
      <c r="BA43" s="197"/>
      <c r="BB43" s="197"/>
      <c r="BC43" s="196"/>
      <c r="BD43" s="197"/>
      <c r="BE43" s="196"/>
      <c r="BF43" s="196"/>
      <c r="BG43" s="196"/>
      <c r="BH43" s="197"/>
      <c r="BI43" s="197"/>
      <c r="BJ43" s="195"/>
      <c r="BK43" s="197"/>
      <c r="BL43" s="196"/>
      <c r="BM43" s="196"/>
      <c r="BN43" s="196"/>
      <c r="BO43" s="196"/>
      <c r="BP43" s="196"/>
      <c r="BQ43" s="196"/>
      <c r="BR43" s="196"/>
      <c r="BS43" s="196"/>
      <c r="BT43" s="196"/>
      <c r="BU43" s="197"/>
      <c r="BV43" s="197"/>
      <c r="BW43" s="197"/>
      <c r="BX43" s="195"/>
      <c r="BY43" s="197"/>
      <c r="BZ43" s="197"/>
      <c r="CA43" s="197"/>
      <c r="CB43" s="196"/>
      <c r="CC43" s="196"/>
      <c r="CD43" s="197"/>
      <c r="CE43" s="196"/>
      <c r="CF43" s="196"/>
      <c r="CG43" s="197"/>
      <c r="CH43" s="197"/>
      <c r="CI43" s="197"/>
      <c r="CJ43" s="197"/>
      <c r="CK43" s="197"/>
      <c r="CL43" s="197"/>
      <c r="CM43" s="197"/>
      <c r="CN43" s="197"/>
      <c r="CO43" s="197"/>
      <c r="CP43" s="202"/>
      <c r="CQ43" s="202"/>
      <c r="CR43" s="202"/>
      <c r="CS43" s="202"/>
      <c r="CT43" s="202"/>
      <c r="CU43" s="197"/>
      <c r="CV43" s="197"/>
      <c r="CW43" s="197"/>
      <c r="CX43" s="604"/>
    </row>
    <row r="44" spans="1:112" x14ac:dyDescent="0.25">
      <c r="A44" s="602"/>
      <c r="B44" s="196"/>
      <c r="C44" s="196"/>
      <c r="D44" s="196"/>
      <c r="E44" s="196"/>
      <c r="F44" s="196"/>
      <c r="G44" s="196"/>
      <c r="H44" s="196"/>
      <c r="I44" s="196"/>
      <c r="J44" s="196"/>
      <c r="K44" s="197"/>
      <c r="L44" s="196"/>
      <c r="M44" s="196"/>
      <c r="N44" s="197"/>
      <c r="O44" s="196"/>
      <c r="P44" s="196"/>
      <c r="Q44" s="196"/>
      <c r="R44" s="196"/>
      <c r="S44" s="196"/>
      <c r="T44" s="196"/>
      <c r="U44" s="196"/>
      <c r="V44" s="196"/>
      <c r="W44" s="196"/>
      <c r="X44" s="196"/>
      <c r="Y44" s="196"/>
      <c r="Z44" s="197"/>
      <c r="AA44" s="197"/>
      <c r="AB44" s="197"/>
      <c r="AC44" s="197"/>
      <c r="AD44" s="196"/>
      <c r="AE44" s="196"/>
      <c r="AF44" s="196"/>
      <c r="AG44" s="196"/>
      <c r="AH44" s="197"/>
      <c r="AI44" s="196"/>
      <c r="AJ44" s="196"/>
      <c r="AK44" s="196"/>
      <c r="AL44" s="196"/>
      <c r="AM44" s="196"/>
      <c r="AN44" s="196"/>
      <c r="AO44" s="196"/>
      <c r="AP44" s="196"/>
      <c r="AQ44" s="197"/>
      <c r="AR44" s="197"/>
      <c r="AS44" s="196"/>
      <c r="AT44" s="196"/>
      <c r="AU44" s="197"/>
      <c r="AV44" s="197"/>
      <c r="AW44" s="197"/>
      <c r="AX44" s="197"/>
      <c r="AY44" s="196"/>
      <c r="AZ44" s="197"/>
      <c r="BA44" s="197"/>
      <c r="BB44" s="197"/>
      <c r="BC44" s="197"/>
      <c r="BD44" s="197"/>
      <c r="BE44" s="196"/>
      <c r="BF44" s="196"/>
      <c r="BG44" s="196"/>
      <c r="BH44" s="197"/>
      <c r="BI44" s="197"/>
      <c r="BJ44" s="197"/>
      <c r="BK44" s="196"/>
      <c r="BL44" s="232"/>
      <c r="BM44" s="196"/>
      <c r="BN44" s="197"/>
      <c r="BO44" s="196"/>
      <c r="BP44" s="196"/>
      <c r="BQ44" s="196"/>
      <c r="BR44" s="196"/>
      <c r="BS44" s="196"/>
      <c r="BT44" s="196"/>
      <c r="BU44" s="197"/>
      <c r="BV44" s="197"/>
      <c r="BW44" s="197"/>
      <c r="BX44" s="241"/>
      <c r="BY44" s="241"/>
      <c r="BZ44" s="241"/>
      <c r="CA44" s="197"/>
      <c r="CB44" s="232"/>
      <c r="CC44" s="197"/>
      <c r="CD44" s="197"/>
      <c r="CE44" s="197"/>
      <c r="CF44" s="197"/>
      <c r="CG44" s="202"/>
      <c r="CH44" s="197"/>
      <c r="CI44" s="197"/>
      <c r="CJ44" s="196"/>
      <c r="CK44" s="229"/>
      <c r="CL44" s="197"/>
      <c r="CM44" s="197"/>
      <c r="CN44" s="197"/>
      <c r="CO44" s="197"/>
      <c r="CP44" s="202"/>
      <c r="CQ44" s="202"/>
      <c r="CR44" s="202"/>
      <c r="CS44" s="202"/>
      <c r="CT44" s="202"/>
      <c r="CU44" s="197"/>
      <c r="CV44" s="197"/>
      <c r="CW44" s="197"/>
      <c r="CX44" s="604"/>
    </row>
    <row r="45" spans="1:112" x14ac:dyDescent="0.25">
      <c r="A45" s="602"/>
      <c r="B45" s="197"/>
      <c r="C45" s="197"/>
      <c r="D45" s="197"/>
      <c r="E45" s="197"/>
      <c r="F45" s="197"/>
      <c r="G45" s="197"/>
      <c r="H45" s="197"/>
      <c r="I45" s="1028" t="s">
        <v>702</v>
      </c>
      <c r="J45" s="197"/>
      <c r="K45" s="197"/>
      <c r="L45" s="196"/>
      <c r="M45" s="196"/>
      <c r="N45" s="197"/>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7"/>
      <c r="AR45" s="196"/>
      <c r="AS45" s="196"/>
      <c r="AT45" s="196"/>
      <c r="AU45" s="197"/>
      <c r="AV45" s="197"/>
      <c r="AW45" s="197"/>
      <c r="AX45" s="197"/>
      <c r="AY45" s="197"/>
      <c r="AZ45" s="197"/>
      <c r="BA45" s="197"/>
      <c r="BB45" s="197"/>
      <c r="BC45" s="197"/>
      <c r="BD45" s="197"/>
      <c r="BE45" s="196"/>
      <c r="BF45" s="196"/>
      <c r="BG45" s="196"/>
      <c r="BH45" s="247"/>
      <c r="BI45" s="197"/>
      <c r="BJ45" s="197"/>
      <c r="BK45" s="196"/>
      <c r="BL45" s="196"/>
      <c r="BM45" s="196"/>
      <c r="BN45" s="197"/>
      <c r="BO45" s="196"/>
      <c r="BP45" s="196"/>
      <c r="BQ45" s="196"/>
      <c r="BR45" s="196"/>
      <c r="BS45" s="196"/>
      <c r="BT45" s="196"/>
      <c r="BU45" s="197"/>
      <c r="BV45" s="197"/>
      <c r="BW45" s="197"/>
      <c r="BX45" s="196"/>
      <c r="BY45" s="196"/>
      <c r="BZ45" s="196"/>
      <c r="CA45" s="197"/>
      <c r="CB45" s="196"/>
      <c r="CC45" s="197"/>
      <c r="CD45" s="197"/>
      <c r="CE45" s="197"/>
      <c r="CF45" s="196"/>
      <c r="CG45" s="202"/>
      <c r="CH45" s="197"/>
      <c r="CI45" s="197"/>
      <c r="CJ45" s="230"/>
      <c r="CK45" s="230"/>
      <c r="CL45" s="197"/>
      <c r="CM45" s="197"/>
      <c r="CN45" s="197"/>
      <c r="CO45" s="197"/>
      <c r="CP45" s="202"/>
      <c r="CQ45" s="202"/>
      <c r="CR45" s="202"/>
      <c r="CS45" s="202"/>
      <c r="CT45" s="202"/>
      <c r="CU45" s="197"/>
      <c r="CV45" s="197"/>
      <c r="CW45" s="197"/>
      <c r="CX45" s="604"/>
    </row>
    <row r="46" spans="1:112" x14ac:dyDescent="0.25">
      <c r="A46" s="602"/>
      <c r="B46" s="197"/>
      <c r="C46" s="197"/>
      <c r="D46" s="197"/>
      <c r="E46" s="197"/>
      <c r="F46" s="197"/>
      <c r="G46" s="197"/>
      <c r="H46" s="197"/>
      <c r="I46" s="1029"/>
      <c r="J46" s="197"/>
      <c r="K46" s="197"/>
      <c r="L46" s="196"/>
      <c r="M46" s="197"/>
      <c r="N46" s="196"/>
      <c r="O46" s="236"/>
      <c r="P46" s="236"/>
      <c r="Q46" s="196"/>
      <c r="R46" s="196"/>
      <c r="S46" s="196"/>
      <c r="T46" s="196"/>
      <c r="U46" s="196"/>
      <c r="V46" s="196"/>
      <c r="W46" s="196"/>
      <c r="X46" s="196"/>
      <c r="Y46" s="196"/>
      <c r="Z46" s="196"/>
      <c r="AA46" s="196"/>
      <c r="AB46" s="196"/>
      <c r="AC46" s="196"/>
      <c r="AD46" s="196"/>
      <c r="AE46" s="196"/>
      <c r="AF46" s="196"/>
      <c r="AG46" s="197"/>
      <c r="AH46" s="197"/>
      <c r="AI46" s="196"/>
      <c r="AJ46" s="196"/>
      <c r="AK46" s="196"/>
      <c r="AL46" s="197"/>
      <c r="AM46" s="196"/>
      <c r="AN46" s="196"/>
      <c r="AO46" s="196"/>
      <c r="AP46" s="196"/>
      <c r="AQ46" s="196"/>
      <c r="AR46" s="196"/>
      <c r="AS46" s="196"/>
      <c r="AT46" s="196"/>
      <c r="AU46" s="197"/>
      <c r="AV46" s="197"/>
      <c r="AW46" s="197"/>
      <c r="AX46" s="197"/>
      <c r="AY46" s="197"/>
      <c r="AZ46" s="197"/>
      <c r="BA46" s="197"/>
      <c r="BB46" s="197"/>
      <c r="BC46" s="197"/>
      <c r="BD46" s="197"/>
      <c r="BE46" s="196"/>
      <c r="BF46" s="196"/>
      <c r="BG46" s="196"/>
      <c r="BH46" s="197"/>
      <c r="BI46" s="197"/>
      <c r="BJ46" s="196"/>
      <c r="BK46" s="196"/>
      <c r="BL46" s="232"/>
      <c r="BM46" s="196"/>
      <c r="BN46" s="197"/>
      <c r="BO46" s="196"/>
      <c r="BP46" s="196"/>
      <c r="BQ46" s="196"/>
      <c r="BR46" s="196"/>
      <c r="BS46" s="196"/>
      <c r="BT46" s="196"/>
      <c r="BU46" s="197"/>
      <c r="BV46" s="197"/>
      <c r="BW46" s="197"/>
      <c r="BX46" s="197"/>
      <c r="BY46" s="197"/>
      <c r="BZ46" s="197"/>
      <c r="CA46" s="197"/>
      <c r="CB46" s="197"/>
      <c r="CC46" s="197"/>
      <c r="CD46" s="197"/>
      <c r="CE46" s="197"/>
      <c r="CF46" s="197"/>
      <c r="CG46" s="197"/>
      <c r="CH46" s="197"/>
      <c r="CI46" s="197"/>
      <c r="CJ46" s="221"/>
      <c r="CK46" s="221"/>
      <c r="CL46" s="197"/>
      <c r="CM46" s="197"/>
      <c r="CN46" s="197"/>
      <c r="CO46" s="197"/>
      <c r="CP46" s="197"/>
      <c r="CQ46" s="197"/>
      <c r="CR46" s="197"/>
      <c r="CS46" s="197"/>
      <c r="CT46" s="197"/>
      <c r="CU46" s="197"/>
      <c r="CV46" s="197"/>
      <c r="CW46" s="197"/>
      <c r="CX46" s="604"/>
    </row>
    <row r="47" spans="1:112" x14ac:dyDescent="0.25">
      <c r="A47" s="602"/>
      <c r="B47" s="197"/>
      <c r="C47" s="197"/>
      <c r="D47" s="197"/>
      <c r="E47" s="197"/>
      <c r="F47" s="197"/>
      <c r="G47" s="197"/>
      <c r="H47" s="197"/>
      <c r="I47" s="1029"/>
      <c r="J47" s="197"/>
      <c r="K47" s="197"/>
      <c r="L47" s="196"/>
      <c r="M47" s="197"/>
      <c r="N47" s="196"/>
      <c r="O47" s="229"/>
      <c r="P47" s="229"/>
      <c r="Q47" s="196"/>
      <c r="R47" s="196"/>
      <c r="S47" s="196"/>
      <c r="T47" s="210"/>
      <c r="U47" s="195"/>
      <c r="V47" s="196"/>
      <c r="W47" s="196"/>
      <c r="X47" s="196"/>
      <c r="Y47" s="196"/>
      <c r="Z47" s="196"/>
      <c r="AA47" s="196"/>
      <c r="AB47" s="196"/>
      <c r="AC47" s="197"/>
      <c r="AD47" s="197"/>
      <c r="AE47" s="197"/>
      <c r="AF47" s="197"/>
      <c r="AG47" s="197"/>
      <c r="AH47" s="196"/>
      <c r="AI47" s="196"/>
      <c r="AJ47" s="196"/>
      <c r="AK47" s="196"/>
      <c r="AL47" s="196"/>
      <c r="AM47" s="196"/>
      <c r="AN47" s="196"/>
      <c r="AO47" s="196"/>
      <c r="AP47" s="196"/>
      <c r="AQ47" s="196"/>
      <c r="AR47" s="196"/>
      <c r="AS47" s="196"/>
      <c r="AT47" s="196"/>
      <c r="AU47" s="196"/>
      <c r="AV47" s="196"/>
      <c r="AW47" s="197"/>
      <c r="AX47" s="197"/>
      <c r="AY47" s="197"/>
      <c r="AZ47" s="197"/>
      <c r="BA47" s="197"/>
      <c r="BB47" s="197"/>
      <c r="BC47" s="197"/>
      <c r="BD47" s="197"/>
      <c r="BE47" s="196"/>
      <c r="BF47" s="196"/>
      <c r="BG47" s="196"/>
      <c r="BH47" s="196"/>
      <c r="BI47" s="196"/>
      <c r="BJ47" s="196"/>
      <c r="BK47" s="196"/>
      <c r="BL47" s="196"/>
      <c r="BM47" s="196"/>
      <c r="BN47" s="196"/>
      <c r="BO47" s="196"/>
      <c r="BP47" s="196"/>
      <c r="BQ47" s="196"/>
      <c r="BR47" s="196"/>
      <c r="BS47" s="196"/>
      <c r="BT47" s="196"/>
      <c r="BU47" s="196"/>
      <c r="BV47" s="196"/>
      <c r="BW47" s="196"/>
      <c r="BX47" s="197"/>
      <c r="BY47" s="197"/>
      <c r="BZ47" s="197"/>
      <c r="CA47" s="197"/>
      <c r="CB47" s="197"/>
      <c r="CC47" s="197"/>
      <c r="CD47" s="197"/>
      <c r="CE47" s="197"/>
      <c r="CF47" s="197"/>
      <c r="CG47" s="197"/>
      <c r="CH47" s="197"/>
      <c r="CI47" s="197"/>
      <c r="CJ47" s="197"/>
      <c r="CK47" s="197"/>
      <c r="CL47" s="197"/>
      <c r="CM47" s="197"/>
      <c r="CN47" s="197"/>
      <c r="CO47" s="197"/>
      <c r="CP47" s="197"/>
      <c r="CQ47" s="197"/>
      <c r="CR47" s="197"/>
      <c r="CS47" s="197"/>
      <c r="CT47" s="197"/>
      <c r="CU47" s="197"/>
      <c r="CV47" s="197"/>
      <c r="CW47" s="197"/>
      <c r="CX47" s="604"/>
    </row>
    <row r="48" spans="1:112" x14ac:dyDescent="0.25">
      <c r="A48" s="602"/>
      <c r="B48" s="196"/>
      <c r="C48" s="196"/>
      <c r="D48" s="196"/>
      <c r="E48" s="196"/>
      <c r="F48" s="196"/>
      <c r="G48" s="196"/>
      <c r="H48" s="196"/>
      <c r="I48" s="1029"/>
      <c r="J48" s="196"/>
      <c r="K48" s="196"/>
      <c r="L48" s="196"/>
      <c r="M48" s="197"/>
      <c r="N48" s="230"/>
      <c r="O48" s="230"/>
      <c r="P48" s="230"/>
      <c r="Q48" s="248"/>
      <c r="R48" s="196"/>
      <c r="S48" s="196"/>
      <c r="T48" s="196"/>
      <c r="U48" s="196"/>
      <c r="V48" s="196"/>
      <c r="W48" s="196"/>
      <c r="X48" s="196"/>
      <c r="Y48" s="1033"/>
      <c r="Z48" s="196"/>
      <c r="AA48" s="196"/>
      <c r="AB48" s="196"/>
      <c r="AC48" s="197"/>
      <c r="AD48" s="197"/>
      <c r="AE48" s="197"/>
      <c r="AF48" s="197"/>
      <c r="AG48" s="197"/>
      <c r="AH48" s="196"/>
      <c r="AI48" s="196"/>
      <c r="AJ48" s="196"/>
      <c r="AK48" s="196"/>
      <c r="AL48" s="196"/>
      <c r="AM48" s="196"/>
      <c r="AN48" s="196"/>
      <c r="AO48" s="196"/>
      <c r="AP48" s="196"/>
      <c r="AQ48" s="196"/>
      <c r="AR48" s="196"/>
      <c r="AS48" s="196"/>
      <c r="AT48" s="196"/>
      <c r="AU48" s="196"/>
      <c r="AV48" s="196"/>
      <c r="AW48" s="197"/>
      <c r="AX48" s="197"/>
      <c r="AY48" s="197"/>
      <c r="AZ48" s="197"/>
      <c r="BA48" s="197"/>
      <c r="BB48" s="197"/>
      <c r="BC48" s="211"/>
      <c r="BD48" s="196"/>
      <c r="BE48" s="196"/>
      <c r="BF48" s="196"/>
      <c r="BG48" s="196"/>
      <c r="BH48" s="196"/>
      <c r="BI48" s="196"/>
      <c r="BJ48" s="196"/>
      <c r="BK48" s="196"/>
      <c r="BL48" s="196"/>
      <c r="BM48" s="196"/>
      <c r="BN48" s="196"/>
      <c r="BO48" s="196"/>
      <c r="BP48" s="196"/>
      <c r="BQ48" s="196"/>
      <c r="BR48" s="196"/>
      <c r="BS48" s="196"/>
      <c r="BT48" s="196"/>
      <c r="BU48" s="196"/>
      <c r="BV48" s="196"/>
      <c r="BW48" s="196"/>
      <c r="BX48" s="197"/>
      <c r="BY48" s="197"/>
      <c r="BZ48" s="197"/>
      <c r="CA48" s="197"/>
      <c r="CB48" s="196"/>
      <c r="CC48" s="197"/>
      <c r="CD48" s="197"/>
      <c r="CE48" s="196"/>
      <c r="CF48" s="197"/>
      <c r="CG48" s="197"/>
      <c r="CH48" s="197"/>
      <c r="CI48" s="197"/>
      <c r="CJ48" s="197"/>
      <c r="CK48" s="197"/>
      <c r="CL48" s="197"/>
      <c r="CM48" s="197"/>
      <c r="CN48" s="197"/>
      <c r="CO48" s="197"/>
      <c r="CP48" s="197"/>
      <c r="CQ48" s="197"/>
      <c r="CR48" s="197"/>
      <c r="CS48" s="197"/>
      <c r="CT48" s="197"/>
      <c r="CU48" s="197"/>
      <c r="CV48" s="197"/>
      <c r="CW48" s="197"/>
      <c r="CX48" s="604"/>
    </row>
    <row r="49" spans="1:102" x14ac:dyDescent="0.25">
      <c r="A49" s="602"/>
      <c r="B49" s="196"/>
      <c r="C49" s="196"/>
      <c r="D49" s="196"/>
      <c r="E49" s="196"/>
      <c r="F49" s="196"/>
      <c r="G49" s="196"/>
      <c r="H49" s="196"/>
      <c r="I49" s="1029"/>
      <c r="J49" s="196"/>
      <c r="K49" s="196"/>
      <c r="L49" s="196"/>
      <c r="M49" s="197"/>
      <c r="N49" s="196"/>
      <c r="O49" s="234"/>
      <c r="P49" s="234"/>
      <c r="Q49" s="196"/>
      <c r="R49" s="196"/>
      <c r="S49" s="196"/>
      <c r="T49" s="196"/>
      <c r="U49" s="196"/>
      <c r="V49" s="196"/>
      <c r="W49" s="196"/>
      <c r="X49" s="196"/>
      <c r="Y49" s="1033"/>
      <c r="Z49" s="196"/>
      <c r="AA49" s="196"/>
      <c r="AB49" s="197"/>
      <c r="AC49" s="197"/>
      <c r="AD49" s="197"/>
      <c r="AE49" s="197"/>
      <c r="AF49" s="197"/>
      <c r="AG49" s="197"/>
      <c r="AH49" s="201" t="s">
        <v>587</v>
      </c>
      <c r="AI49" s="196"/>
      <c r="AJ49" s="196"/>
      <c r="AK49" s="196"/>
      <c r="AL49" s="196"/>
      <c r="AM49" s="196"/>
      <c r="AN49" s="196"/>
      <c r="AO49" s="196"/>
      <c r="AP49" s="196"/>
      <c r="AQ49" s="196"/>
      <c r="AR49" s="196"/>
      <c r="AS49" s="196"/>
      <c r="AT49" s="196"/>
      <c r="AU49" s="196"/>
      <c r="AV49" s="196"/>
      <c r="AW49" s="197"/>
      <c r="AX49" s="197"/>
      <c r="AY49" s="197"/>
      <c r="AZ49" s="196"/>
      <c r="BA49" s="229"/>
      <c r="BB49" s="210"/>
      <c r="BC49" s="211"/>
      <c r="BD49" s="206"/>
      <c r="BE49" s="196"/>
      <c r="BF49" s="196"/>
      <c r="BG49" s="196"/>
      <c r="BH49" s="196"/>
      <c r="BI49" s="196"/>
      <c r="BJ49" s="196"/>
      <c r="BK49" s="196"/>
      <c r="BL49" s="196"/>
      <c r="BM49" s="196"/>
      <c r="BN49" s="196"/>
      <c r="BO49" s="196"/>
      <c r="BP49" s="196"/>
      <c r="BQ49" s="196"/>
      <c r="BR49" s="196"/>
      <c r="BS49" s="196"/>
      <c r="BT49" s="196"/>
      <c r="BU49" s="196"/>
      <c r="BV49" s="196"/>
      <c r="BW49" s="196"/>
      <c r="BX49" s="197"/>
      <c r="BY49" s="197"/>
      <c r="BZ49" s="197"/>
      <c r="CA49" s="197"/>
      <c r="CB49" s="197"/>
      <c r="CC49" s="197"/>
      <c r="CD49" s="196"/>
      <c r="CE49" s="196"/>
      <c r="CF49" s="202"/>
      <c r="CG49" s="196"/>
      <c r="CH49" s="196"/>
      <c r="CI49" s="197"/>
      <c r="CJ49" s="197"/>
      <c r="CK49" s="197"/>
      <c r="CL49" s="197"/>
      <c r="CM49" s="197"/>
      <c r="CN49" s="197"/>
      <c r="CO49" s="197"/>
      <c r="CP49" s="197"/>
      <c r="CQ49" s="197"/>
      <c r="CR49" s="197"/>
      <c r="CS49" s="197"/>
      <c r="CT49" s="197"/>
      <c r="CU49" s="197"/>
      <c r="CV49" s="197"/>
      <c r="CW49" s="197"/>
      <c r="CX49" s="604"/>
    </row>
    <row r="50" spans="1:102" x14ac:dyDescent="0.25">
      <c r="A50" s="602"/>
      <c r="B50" s="196"/>
      <c r="C50" s="196"/>
      <c r="D50" s="196"/>
      <c r="E50" s="196"/>
      <c r="F50" s="196"/>
      <c r="G50" s="196"/>
      <c r="H50" s="196"/>
      <c r="I50" s="1029"/>
      <c r="J50" s="196"/>
      <c r="K50" s="196"/>
      <c r="L50" s="196"/>
      <c r="M50" s="197"/>
      <c r="N50" s="221"/>
      <c r="O50" s="221"/>
      <c r="P50" s="221"/>
      <c r="Q50" s="196"/>
      <c r="R50" s="196"/>
      <c r="S50" s="196"/>
      <c r="T50" s="196"/>
      <c r="U50" s="196"/>
      <c r="V50" s="196"/>
      <c r="W50" s="196"/>
      <c r="X50" s="196"/>
      <c r="Y50" s="196"/>
      <c r="Z50" s="196"/>
      <c r="AA50" s="196"/>
      <c r="AB50" s="197"/>
      <c r="AC50" s="197"/>
      <c r="AD50" s="197"/>
      <c r="AE50" s="197"/>
      <c r="AF50" s="197"/>
      <c r="AG50" s="197"/>
      <c r="AH50" s="197"/>
      <c r="AI50" s="196"/>
      <c r="AJ50" s="196"/>
      <c r="AK50" s="196"/>
      <c r="AL50" s="196"/>
      <c r="AM50" s="196"/>
      <c r="AN50" s="196"/>
      <c r="AO50" s="196"/>
      <c r="AP50" s="196"/>
      <c r="AQ50" s="196"/>
      <c r="AR50" s="196"/>
      <c r="AS50" s="196"/>
      <c r="AT50" s="196"/>
      <c r="AU50" s="196"/>
      <c r="AV50" s="196"/>
      <c r="AW50" s="197"/>
      <c r="AX50" s="197"/>
      <c r="AY50" s="197"/>
      <c r="AZ50" s="230"/>
      <c r="BA50" s="230"/>
      <c r="BB50" s="197"/>
      <c r="BC50" s="197"/>
      <c r="BD50" s="196"/>
      <c r="BE50" s="196"/>
      <c r="BF50" s="196"/>
      <c r="BG50" s="196"/>
      <c r="BH50" s="196"/>
      <c r="BI50" s="196"/>
      <c r="BJ50" s="196"/>
      <c r="BK50" s="196"/>
      <c r="BL50" s="196"/>
      <c r="BM50" s="196"/>
      <c r="BN50" s="196"/>
      <c r="BO50" s="196"/>
      <c r="BP50" s="196"/>
      <c r="BQ50" s="196"/>
      <c r="BR50" s="196"/>
      <c r="BS50" s="196"/>
      <c r="BT50" s="196"/>
      <c r="BU50" s="196"/>
      <c r="BV50" s="196"/>
      <c r="BW50" s="196"/>
      <c r="BX50" s="197"/>
      <c r="BY50" s="197"/>
      <c r="BZ50" s="197"/>
      <c r="CA50" s="197"/>
      <c r="CB50" s="197"/>
      <c r="CC50" s="197"/>
      <c r="CD50" s="196"/>
      <c r="CE50" s="196"/>
      <c r="CF50" s="196"/>
      <c r="CG50" s="196"/>
      <c r="CH50" s="196"/>
      <c r="CI50" s="197"/>
      <c r="CJ50" s="197"/>
      <c r="CK50" s="197"/>
      <c r="CL50" s="197"/>
      <c r="CM50" s="197"/>
      <c r="CN50" s="197"/>
      <c r="CO50" s="197"/>
      <c r="CP50" s="197"/>
      <c r="CQ50" s="197"/>
      <c r="CR50" s="197"/>
      <c r="CS50" s="197"/>
      <c r="CT50" s="197"/>
      <c r="CU50" s="197"/>
      <c r="CV50" s="197"/>
      <c r="CW50" s="197"/>
      <c r="CX50" s="604"/>
    </row>
    <row r="51" spans="1:102" x14ac:dyDescent="0.25">
      <c r="A51" s="602"/>
      <c r="B51" s="196"/>
      <c r="C51" s="196"/>
      <c r="D51" s="196"/>
      <c r="E51" s="196"/>
      <c r="F51" s="196"/>
      <c r="G51" s="196"/>
      <c r="H51" s="196"/>
      <c r="I51" s="196"/>
      <c r="J51" s="196"/>
      <c r="K51" s="196"/>
      <c r="L51" s="196"/>
      <c r="M51" s="196"/>
      <c r="N51" s="196"/>
      <c r="O51" s="196"/>
      <c r="P51" s="196"/>
      <c r="Q51" s="196"/>
      <c r="R51" s="196"/>
      <c r="S51" s="196"/>
      <c r="T51" s="196"/>
      <c r="U51" s="196"/>
      <c r="V51" s="196"/>
      <c r="W51" s="196"/>
      <c r="X51" s="196"/>
      <c r="Y51" s="196"/>
      <c r="Z51" s="196"/>
      <c r="AA51" s="249"/>
      <c r="AB51" s="197"/>
      <c r="AC51" s="197"/>
      <c r="AD51" s="197"/>
      <c r="AE51" s="197"/>
      <c r="AF51" s="196"/>
      <c r="AG51" s="197"/>
      <c r="AH51" s="196"/>
      <c r="AI51" s="196"/>
      <c r="AJ51" s="196"/>
      <c r="AK51" s="196"/>
      <c r="AL51" s="196"/>
      <c r="AM51" s="196"/>
      <c r="AN51" s="196"/>
      <c r="AO51" s="196"/>
      <c r="AP51" s="196"/>
      <c r="AQ51" s="196"/>
      <c r="AR51" s="196"/>
      <c r="AS51" s="196"/>
      <c r="AT51" s="196"/>
      <c r="AU51" s="196"/>
      <c r="AV51" s="196"/>
      <c r="AW51" s="196"/>
      <c r="AX51" s="197"/>
      <c r="AY51" s="196"/>
      <c r="AZ51" s="221"/>
      <c r="BA51" s="221"/>
      <c r="BB51" s="197"/>
      <c r="BC51" s="197"/>
      <c r="BD51" s="196"/>
      <c r="BE51" s="196"/>
      <c r="BF51" s="196"/>
      <c r="BG51" s="196"/>
      <c r="BH51" s="196"/>
      <c r="BI51" s="196"/>
      <c r="BJ51" s="196"/>
      <c r="BK51" s="196"/>
      <c r="BL51" s="196"/>
      <c r="BM51" s="196"/>
      <c r="BN51" s="196"/>
      <c r="BO51" s="196"/>
      <c r="BP51" s="196"/>
      <c r="BQ51" s="196"/>
      <c r="BR51" s="196"/>
      <c r="BS51" s="196"/>
      <c r="BT51" s="196"/>
      <c r="BU51" s="196"/>
      <c r="BV51" s="196"/>
      <c r="BW51" s="196"/>
      <c r="BX51" s="197"/>
      <c r="BY51" s="197"/>
      <c r="BZ51" s="197"/>
      <c r="CA51" s="197"/>
      <c r="CB51" s="197"/>
      <c r="CC51" s="197"/>
      <c r="CD51" s="197"/>
      <c r="CE51" s="197"/>
      <c r="CF51" s="197"/>
      <c r="CG51" s="197"/>
      <c r="CH51" s="197"/>
      <c r="CI51" s="197"/>
      <c r="CJ51" s="197"/>
      <c r="CK51" s="197"/>
      <c r="CL51" s="197"/>
      <c r="CM51" s="197"/>
      <c r="CN51" s="197"/>
      <c r="CO51" s="197"/>
      <c r="CP51" s="197"/>
      <c r="CQ51" s="197"/>
      <c r="CR51" s="197"/>
      <c r="CS51" s="197"/>
      <c r="CT51" s="197"/>
      <c r="CU51" s="202"/>
      <c r="CV51" s="202"/>
      <c r="CW51" s="202"/>
      <c r="CX51" s="604"/>
    </row>
    <row r="52" spans="1:102" x14ac:dyDescent="0.25">
      <c r="A52" s="602"/>
      <c r="B52" s="212"/>
      <c r="C52" s="212"/>
      <c r="D52" s="196"/>
      <c r="E52" s="213"/>
      <c r="F52" s="196"/>
      <c r="G52" s="196"/>
      <c r="H52" s="196"/>
      <c r="I52" s="196"/>
      <c r="J52" s="196"/>
      <c r="K52" s="196"/>
      <c r="L52" s="196"/>
      <c r="M52" s="196"/>
      <c r="N52" s="196"/>
      <c r="O52" s="196"/>
      <c r="P52" s="196"/>
      <c r="Q52" s="196"/>
      <c r="R52" s="196"/>
      <c r="S52" s="196"/>
      <c r="T52" s="196"/>
      <c r="U52" s="196"/>
      <c r="V52" s="196"/>
      <c r="W52" s="196"/>
      <c r="X52" s="196"/>
      <c r="Y52" s="196"/>
      <c r="Z52" s="196"/>
      <c r="AA52" s="196"/>
      <c r="AB52" s="197"/>
      <c r="AC52" s="197"/>
      <c r="AD52" s="197"/>
      <c r="AE52" s="197"/>
      <c r="AF52" s="197"/>
      <c r="AG52" s="196"/>
      <c r="AH52" s="196"/>
      <c r="AI52" s="196"/>
      <c r="AJ52" s="196"/>
      <c r="AK52" s="196"/>
      <c r="AL52" s="196"/>
      <c r="AM52" s="196"/>
      <c r="AN52" s="196"/>
      <c r="AO52" s="196"/>
      <c r="AP52" s="196"/>
      <c r="AQ52" s="196"/>
      <c r="AR52" s="196"/>
      <c r="AS52" s="196"/>
      <c r="AT52" s="196"/>
      <c r="AU52" s="196"/>
      <c r="AV52" s="196"/>
      <c r="AW52" s="197"/>
      <c r="AX52" s="197"/>
      <c r="AY52" s="234"/>
      <c r="AZ52" s="234"/>
      <c r="BA52" s="234"/>
      <c r="BB52" s="197"/>
      <c r="BC52" s="197"/>
      <c r="BD52" s="196"/>
      <c r="BE52" s="196"/>
      <c r="BF52" s="196"/>
      <c r="BG52" s="196"/>
      <c r="BH52" s="196"/>
      <c r="BI52" s="196"/>
      <c r="BJ52" s="196"/>
      <c r="BK52" s="196"/>
      <c r="BL52" s="196"/>
      <c r="BM52" s="196"/>
      <c r="BN52" s="196"/>
      <c r="BO52" s="195"/>
      <c r="BP52" s="196"/>
      <c r="BQ52" s="196"/>
      <c r="BR52" s="196"/>
      <c r="BS52" s="196"/>
      <c r="BT52" s="196"/>
      <c r="BU52" s="196"/>
      <c r="BV52" s="196"/>
      <c r="BW52" s="196"/>
      <c r="BX52" s="197"/>
      <c r="BY52" s="197"/>
      <c r="BZ52" s="196"/>
      <c r="CA52" s="197"/>
      <c r="CB52" s="197"/>
      <c r="CC52" s="196"/>
      <c r="CD52" s="234"/>
      <c r="CE52" s="234"/>
      <c r="CF52" s="196"/>
      <c r="CG52" s="197"/>
      <c r="CH52" s="197"/>
      <c r="CI52" s="197"/>
      <c r="CJ52" s="197"/>
      <c r="CK52" s="197"/>
      <c r="CL52" s="197"/>
      <c r="CM52" s="197"/>
      <c r="CN52" s="197"/>
      <c r="CO52" s="197"/>
      <c r="CP52" s="197"/>
      <c r="CQ52" s="197"/>
      <c r="CR52" s="196"/>
      <c r="CS52" s="228"/>
      <c r="CT52" s="228"/>
      <c r="CU52" s="200"/>
      <c r="CV52" s="200"/>
      <c r="CW52" s="200"/>
      <c r="CX52" s="604"/>
    </row>
    <row r="53" spans="1:102" x14ac:dyDescent="0.25">
      <c r="A53" s="602"/>
      <c r="B53" s="196"/>
      <c r="C53" s="221"/>
      <c r="D53" s="213"/>
      <c r="E53" s="221"/>
      <c r="F53" s="213"/>
      <c r="G53" s="213"/>
      <c r="H53" s="196"/>
      <c r="I53" s="196"/>
      <c r="J53" s="196"/>
      <c r="K53" s="196"/>
      <c r="L53" s="196"/>
      <c r="M53" s="196"/>
      <c r="N53" s="196"/>
      <c r="O53" s="196"/>
      <c r="P53" s="196"/>
      <c r="Q53" s="196"/>
      <c r="R53" s="196"/>
      <c r="S53" s="196"/>
      <c r="T53" s="196"/>
      <c r="U53" s="196"/>
      <c r="V53" s="196"/>
      <c r="W53" s="196"/>
      <c r="X53" s="196"/>
      <c r="Y53" s="196"/>
      <c r="Z53" s="196"/>
      <c r="AA53" s="196"/>
      <c r="AB53" s="197"/>
      <c r="AC53" s="197"/>
      <c r="AD53" s="197"/>
      <c r="AE53" s="197"/>
      <c r="AF53" s="197"/>
      <c r="AG53" s="196"/>
      <c r="AH53" s="196"/>
      <c r="AI53" s="196"/>
      <c r="AJ53" s="196"/>
      <c r="AK53" s="196"/>
      <c r="AL53" s="196"/>
      <c r="AM53" s="196"/>
      <c r="AN53" s="196"/>
      <c r="AO53" s="196"/>
      <c r="AP53" s="196"/>
      <c r="AQ53" s="196"/>
      <c r="AR53" s="196"/>
      <c r="AS53" s="196"/>
      <c r="AT53" s="196"/>
      <c r="AU53" s="196"/>
      <c r="AV53" s="196"/>
      <c r="AW53" s="197"/>
      <c r="AX53" s="197"/>
      <c r="AY53" s="236"/>
      <c r="AZ53" s="236"/>
      <c r="BA53" s="236"/>
      <c r="BB53" s="197"/>
      <c r="BC53" s="197"/>
      <c r="BD53" s="196"/>
      <c r="BE53" s="196"/>
      <c r="BF53" s="196"/>
      <c r="BG53" s="196"/>
      <c r="BH53" s="196"/>
      <c r="BI53" s="196"/>
      <c r="BJ53" s="196"/>
      <c r="BK53" s="196"/>
      <c r="BL53" s="196"/>
      <c r="BM53" s="196"/>
      <c r="BN53" s="196"/>
      <c r="BO53" s="241"/>
      <c r="BP53" s="241"/>
      <c r="BQ53" s="241"/>
      <c r="BR53" s="196"/>
      <c r="BS53" s="196"/>
      <c r="BT53" s="196"/>
      <c r="BU53" s="196"/>
      <c r="BV53" s="196"/>
      <c r="BW53" s="197"/>
      <c r="BX53" s="197"/>
      <c r="BY53" s="197"/>
      <c r="BZ53" s="197"/>
      <c r="CA53" s="197"/>
      <c r="CB53" s="197"/>
      <c r="CC53" s="196"/>
      <c r="CD53" s="236"/>
      <c r="CE53" s="236"/>
      <c r="CF53" s="196"/>
      <c r="CG53" s="197"/>
      <c r="CH53" s="197"/>
      <c r="CI53" s="197"/>
      <c r="CJ53" s="197"/>
      <c r="CK53" s="197"/>
      <c r="CL53" s="197"/>
      <c r="CM53" s="197"/>
      <c r="CN53" s="197"/>
      <c r="CO53" s="197"/>
      <c r="CP53" s="197"/>
      <c r="CQ53" s="197"/>
      <c r="CR53" s="196"/>
      <c r="CS53" s="200"/>
      <c r="CT53" s="228"/>
      <c r="CU53" s="200"/>
      <c r="CV53" s="200"/>
      <c r="CW53" s="200"/>
      <c r="CX53" s="604"/>
    </row>
    <row r="54" spans="1:102" x14ac:dyDescent="0.25">
      <c r="A54" s="602"/>
      <c r="B54" s="196"/>
      <c r="C54" s="236"/>
      <c r="D54" s="236"/>
      <c r="E54" s="196"/>
      <c r="F54" s="197"/>
      <c r="G54" s="214"/>
      <c r="H54" s="197"/>
      <c r="I54" s="196"/>
      <c r="J54" s="196"/>
      <c r="K54" s="196"/>
      <c r="L54" s="196"/>
      <c r="M54" s="196"/>
      <c r="N54" s="196"/>
      <c r="O54" s="196"/>
      <c r="P54" s="196"/>
      <c r="Q54" s="196"/>
      <c r="R54" s="196"/>
      <c r="S54" s="196"/>
      <c r="T54" s="196"/>
      <c r="U54" s="196"/>
      <c r="V54" s="196"/>
      <c r="W54" s="196"/>
      <c r="X54" s="196"/>
      <c r="Y54" s="196"/>
      <c r="Z54" s="196"/>
      <c r="AA54" s="196"/>
      <c r="AB54" s="197"/>
      <c r="AC54" s="196"/>
      <c r="AD54" s="196"/>
      <c r="AE54" s="197"/>
      <c r="AF54" s="197"/>
      <c r="AG54" s="196"/>
      <c r="AH54" s="196"/>
      <c r="AI54" s="196"/>
      <c r="AJ54" s="196"/>
      <c r="AK54" s="196"/>
      <c r="AL54" s="196"/>
      <c r="AM54" s="196"/>
      <c r="AN54" s="196"/>
      <c r="AO54" s="196"/>
      <c r="AP54" s="196"/>
      <c r="AQ54" s="195"/>
      <c r="AR54" s="196"/>
      <c r="AS54" s="196"/>
      <c r="AT54" s="196"/>
      <c r="AU54" s="196"/>
      <c r="AV54" s="196"/>
      <c r="AW54" s="197"/>
      <c r="AX54" s="197"/>
      <c r="AY54" s="229"/>
      <c r="AZ54" s="229"/>
      <c r="BA54" s="229"/>
      <c r="BB54" s="196"/>
      <c r="BC54" s="196"/>
      <c r="BD54" s="196"/>
      <c r="BE54" s="196"/>
      <c r="BF54" s="196"/>
      <c r="BG54" s="196"/>
      <c r="BH54" s="196"/>
      <c r="BI54" s="196"/>
      <c r="BJ54" s="196"/>
      <c r="BK54" s="196"/>
      <c r="BL54" s="196"/>
      <c r="BM54" s="196"/>
      <c r="BN54" s="196"/>
      <c r="BO54" s="196"/>
      <c r="BP54" s="197"/>
      <c r="BQ54" s="196"/>
      <c r="BR54" s="196"/>
      <c r="BS54" s="195"/>
      <c r="BT54" s="196"/>
      <c r="BU54" s="196"/>
      <c r="BV54" s="196"/>
      <c r="BW54" s="197"/>
      <c r="BX54" s="197"/>
      <c r="BY54" s="197"/>
      <c r="BZ54" s="197"/>
      <c r="CA54" s="197"/>
      <c r="CB54" s="197"/>
      <c r="CC54" s="196"/>
      <c r="CD54" s="229"/>
      <c r="CE54" s="229"/>
      <c r="CF54" s="196"/>
      <c r="CG54" s="197"/>
      <c r="CH54" s="197"/>
      <c r="CI54" s="197"/>
      <c r="CJ54" s="197"/>
      <c r="CK54" s="197"/>
      <c r="CL54" s="197"/>
      <c r="CM54" s="197"/>
      <c r="CN54" s="197"/>
      <c r="CO54" s="197"/>
      <c r="CP54" s="197"/>
      <c r="CQ54" s="197"/>
      <c r="CR54" s="199"/>
      <c r="CS54" s="200"/>
      <c r="CT54" s="228"/>
      <c r="CU54" s="200"/>
      <c r="CV54" s="200"/>
      <c r="CW54" s="200"/>
      <c r="CX54" s="604"/>
    </row>
    <row r="55" spans="1:102" x14ac:dyDescent="0.25">
      <c r="A55" s="602"/>
      <c r="B55" s="196"/>
      <c r="C55" s="229"/>
      <c r="D55" s="229"/>
      <c r="E55" s="196"/>
      <c r="F55" s="197"/>
      <c r="G55" s="214"/>
      <c r="H55" s="197"/>
      <c r="I55" s="196"/>
      <c r="J55" s="196"/>
      <c r="K55" s="196"/>
      <c r="L55" s="196"/>
      <c r="M55" s="196"/>
      <c r="N55" s="196"/>
      <c r="O55" s="196"/>
      <c r="P55" s="196"/>
      <c r="Q55" s="196"/>
      <c r="R55" s="196"/>
      <c r="S55" s="196"/>
      <c r="T55" s="196"/>
      <c r="U55" s="196"/>
      <c r="V55" s="196"/>
      <c r="W55" s="196"/>
      <c r="X55" s="196"/>
      <c r="Y55" s="196"/>
      <c r="Z55" s="196"/>
      <c r="AA55" s="196"/>
      <c r="AB55" s="196"/>
      <c r="AC55" s="196"/>
      <c r="AD55" s="196"/>
      <c r="AE55" s="196"/>
      <c r="AF55" s="196"/>
      <c r="AG55" s="196"/>
      <c r="AH55" s="196"/>
      <c r="AI55" s="196"/>
      <c r="AJ55" s="196"/>
      <c r="AK55" s="196"/>
      <c r="AL55" s="196"/>
      <c r="AM55" s="196"/>
      <c r="AN55" s="196"/>
      <c r="AO55" s="196"/>
      <c r="AP55" s="196"/>
      <c r="AQ55" s="241"/>
      <c r="AR55" s="241"/>
      <c r="AS55" s="241"/>
      <c r="AT55" s="196"/>
      <c r="AU55" s="196"/>
      <c r="AV55" s="196"/>
      <c r="AW55" s="197"/>
      <c r="AX55" s="197"/>
      <c r="AY55" s="230"/>
      <c r="AZ55" s="230"/>
      <c r="BA55" s="230"/>
      <c r="BB55" s="197"/>
      <c r="BC55" s="197"/>
      <c r="BD55" s="197"/>
      <c r="BE55" s="196"/>
      <c r="BF55" s="196"/>
      <c r="BG55" s="196"/>
      <c r="BH55" s="197"/>
      <c r="BI55" s="196"/>
      <c r="BJ55" s="196"/>
      <c r="BK55" s="196"/>
      <c r="BL55" s="196"/>
      <c r="BM55" s="196"/>
      <c r="BN55" s="196"/>
      <c r="BO55" s="196"/>
      <c r="BP55" s="197"/>
      <c r="BQ55" s="197"/>
      <c r="BR55" s="196"/>
      <c r="BS55" s="196"/>
      <c r="BT55" s="196"/>
      <c r="BU55" s="196"/>
      <c r="BV55" s="196"/>
      <c r="BW55" s="196"/>
      <c r="BX55" s="197"/>
      <c r="BY55" s="197"/>
      <c r="BZ55" s="197"/>
      <c r="CA55" s="197"/>
      <c r="CB55" s="197"/>
      <c r="CC55" s="230"/>
      <c r="CD55" s="230"/>
      <c r="CE55" s="230"/>
      <c r="CF55" s="230"/>
      <c r="CG55" s="197"/>
      <c r="CH55" s="197"/>
      <c r="CI55" s="197"/>
      <c r="CJ55" s="197"/>
      <c r="CK55" s="197"/>
      <c r="CL55" s="197"/>
      <c r="CM55" s="197"/>
      <c r="CN55" s="197"/>
      <c r="CO55" s="197"/>
      <c r="CP55" s="197"/>
      <c r="CQ55" s="202"/>
      <c r="CR55" s="197"/>
      <c r="CS55" s="197"/>
      <c r="CT55" s="197"/>
      <c r="CU55" s="197"/>
      <c r="CV55" s="197"/>
      <c r="CW55" s="197"/>
      <c r="CX55" s="604"/>
    </row>
    <row r="56" spans="1:102" x14ac:dyDescent="0.25">
      <c r="A56" s="602"/>
      <c r="B56" s="230"/>
      <c r="C56" s="230"/>
      <c r="D56" s="230"/>
      <c r="E56" s="230"/>
      <c r="F56" s="197"/>
      <c r="G56" s="215"/>
      <c r="H56" s="197"/>
      <c r="I56" s="196"/>
      <c r="J56" s="196"/>
      <c r="K56" s="196"/>
      <c r="L56" s="196"/>
      <c r="M56" s="196"/>
      <c r="N56" s="196"/>
      <c r="O56" s="196"/>
      <c r="P56" s="196"/>
      <c r="Q56" s="196"/>
      <c r="R56" s="196"/>
      <c r="S56" s="196"/>
      <c r="T56" s="196"/>
      <c r="U56" s="196"/>
      <c r="V56" s="196"/>
      <c r="W56" s="196"/>
      <c r="X56" s="196"/>
      <c r="Y56" s="196"/>
      <c r="Z56" s="196"/>
      <c r="AA56" s="196"/>
      <c r="AB56" s="196"/>
      <c r="AC56" s="196"/>
      <c r="AD56" s="196"/>
      <c r="AE56" s="196"/>
      <c r="AF56" s="196"/>
      <c r="AG56" s="196"/>
      <c r="AH56" s="196"/>
      <c r="AI56" s="196"/>
      <c r="AJ56" s="196"/>
      <c r="AK56" s="196"/>
      <c r="AL56" s="196"/>
      <c r="AM56" s="196"/>
      <c r="AN56" s="196"/>
      <c r="AO56" s="196"/>
      <c r="AP56" s="196"/>
      <c r="AQ56" s="196"/>
      <c r="AR56" s="196"/>
      <c r="AS56" s="196"/>
      <c r="AT56" s="196"/>
      <c r="AU56" s="195"/>
      <c r="AV56" s="196"/>
      <c r="AW56" s="196"/>
      <c r="AX56" s="197"/>
      <c r="AY56" s="196"/>
      <c r="AZ56" s="197"/>
      <c r="BA56" s="197"/>
      <c r="BB56" s="197"/>
      <c r="BC56" s="197"/>
      <c r="BD56" s="197"/>
      <c r="BE56" s="196"/>
      <c r="BF56" s="196"/>
      <c r="BG56" s="196"/>
      <c r="BH56" s="197"/>
      <c r="BI56" s="196"/>
      <c r="BJ56" s="197"/>
      <c r="BK56" s="197"/>
      <c r="BL56" s="197"/>
      <c r="BM56" s="197"/>
      <c r="BN56" s="197"/>
      <c r="BO56" s="196"/>
      <c r="BP56" s="197"/>
      <c r="BQ56" s="197"/>
      <c r="BR56" s="196"/>
      <c r="BS56" s="196"/>
      <c r="BT56" s="196"/>
      <c r="BU56" s="196"/>
      <c r="BV56" s="196"/>
      <c r="BW56" s="196"/>
      <c r="BX56" s="197"/>
      <c r="BY56" s="197"/>
      <c r="BZ56" s="197"/>
      <c r="CA56" s="196"/>
      <c r="CB56" s="197"/>
      <c r="CC56" s="197"/>
      <c r="CD56" s="197"/>
      <c r="CE56" s="196"/>
      <c r="CF56" s="196"/>
      <c r="CG56" s="202"/>
      <c r="CH56" s="202"/>
      <c r="CI56" s="197"/>
      <c r="CJ56" s="197"/>
      <c r="CK56" s="197"/>
      <c r="CL56" s="196"/>
      <c r="CM56" s="229"/>
      <c r="CN56" s="229"/>
      <c r="CO56" s="196"/>
      <c r="CP56" s="197"/>
      <c r="CQ56" s="197"/>
      <c r="CR56" s="197"/>
      <c r="CS56" s="197"/>
      <c r="CT56" s="197"/>
      <c r="CU56" s="197"/>
      <c r="CV56" s="197"/>
      <c r="CW56" s="197"/>
      <c r="CX56" s="604"/>
    </row>
    <row r="57" spans="1:102" x14ac:dyDescent="0.25">
      <c r="A57" s="602"/>
      <c r="B57" s="196"/>
      <c r="C57" s="234"/>
      <c r="D57" s="234"/>
      <c r="E57" s="196"/>
      <c r="F57" s="197"/>
      <c r="G57" s="215"/>
      <c r="H57" s="197"/>
      <c r="I57" s="196"/>
      <c r="J57" s="196"/>
      <c r="K57" s="196"/>
      <c r="L57" s="196"/>
      <c r="M57" s="196"/>
      <c r="N57" s="196"/>
      <c r="O57" s="196"/>
      <c r="P57" s="196"/>
      <c r="Q57" s="196"/>
      <c r="R57" s="196"/>
      <c r="S57" s="196"/>
      <c r="T57" s="196"/>
      <c r="U57" s="196"/>
      <c r="V57" s="196"/>
      <c r="W57" s="196"/>
      <c r="X57" s="196"/>
      <c r="Y57" s="196"/>
      <c r="Z57" s="196"/>
      <c r="AA57" s="196"/>
      <c r="AB57" s="196"/>
      <c r="AC57" s="196"/>
      <c r="AD57" s="196"/>
      <c r="AE57" s="196"/>
      <c r="AF57" s="196"/>
      <c r="AG57" s="196"/>
      <c r="AH57" s="196"/>
      <c r="AI57" s="196"/>
      <c r="AJ57" s="196"/>
      <c r="AK57" s="196"/>
      <c r="AL57" s="196"/>
      <c r="AM57" s="196"/>
      <c r="AN57" s="196"/>
      <c r="AO57" s="196"/>
      <c r="AP57" s="196"/>
      <c r="AQ57" s="196"/>
      <c r="AR57" s="196"/>
      <c r="AS57" s="196"/>
      <c r="AT57" s="196"/>
      <c r="AU57" s="196"/>
      <c r="AV57" s="196"/>
      <c r="AW57" s="196"/>
      <c r="AX57" s="196"/>
      <c r="AY57" s="197"/>
      <c r="AZ57" s="197"/>
      <c r="BA57" s="197"/>
      <c r="BB57" s="197"/>
      <c r="BC57" s="197"/>
      <c r="BD57" s="197"/>
      <c r="BE57" s="196"/>
      <c r="BF57" s="196"/>
      <c r="BG57" s="196"/>
      <c r="BH57" s="197"/>
      <c r="BI57" s="196"/>
      <c r="BJ57" s="196"/>
      <c r="BK57" s="196"/>
      <c r="BL57" s="196"/>
      <c r="BM57" s="196"/>
      <c r="BN57" s="196"/>
      <c r="BO57" s="197"/>
      <c r="BP57" s="197"/>
      <c r="BQ57" s="196"/>
      <c r="BR57" s="196"/>
      <c r="BS57" s="196"/>
      <c r="BT57" s="196"/>
      <c r="BU57" s="196"/>
      <c r="BV57" s="196"/>
      <c r="BW57" s="196"/>
      <c r="BX57" s="197"/>
      <c r="BY57" s="197"/>
      <c r="BZ57" s="197"/>
      <c r="CA57" s="197"/>
      <c r="CB57" s="197"/>
      <c r="CC57" s="197"/>
      <c r="CD57" s="197"/>
      <c r="CE57" s="196"/>
      <c r="CF57" s="197"/>
      <c r="CG57" s="197"/>
      <c r="CH57" s="202"/>
      <c r="CI57" s="196"/>
      <c r="CJ57" s="202"/>
      <c r="CK57" s="197"/>
      <c r="CL57" s="230"/>
      <c r="CM57" s="230"/>
      <c r="CN57" s="230"/>
      <c r="CO57" s="230"/>
      <c r="CP57" s="197"/>
      <c r="CQ57" s="197"/>
      <c r="CR57" s="202"/>
      <c r="CS57" s="202"/>
      <c r="CT57" s="197"/>
      <c r="CU57" s="197"/>
      <c r="CV57" s="197"/>
      <c r="CW57" s="197"/>
      <c r="CX57" s="604"/>
    </row>
    <row r="58" spans="1:102" x14ac:dyDescent="0.25">
      <c r="A58" s="602"/>
      <c r="B58" s="196"/>
      <c r="C58" s="196"/>
      <c r="D58" s="221"/>
      <c r="E58" s="221"/>
      <c r="F58" s="196"/>
      <c r="G58" s="196"/>
      <c r="H58" s="196"/>
      <c r="I58" s="196"/>
      <c r="J58" s="196"/>
      <c r="K58" s="196"/>
      <c r="L58" s="196"/>
      <c r="M58" s="196"/>
      <c r="N58" s="196"/>
      <c r="O58" s="196"/>
      <c r="P58" s="196"/>
      <c r="Q58" s="196"/>
      <c r="R58" s="196"/>
      <c r="S58" s="196"/>
      <c r="T58" s="196"/>
      <c r="U58" s="196"/>
      <c r="V58" s="196"/>
      <c r="W58" s="196"/>
      <c r="X58" s="196"/>
      <c r="Y58" s="195"/>
      <c r="Z58" s="196"/>
      <c r="AA58" s="196"/>
      <c r="AB58" s="196"/>
      <c r="AC58" s="196"/>
      <c r="AD58" s="196"/>
      <c r="AE58" s="196"/>
      <c r="AF58" s="196"/>
      <c r="AG58" s="196"/>
      <c r="AH58" s="197"/>
      <c r="AI58" s="197"/>
      <c r="AJ58" s="197"/>
      <c r="AK58" s="197"/>
      <c r="AL58" s="197"/>
      <c r="AM58" s="197"/>
      <c r="AN58" s="197"/>
      <c r="AO58" s="196"/>
      <c r="AP58" s="196"/>
      <c r="AQ58" s="196"/>
      <c r="AR58" s="196"/>
      <c r="AS58" s="196"/>
      <c r="AT58" s="196"/>
      <c r="AU58" s="196"/>
      <c r="AV58" s="196"/>
      <c r="AW58" s="196"/>
      <c r="AX58" s="196"/>
      <c r="AY58" s="197"/>
      <c r="AZ58" s="197"/>
      <c r="BA58" s="196"/>
      <c r="BB58" s="196"/>
      <c r="BC58" s="196"/>
      <c r="BD58" s="196"/>
      <c r="BE58" s="196"/>
      <c r="BF58" s="196"/>
      <c r="BG58" s="196"/>
      <c r="BH58" s="197"/>
      <c r="BI58" s="197"/>
      <c r="BJ58" s="196"/>
      <c r="BK58" s="196"/>
      <c r="BL58" s="196"/>
      <c r="BM58" s="196"/>
      <c r="BN58" s="196"/>
      <c r="BO58" s="197"/>
      <c r="BP58" s="197"/>
      <c r="BQ58" s="196"/>
      <c r="BR58" s="196"/>
      <c r="BS58" s="196"/>
      <c r="BT58" s="196"/>
      <c r="BU58" s="196"/>
      <c r="BV58" s="196"/>
      <c r="BW58" s="196"/>
      <c r="BX58" s="197"/>
      <c r="BY58" s="197"/>
      <c r="BZ58" s="197"/>
      <c r="CA58" s="197"/>
      <c r="CB58" s="197"/>
      <c r="CC58" s="196"/>
      <c r="CD58" s="197"/>
      <c r="CE58" s="196"/>
      <c r="CF58" s="196"/>
      <c r="CG58" s="202"/>
      <c r="CH58" s="196"/>
      <c r="CI58" s="196"/>
      <c r="CJ58" s="197"/>
      <c r="CK58" s="197"/>
      <c r="CL58" s="221"/>
      <c r="CM58" s="221"/>
      <c r="CN58" s="221"/>
      <c r="CO58" s="221"/>
      <c r="CP58" s="197"/>
      <c r="CQ58" s="197"/>
      <c r="CR58" s="197"/>
      <c r="CS58" s="197"/>
      <c r="CT58" s="202"/>
      <c r="CU58" s="202"/>
      <c r="CV58" s="202"/>
      <c r="CW58" s="202"/>
      <c r="CX58" s="604"/>
    </row>
    <row r="59" spans="1:102" x14ac:dyDescent="0.25">
      <c r="A59" s="602"/>
      <c r="B59" s="196"/>
      <c r="C59" s="196"/>
      <c r="D59" s="196"/>
      <c r="E59" s="196"/>
      <c r="F59" s="196"/>
      <c r="G59" s="196"/>
      <c r="H59" s="196"/>
      <c r="I59" s="196"/>
      <c r="J59" s="196"/>
      <c r="K59" s="196"/>
      <c r="L59" s="196"/>
      <c r="M59" s="196"/>
      <c r="N59" s="196"/>
      <c r="O59" s="196"/>
      <c r="P59" s="196"/>
      <c r="Q59" s="196"/>
      <c r="R59" s="196"/>
      <c r="S59" s="196"/>
      <c r="T59" s="196"/>
      <c r="U59" s="196"/>
      <c r="V59" s="196"/>
      <c r="W59" s="196"/>
      <c r="X59" s="196"/>
      <c r="Y59" s="241"/>
      <c r="Z59" s="241"/>
      <c r="AA59" s="241"/>
      <c r="AB59" s="496"/>
      <c r="AC59" s="250"/>
      <c r="AD59" s="250"/>
      <c r="AE59" s="250"/>
      <c r="AF59" s="250"/>
      <c r="AG59" s="250"/>
      <c r="AH59" s="250"/>
      <c r="AI59" s="250"/>
      <c r="AJ59" s="250"/>
      <c r="AK59" s="196"/>
      <c r="AL59" s="196"/>
      <c r="AM59" s="196"/>
      <c r="AN59" s="196"/>
      <c r="AO59" s="197"/>
      <c r="AP59" s="197"/>
      <c r="AQ59" s="196"/>
      <c r="AR59" s="196"/>
      <c r="AS59" s="196"/>
      <c r="AT59" s="196"/>
      <c r="AU59" s="196"/>
      <c r="AV59" s="196"/>
      <c r="AW59" s="196"/>
      <c r="AX59" s="196"/>
      <c r="AY59" s="197"/>
      <c r="AZ59" s="197"/>
      <c r="BA59" s="196"/>
      <c r="BB59" s="196"/>
      <c r="BC59" s="196"/>
      <c r="BD59" s="196"/>
      <c r="BE59" s="196"/>
      <c r="BF59" s="196"/>
      <c r="BG59" s="196"/>
      <c r="BH59" s="197"/>
      <c r="BI59" s="196"/>
      <c r="BJ59" s="196"/>
      <c r="BK59" s="196"/>
      <c r="BL59" s="196"/>
      <c r="BM59" s="196"/>
      <c r="BN59" s="196"/>
      <c r="BO59" s="196"/>
      <c r="BP59" s="197"/>
      <c r="BQ59" s="197"/>
      <c r="BR59" s="196"/>
      <c r="BS59" s="234"/>
      <c r="BT59" s="234"/>
      <c r="BU59" s="196"/>
      <c r="BV59" s="197"/>
      <c r="BW59" s="196"/>
      <c r="BX59" s="197"/>
      <c r="BY59" s="197"/>
      <c r="BZ59" s="197"/>
      <c r="CA59" s="197"/>
      <c r="CB59" s="197"/>
      <c r="CC59" s="197"/>
      <c r="CD59" s="197"/>
      <c r="CE59" s="196"/>
      <c r="CF59" s="196"/>
      <c r="CG59" s="196"/>
      <c r="CH59" s="196"/>
      <c r="CI59" s="197"/>
      <c r="CJ59" s="197"/>
      <c r="CK59" s="197"/>
      <c r="CL59" s="196"/>
      <c r="CM59" s="197"/>
      <c r="CN59" s="197"/>
      <c r="CO59" s="197"/>
      <c r="CP59" s="197"/>
      <c r="CQ59" s="197"/>
      <c r="CR59" s="202"/>
      <c r="CS59" s="202"/>
      <c r="CT59" s="202"/>
      <c r="CU59" s="202"/>
      <c r="CV59" s="202"/>
      <c r="CW59" s="202"/>
      <c r="CX59" s="604"/>
    </row>
    <row r="60" spans="1:102" x14ac:dyDescent="0.25">
      <c r="A60" s="602"/>
      <c r="B60" s="212"/>
      <c r="C60" s="196"/>
      <c r="D60" s="196"/>
      <c r="E60" s="196"/>
      <c r="F60" s="196"/>
      <c r="G60" s="196"/>
      <c r="H60" s="196"/>
      <c r="I60" s="196"/>
      <c r="J60" s="196"/>
      <c r="K60" s="196"/>
      <c r="L60" s="196"/>
      <c r="M60" s="196"/>
      <c r="N60" s="196"/>
      <c r="O60" s="196"/>
      <c r="P60" s="196"/>
      <c r="Q60" s="196"/>
      <c r="R60" s="196"/>
      <c r="S60" s="196"/>
      <c r="T60" s="196"/>
      <c r="U60" s="196"/>
      <c r="V60" s="196"/>
      <c r="W60" s="196"/>
      <c r="X60" s="196"/>
      <c r="Y60" s="196"/>
      <c r="Z60" s="196"/>
      <c r="AA60" s="196"/>
      <c r="AB60" s="196"/>
      <c r="AC60" s="196"/>
      <c r="AD60" s="195"/>
      <c r="AE60" s="196"/>
      <c r="AF60" s="196"/>
      <c r="AG60" s="196"/>
      <c r="AH60" s="196"/>
      <c r="AI60" s="196"/>
      <c r="AJ60" s="196"/>
      <c r="AK60" s="196"/>
      <c r="AL60" s="196"/>
      <c r="AM60" s="196"/>
      <c r="AN60" s="196"/>
      <c r="AO60" s="197"/>
      <c r="AP60" s="197"/>
      <c r="AQ60" s="196"/>
      <c r="AR60" s="196"/>
      <c r="AS60" s="196"/>
      <c r="AT60" s="196"/>
      <c r="AU60" s="196"/>
      <c r="AV60" s="196"/>
      <c r="AW60" s="196"/>
      <c r="AX60" s="196"/>
      <c r="AY60" s="197"/>
      <c r="AZ60" s="197"/>
      <c r="BA60" s="196"/>
      <c r="BB60" s="196"/>
      <c r="BC60" s="196"/>
      <c r="BD60" s="196"/>
      <c r="BE60" s="196"/>
      <c r="BF60" s="196"/>
      <c r="BG60" s="196"/>
      <c r="BH60" s="197"/>
      <c r="BI60" s="247"/>
      <c r="BJ60" s="247"/>
      <c r="BK60" s="215"/>
      <c r="BL60" s="196"/>
      <c r="BM60" s="196"/>
      <c r="BN60" s="196"/>
      <c r="BO60" s="197"/>
      <c r="BP60" s="197"/>
      <c r="BQ60" s="197"/>
      <c r="BR60" s="196"/>
      <c r="BS60" s="236"/>
      <c r="BT60" s="236"/>
      <c r="BU60" s="196"/>
      <c r="BV60" s="197"/>
      <c r="BW60" s="196"/>
      <c r="BX60" s="196"/>
      <c r="BY60" s="196"/>
      <c r="BZ60" s="196"/>
      <c r="CA60" s="197"/>
      <c r="CB60" s="197"/>
      <c r="CC60" s="197"/>
      <c r="CD60" s="197"/>
      <c r="CE60" s="197"/>
      <c r="CF60" s="202"/>
      <c r="CG60" s="197"/>
      <c r="CH60" s="197"/>
      <c r="CI60" s="196"/>
      <c r="CJ60" s="229"/>
      <c r="CK60" s="229"/>
      <c r="CL60" s="196"/>
      <c r="CM60" s="197"/>
      <c r="CN60" s="197"/>
      <c r="CO60" s="197"/>
      <c r="CP60" s="196"/>
      <c r="CQ60" s="197"/>
      <c r="CR60" s="202"/>
      <c r="CS60" s="202"/>
      <c r="CT60" s="202"/>
      <c r="CU60" s="202"/>
      <c r="CV60" s="202"/>
      <c r="CW60" s="202"/>
      <c r="CX60" s="604"/>
    </row>
    <row r="61" spans="1:102" x14ac:dyDescent="0.25">
      <c r="A61" s="602"/>
      <c r="B61" s="251"/>
      <c r="C61" s="217"/>
      <c r="D61" s="217"/>
      <c r="E61" s="196"/>
      <c r="F61" s="196"/>
      <c r="G61" s="196"/>
      <c r="H61" s="196"/>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c r="AS61" s="197"/>
      <c r="AT61" s="197"/>
      <c r="AU61" s="197"/>
      <c r="AV61" s="197"/>
      <c r="AW61" s="197"/>
      <c r="AX61" s="196"/>
      <c r="AY61" s="196"/>
      <c r="AZ61" s="196"/>
      <c r="BA61" s="196"/>
      <c r="BB61" s="196"/>
      <c r="BC61" s="196"/>
      <c r="BD61" s="196"/>
      <c r="BE61" s="196"/>
      <c r="BF61" s="196"/>
      <c r="BG61" s="196"/>
      <c r="BH61" s="197"/>
      <c r="BI61" s="247"/>
      <c r="BJ61" s="247"/>
      <c r="BK61" s="247"/>
      <c r="BL61" s="196"/>
      <c r="BM61" s="196"/>
      <c r="BN61" s="196"/>
      <c r="BO61" s="196"/>
      <c r="BP61" s="197"/>
      <c r="BQ61" s="197"/>
      <c r="BR61" s="196"/>
      <c r="BS61" s="229"/>
      <c r="BT61" s="229"/>
      <c r="BU61" s="196"/>
      <c r="BV61" s="197"/>
      <c r="BW61" s="196"/>
      <c r="BX61" s="196"/>
      <c r="BY61" s="229"/>
      <c r="BZ61" s="197"/>
      <c r="CA61" s="197"/>
      <c r="CB61" s="197"/>
      <c r="CC61" s="197"/>
      <c r="CD61" s="197"/>
      <c r="CE61" s="197"/>
      <c r="CF61" s="196"/>
      <c r="CG61" s="206"/>
      <c r="CH61" s="197"/>
      <c r="CI61" s="230"/>
      <c r="CJ61" s="230"/>
      <c r="CK61" s="230"/>
      <c r="CL61" s="230"/>
      <c r="CM61" s="197"/>
      <c r="CN61" s="197"/>
      <c r="CO61" s="197"/>
      <c r="CP61" s="197"/>
      <c r="CQ61" s="197"/>
      <c r="CR61" s="202"/>
      <c r="CS61" s="202"/>
      <c r="CT61" s="202"/>
      <c r="CU61" s="202"/>
      <c r="CV61" s="202"/>
      <c r="CW61" s="202"/>
      <c r="CX61" s="604"/>
    </row>
    <row r="62" spans="1:102" x14ac:dyDescent="0.25">
      <c r="A62" s="602"/>
      <c r="B62" s="217"/>
      <c r="C62" s="217"/>
      <c r="D62" s="217"/>
      <c r="E62" s="196"/>
      <c r="F62" s="196"/>
      <c r="G62" s="196"/>
      <c r="H62" s="196"/>
      <c r="I62" s="196"/>
      <c r="J62" s="196"/>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c r="AS62" s="197"/>
      <c r="AT62" s="197"/>
      <c r="AU62" s="197"/>
      <c r="AV62" s="197"/>
      <c r="AW62" s="197"/>
      <c r="AX62" s="196"/>
      <c r="AY62" s="196"/>
      <c r="AZ62" s="196"/>
      <c r="BA62" s="196"/>
      <c r="BB62" s="196"/>
      <c r="BC62" s="196"/>
      <c r="BD62" s="196"/>
      <c r="BE62" s="196"/>
      <c r="BF62" s="196"/>
      <c r="BG62" s="196"/>
      <c r="BH62" s="197"/>
      <c r="BI62" s="197"/>
      <c r="BJ62" s="197"/>
      <c r="BK62" s="197"/>
      <c r="BL62" s="196"/>
      <c r="BM62" s="196"/>
      <c r="BN62" s="196"/>
      <c r="BO62" s="196"/>
      <c r="BP62" s="197"/>
      <c r="BQ62" s="197"/>
      <c r="BR62" s="230"/>
      <c r="BS62" s="230"/>
      <c r="BT62" s="230"/>
      <c r="BU62" s="230"/>
      <c r="BV62" s="197"/>
      <c r="BW62" s="196"/>
      <c r="BX62" s="230"/>
      <c r="BY62" s="230"/>
      <c r="BZ62" s="197"/>
      <c r="CA62" s="197"/>
      <c r="CB62" s="197"/>
      <c r="CC62" s="196"/>
      <c r="CD62" s="252"/>
      <c r="CE62" s="252"/>
      <c r="CF62" s="196"/>
      <c r="CG62" s="197"/>
      <c r="CH62" s="197"/>
      <c r="CI62" s="202"/>
      <c r="CJ62" s="202"/>
      <c r="CK62" s="202"/>
      <c r="CL62" s="202"/>
      <c r="CM62" s="197"/>
      <c r="CN62" s="197"/>
      <c r="CO62" s="197"/>
      <c r="CP62" s="197"/>
      <c r="CQ62" s="197"/>
      <c r="CR62" s="202"/>
      <c r="CS62" s="202"/>
      <c r="CT62" s="202"/>
      <c r="CU62" s="202"/>
      <c r="CV62" s="202"/>
      <c r="CW62" s="202"/>
      <c r="CX62" s="604"/>
    </row>
    <row r="63" spans="1:102" x14ac:dyDescent="0.25">
      <c r="A63" s="602"/>
      <c r="B63" s="251"/>
      <c r="C63" s="217"/>
      <c r="D63" s="217"/>
      <c r="E63" s="196"/>
      <c r="F63" s="196"/>
      <c r="G63" s="196"/>
      <c r="H63" s="196"/>
      <c r="I63" s="196"/>
      <c r="J63" s="196"/>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c r="AS63" s="197"/>
      <c r="AT63" s="197"/>
      <c r="AU63" s="197"/>
      <c r="AV63" s="197"/>
      <c r="AW63" s="197"/>
      <c r="AX63" s="196"/>
      <c r="AY63" s="196"/>
      <c r="AZ63" s="196"/>
      <c r="BA63" s="196"/>
      <c r="BB63" s="196"/>
      <c r="BC63" s="196"/>
      <c r="BD63" s="196"/>
      <c r="BE63" s="196"/>
      <c r="BF63" s="196"/>
      <c r="BG63" s="196"/>
      <c r="BH63" s="197"/>
      <c r="BI63" s="196"/>
      <c r="BJ63" s="197"/>
      <c r="BK63" s="196"/>
      <c r="BL63" s="196"/>
      <c r="BM63" s="196"/>
      <c r="BN63" s="196"/>
      <c r="BO63" s="196"/>
      <c r="BP63" s="197"/>
      <c r="BQ63" s="197"/>
      <c r="BR63" s="196"/>
      <c r="BS63" s="197"/>
      <c r="BT63" s="197"/>
      <c r="BU63" s="196"/>
      <c r="BV63" s="197"/>
      <c r="BW63" s="196"/>
      <c r="BX63" s="221"/>
      <c r="BY63" s="221"/>
      <c r="BZ63" s="197"/>
      <c r="CA63" s="197"/>
      <c r="CB63" s="197"/>
      <c r="CC63" s="196"/>
      <c r="CD63" s="196"/>
      <c r="CE63" s="197"/>
      <c r="CF63" s="196"/>
      <c r="CG63" s="197"/>
      <c r="CH63" s="197"/>
      <c r="CI63" s="202"/>
      <c r="CJ63" s="202"/>
      <c r="CK63" s="202"/>
      <c r="CL63" s="202"/>
      <c r="CM63" s="197"/>
      <c r="CN63" s="197"/>
      <c r="CO63" s="197"/>
      <c r="CP63" s="197"/>
      <c r="CQ63" s="196"/>
      <c r="CR63" s="202"/>
      <c r="CS63" s="202"/>
      <c r="CT63" s="202"/>
      <c r="CU63" s="202"/>
      <c r="CV63" s="202"/>
      <c r="CW63" s="202"/>
      <c r="CX63" s="604"/>
    </row>
    <row r="64" spans="1:102" x14ac:dyDescent="0.25">
      <c r="A64" s="602"/>
      <c r="B64" s="217"/>
      <c r="C64" s="217"/>
      <c r="D64" s="217"/>
      <c r="E64" s="196"/>
      <c r="F64" s="196"/>
      <c r="G64" s="196"/>
      <c r="H64" s="196"/>
      <c r="I64" s="196"/>
      <c r="J64" s="196"/>
      <c r="K64" s="196"/>
      <c r="L64" s="196"/>
      <c r="M64" s="196"/>
      <c r="N64" s="196"/>
      <c r="O64" s="196"/>
      <c r="P64" s="196"/>
      <c r="Q64" s="196"/>
      <c r="R64" s="196"/>
      <c r="S64" s="196"/>
      <c r="T64" s="196"/>
      <c r="U64" s="196"/>
      <c r="V64" s="196"/>
      <c r="W64" s="196"/>
      <c r="X64" s="196"/>
      <c r="Y64" s="196"/>
      <c r="Z64" s="196"/>
      <c r="AA64" s="195"/>
      <c r="AB64" s="196"/>
      <c r="AC64" s="196"/>
      <c r="AD64" s="196"/>
      <c r="AE64" s="196"/>
      <c r="AF64" s="196"/>
      <c r="AG64" s="196"/>
      <c r="AH64" s="196"/>
      <c r="AI64" s="196"/>
      <c r="AJ64" s="196"/>
      <c r="AK64" s="196"/>
      <c r="AL64" s="196"/>
      <c r="AM64" s="196"/>
      <c r="AN64" s="197"/>
      <c r="AO64" s="197"/>
      <c r="AP64" s="197"/>
      <c r="AQ64" s="197"/>
      <c r="AR64" s="196"/>
      <c r="AS64" s="197"/>
      <c r="AT64" s="197"/>
      <c r="AU64" s="197"/>
      <c r="AV64" s="197"/>
      <c r="AW64" s="197"/>
      <c r="AX64" s="196"/>
      <c r="AY64" s="196"/>
      <c r="AZ64" s="196"/>
      <c r="BA64" s="196"/>
      <c r="BB64" s="197"/>
      <c r="BC64" s="197"/>
      <c r="BD64" s="196"/>
      <c r="BE64" s="196"/>
      <c r="BF64" s="196"/>
      <c r="BG64" s="196"/>
      <c r="BH64" s="197"/>
      <c r="BI64" s="196"/>
      <c r="BJ64" s="197"/>
      <c r="BK64" s="196"/>
      <c r="BL64" s="196"/>
      <c r="BM64" s="196"/>
      <c r="BN64" s="196"/>
      <c r="BO64" s="196"/>
      <c r="BP64" s="197"/>
      <c r="BQ64" s="197"/>
      <c r="BR64" s="196"/>
      <c r="BS64" s="197"/>
      <c r="BT64" s="197"/>
      <c r="BU64" s="196"/>
      <c r="BV64" s="197"/>
      <c r="BW64" s="196"/>
      <c r="BX64" s="196"/>
      <c r="BY64" s="197"/>
      <c r="BZ64" s="197"/>
      <c r="CA64" s="197"/>
      <c r="CB64" s="197"/>
      <c r="CC64" s="196"/>
      <c r="CD64" s="196"/>
      <c r="CE64" s="195"/>
      <c r="CF64" s="196"/>
      <c r="CG64" s="197"/>
      <c r="CH64" s="195"/>
      <c r="CI64" s="197"/>
      <c r="CJ64" s="202"/>
      <c r="CK64" s="202"/>
      <c r="CL64" s="197"/>
      <c r="CM64" s="197"/>
      <c r="CN64" s="197"/>
      <c r="CO64" s="197"/>
      <c r="CP64" s="202"/>
      <c r="CQ64" s="202"/>
      <c r="CR64" s="202"/>
      <c r="CS64" s="202"/>
      <c r="CT64" s="202"/>
      <c r="CU64" s="202"/>
      <c r="CV64" s="202"/>
      <c r="CW64" s="202"/>
      <c r="CX64" s="604"/>
    </row>
    <row r="65" spans="1:102" ht="15.75" thickBot="1" x14ac:dyDescent="0.3">
      <c r="A65" s="605"/>
      <c r="B65" s="606"/>
      <c r="C65" s="606"/>
      <c r="D65" s="607"/>
      <c r="E65" s="606"/>
      <c r="F65" s="606"/>
      <c r="G65" s="606"/>
      <c r="H65" s="606"/>
      <c r="I65" s="606"/>
      <c r="J65" s="606"/>
      <c r="K65" s="606"/>
      <c r="L65" s="606"/>
      <c r="M65" s="606"/>
      <c r="N65" s="606"/>
      <c r="O65" s="606"/>
      <c r="P65" s="606"/>
      <c r="Q65" s="606"/>
      <c r="R65" s="606"/>
      <c r="S65" s="606"/>
      <c r="T65" s="606"/>
      <c r="U65" s="606"/>
      <c r="V65" s="606"/>
      <c r="W65" s="606"/>
      <c r="X65" s="606"/>
      <c r="Y65" s="606"/>
      <c r="Z65" s="608"/>
      <c r="AA65" s="608"/>
      <c r="AB65" s="608"/>
      <c r="AC65" s="608"/>
      <c r="AD65" s="606"/>
      <c r="AE65" s="609"/>
      <c r="AF65" s="609"/>
      <c r="AG65" s="606"/>
      <c r="AH65" s="606"/>
      <c r="AI65" s="606"/>
      <c r="AJ65" s="606"/>
      <c r="AK65" s="606"/>
      <c r="AL65" s="606"/>
      <c r="AM65" s="606"/>
      <c r="AN65" s="608"/>
      <c r="AO65" s="608"/>
      <c r="AP65" s="608"/>
      <c r="AQ65" s="608"/>
      <c r="AR65" s="606"/>
      <c r="AS65" s="606"/>
      <c r="AT65" s="606"/>
      <c r="AU65" s="606"/>
      <c r="AV65" s="608"/>
      <c r="AW65" s="608"/>
      <c r="AX65" s="608"/>
      <c r="AY65" s="608"/>
      <c r="AZ65" s="608"/>
      <c r="BA65" s="608"/>
      <c r="BB65" s="606"/>
      <c r="BC65" s="606"/>
      <c r="BD65" s="606"/>
      <c r="BE65" s="606"/>
      <c r="BF65" s="606"/>
      <c r="BG65" s="606"/>
      <c r="BH65" s="608"/>
      <c r="BI65" s="606"/>
      <c r="BJ65" s="606"/>
      <c r="BK65" s="608"/>
      <c r="BL65" s="606"/>
      <c r="BM65" s="606"/>
      <c r="BN65" s="606"/>
      <c r="BO65" s="606"/>
      <c r="BP65" s="606"/>
      <c r="BQ65" s="606"/>
      <c r="BR65" s="606"/>
      <c r="BS65" s="606"/>
      <c r="BT65" s="606"/>
      <c r="BU65" s="606"/>
      <c r="BV65" s="606"/>
      <c r="BW65" s="606"/>
      <c r="BX65" s="606"/>
      <c r="BY65" s="608"/>
      <c r="BZ65" s="608"/>
      <c r="CA65" s="608"/>
      <c r="CB65" s="608"/>
      <c r="CC65" s="606"/>
      <c r="CD65" s="606"/>
      <c r="CE65" s="608"/>
      <c r="CF65" s="606"/>
      <c r="CG65" s="608"/>
      <c r="CH65" s="610"/>
      <c r="CI65" s="608"/>
      <c r="CJ65" s="610"/>
      <c r="CK65" s="610"/>
      <c r="CL65" s="610"/>
      <c r="CM65" s="610"/>
      <c r="CN65" s="610"/>
      <c r="CO65" s="610"/>
      <c r="CP65" s="610"/>
      <c r="CQ65" s="610"/>
      <c r="CR65" s="610"/>
      <c r="CS65" s="610"/>
      <c r="CT65" s="610"/>
      <c r="CU65" s="610"/>
      <c r="CV65" s="610"/>
      <c r="CW65" s="610"/>
      <c r="CX65" s="611"/>
    </row>
  </sheetData>
  <mergeCells count="29">
    <mergeCell ref="I45:I50"/>
    <mergeCell ref="BH4:BK4"/>
    <mergeCell ref="BP29:BQ29"/>
    <mergeCell ref="Y48:Y49"/>
    <mergeCell ref="BB4:BC4"/>
    <mergeCell ref="BB5:BC5"/>
    <mergeCell ref="A2:J5"/>
    <mergeCell ref="K2:AS5"/>
    <mergeCell ref="A9:BC9"/>
    <mergeCell ref="AC8:AK8"/>
    <mergeCell ref="AL6:BC6"/>
    <mergeCell ref="A8:H8"/>
    <mergeCell ref="AL8:BC8"/>
    <mergeCell ref="I6:AB6"/>
    <mergeCell ref="I7:AB7"/>
    <mergeCell ref="I8:AB8"/>
    <mergeCell ref="A6:H6"/>
    <mergeCell ref="A7:H7"/>
    <mergeCell ref="BB1:BC1"/>
    <mergeCell ref="BB2:BC2"/>
    <mergeCell ref="BB3:BC3"/>
    <mergeCell ref="AC6:AK6"/>
    <mergeCell ref="AC7:AK7"/>
    <mergeCell ref="AV1:BA1"/>
    <mergeCell ref="AT2:BA2"/>
    <mergeCell ref="AT3:BA3"/>
    <mergeCell ref="AT4:BA4"/>
    <mergeCell ref="AT5:BA5"/>
    <mergeCell ref="AL7:BC7"/>
  </mergeCells>
  <phoneticPr fontId="52" type="noConversion"/>
  <conditionalFormatting sqref="AE65:AF65 BS59:BT59 C57:D57 CD52:CE52 BB42:BC42 AL36:AN36 AC28:AD28 AZ24:BA24 S14 BB34:BC34 CR14:CS14 CF14:CG14 BV9:BW9 BJ9:BK9 CU4 CJ4 BZ5 BP5 BE4 O49:P49 BP33:BQ33 BH25:BI25 U36:V36 AY52:AZ52 BO40:BP40 BZ31 CA36">
    <cfRule type="cellIs" dxfId="86" priority="1" stopIfTrue="1" operator="notEqual">
      <formula>""""""</formula>
    </cfRule>
  </conditionalFormatting>
  <pageMargins left="0.7" right="0.7" top="0.75" bottom="0.75" header="0.3" footer="0.3"/>
  <pageSetup paperSize="17" scale="44"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4">
    <pageSetUpPr fitToPage="1"/>
  </sheetPr>
  <dimension ref="A1:AP119"/>
  <sheetViews>
    <sheetView view="pageBreakPreview" topLeftCell="G1" zoomScale="55" zoomScaleNormal="64" zoomScaleSheetLayoutView="55" workbookViewId="0">
      <selection activeCell="AR31" sqref="AR31"/>
    </sheetView>
  </sheetViews>
  <sheetFormatPr defaultColWidth="9.140625" defaultRowHeight="12.75" x14ac:dyDescent="0.2"/>
  <cols>
    <col min="1" max="1" width="4.42578125" customWidth="1"/>
    <col min="2" max="2" width="6.7109375" customWidth="1"/>
    <col min="3" max="3" width="1.5703125" customWidth="1"/>
    <col min="4" max="4" width="10.140625" customWidth="1"/>
    <col min="5" max="7" width="6.7109375" customWidth="1"/>
    <col min="8" max="8" width="7.42578125" customWidth="1"/>
    <col min="9" max="9" width="26.42578125" bestFit="1" customWidth="1"/>
    <col min="10" max="10" width="7.28515625" customWidth="1"/>
    <col min="11" max="11" width="6.85546875" customWidth="1"/>
    <col min="12" max="12" width="8.28515625" customWidth="1"/>
    <col min="13" max="13" width="18.7109375" customWidth="1"/>
    <col min="14" max="16" width="17.7109375" customWidth="1"/>
    <col min="17" max="17" width="2" customWidth="1"/>
    <col min="18" max="18" width="9" customWidth="1"/>
    <col min="40" max="40" width="11.28515625" customWidth="1"/>
    <col min="41" max="41" width="13.5703125" customWidth="1"/>
    <col min="42" max="42" width="13.28515625" customWidth="1"/>
    <col min="257" max="257" width="4.42578125" customWidth="1"/>
    <col min="258" max="258" width="43" customWidth="1"/>
    <col min="259" max="259" width="15.140625" bestFit="1" customWidth="1"/>
    <col min="260" max="260" width="15.7109375" customWidth="1"/>
    <col min="261" max="262" width="20.140625" customWidth="1"/>
    <col min="263" max="263" width="19.85546875" customWidth="1"/>
    <col min="264" max="265" width="5.7109375" customWidth="1"/>
    <col min="266" max="271" width="9.140625" customWidth="1"/>
    <col min="272" max="272" width="11.42578125" customWidth="1"/>
    <col min="513" max="513" width="4.42578125" customWidth="1"/>
    <col min="514" max="514" width="43" customWidth="1"/>
    <col min="515" max="515" width="15.140625" bestFit="1" customWidth="1"/>
    <col min="516" max="516" width="15.7109375" customWidth="1"/>
    <col min="517" max="518" width="20.140625" customWidth="1"/>
    <col min="519" max="519" width="19.85546875" customWidth="1"/>
    <col min="520" max="521" width="5.7109375" customWidth="1"/>
    <col min="522" max="527" width="9.140625" customWidth="1"/>
    <col min="528" max="528" width="11.42578125" customWidth="1"/>
    <col min="769" max="769" width="4.42578125" customWidth="1"/>
    <col min="770" max="770" width="43" customWidth="1"/>
    <col min="771" max="771" width="15.140625" bestFit="1" customWidth="1"/>
    <col min="772" max="772" width="15.7109375" customWidth="1"/>
    <col min="773" max="774" width="20.140625" customWidth="1"/>
    <col min="775" max="775" width="19.85546875" customWidth="1"/>
    <col min="776" max="777" width="5.7109375" customWidth="1"/>
    <col min="778" max="783" width="9.140625" customWidth="1"/>
    <col min="784" max="784" width="11.42578125" customWidth="1"/>
    <col min="1025" max="1025" width="4.42578125" customWidth="1"/>
    <col min="1026" max="1026" width="43" customWidth="1"/>
    <col min="1027" max="1027" width="15.140625" bestFit="1" customWidth="1"/>
    <col min="1028" max="1028" width="15.7109375" customWidth="1"/>
    <col min="1029" max="1030" width="20.140625" customWidth="1"/>
    <col min="1031" max="1031" width="19.85546875" customWidth="1"/>
    <col min="1032" max="1033" width="5.7109375" customWidth="1"/>
    <col min="1034" max="1039" width="9.140625" customWidth="1"/>
    <col min="1040" max="1040" width="11.42578125" customWidth="1"/>
    <col min="1281" max="1281" width="4.42578125" customWidth="1"/>
    <col min="1282" max="1282" width="43" customWidth="1"/>
    <col min="1283" max="1283" width="15.140625" bestFit="1" customWidth="1"/>
    <col min="1284" max="1284" width="15.7109375" customWidth="1"/>
    <col min="1285" max="1286" width="20.140625" customWidth="1"/>
    <col min="1287" max="1287" width="19.85546875" customWidth="1"/>
    <col min="1288" max="1289" width="5.7109375" customWidth="1"/>
    <col min="1290" max="1295" width="9.140625" customWidth="1"/>
    <col min="1296" max="1296" width="11.42578125" customWidth="1"/>
    <col min="1537" max="1537" width="4.42578125" customWidth="1"/>
    <col min="1538" max="1538" width="43" customWidth="1"/>
    <col min="1539" max="1539" width="15.140625" bestFit="1" customWidth="1"/>
    <col min="1540" max="1540" width="15.7109375" customWidth="1"/>
    <col min="1541" max="1542" width="20.140625" customWidth="1"/>
    <col min="1543" max="1543" width="19.85546875" customWidth="1"/>
    <col min="1544" max="1545" width="5.7109375" customWidth="1"/>
    <col min="1546" max="1551" width="9.140625" customWidth="1"/>
    <col min="1552" max="1552" width="11.42578125" customWidth="1"/>
    <col min="1793" max="1793" width="4.42578125" customWidth="1"/>
    <col min="1794" max="1794" width="43" customWidth="1"/>
    <col min="1795" max="1795" width="15.140625" bestFit="1" customWidth="1"/>
    <col min="1796" max="1796" width="15.7109375" customWidth="1"/>
    <col min="1797" max="1798" width="20.140625" customWidth="1"/>
    <col min="1799" max="1799" width="19.85546875" customWidth="1"/>
    <col min="1800" max="1801" width="5.7109375" customWidth="1"/>
    <col min="1802" max="1807" width="9.140625" customWidth="1"/>
    <col min="1808" max="1808" width="11.42578125" customWidth="1"/>
    <col min="2049" max="2049" width="4.42578125" customWidth="1"/>
    <col min="2050" max="2050" width="43" customWidth="1"/>
    <col min="2051" max="2051" width="15.140625" bestFit="1" customWidth="1"/>
    <col min="2052" max="2052" width="15.7109375" customWidth="1"/>
    <col min="2053" max="2054" width="20.140625" customWidth="1"/>
    <col min="2055" max="2055" width="19.85546875" customWidth="1"/>
    <col min="2056" max="2057" width="5.7109375" customWidth="1"/>
    <col min="2058" max="2063" width="9.140625" customWidth="1"/>
    <col min="2064" max="2064" width="11.42578125" customWidth="1"/>
    <col min="2305" max="2305" width="4.42578125" customWidth="1"/>
    <col min="2306" max="2306" width="43" customWidth="1"/>
    <col min="2307" max="2307" width="15.140625" bestFit="1" customWidth="1"/>
    <col min="2308" max="2308" width="15.7109375" customWidth="1"/>
    <col min="2309" max="2310" width="20.140625" customWidth="1"/>
    <col min="2311" max="2311" width="19.85546875" customWidth="1"/>
    <col min="2312" max="2313" width="5.7109375" customWidth="1"/>
    <col min="2314" max="2319" width="9.140625" customWidth="1"/>
    <col min="2320" max="2320" width="11.42578125" customWidth="1"/>
    <col min="2561" max="2561" width="4.42578125" customWidth="1"/>
    <col min="2562" max="2562" width="43" customWidth="1"/>
    <col min="2563" max="2563" width="15.140625" bestFit="1" customWidth="1"/>
    <col min="2564" max="2564" width="15.7109375" customWidth="1"/>
    <col min="2565" max="2566" width="20.140625" customWidth="1"/>
    <col min="2567" max="2567" width="19.85546875" customWidth="1"/>
    <col min="2568" max="2569" width="5.7109375" customWidth="1"/>
    <col min="2570" max="2575" width="9.140625" customWidth="1"/>
    <col min="2576" max="2576" width="11.42578125" customWidth="1"/>
    <col min="2817" max="2817" width="4.42578125" customWidth="1"/>
    <col min="2818" max="2818" width="43" customWidth="1"/>
    <col min="2819" max="2819" width="15.140625" bestFit="1" customWidth="1"/>
    <col min="2820" max="2820" width="15.7109375" customWidth="1"/>
    <col min="2821" max="2822" width="20.140625" customWidth="1"/>
    <col min="2823" max="2823" width="19.85546875" customWidth="1"/>
    <col min="2824" max="2825" width="5.7109375" customWidth="1"/>
    <col min="2826" max="2831" width="9.140625" customWidth="1"/>
    <col min="2832" max="2832" width="11.42578125" customWidth="1"/>
    <col min="3073" max="3073" width="4.42578125" customWidth="1"/>
    <col min="3074" max="3074" width="43" customWidth="1"/>
    <col min="3075" max="3075" width="15.140625" bestFit="1" customWidth="1"/>
    <col min="3076" max="3076" width="15.7109375" customWidth="1"/>
    <col min="3077" max="3078" width="20.140625" customWidth="1"/>
    <col min="3079" max="3079" width="19.85546875" customWidth="1"/>
    <col min="3080" max="3081" width="5.7109375" customWidth="1"/>
    <col min="3082" max="3087" width="9.140625" customWidth="1"/>
    <col min="3088" max="3088" width="11.42578125" customWidth="1"/>
    <col min="3329" max="3329" width="4.42578125" customWidth="1"/>
    <col min="3330" max="3330" width="43" customWidth="1"/>
    <col min="3331" max="3331" width="15.140625" bestFit="1" customWidth="1"/>
    <col min="3332" max="3332" width="15.7109375" customWidth="1"/>
    <col min="3333" max="3334" width="20.140625" customWidth="1"/>
    <col min="3335" max="3335" width="19.85546875" customWidth="1"/>
    <col min="3336" max="3337" width="5.7109375" customWidth="1"/>
    <col min="3338" max="3343" width="9.140625" customWidth="1"/>
    <col min="3344" max="3344" width="11.42578125" customWidth="1"/>
    <col min="3585" max="3585" width="4.42578125" customWidth="1"/>
    <col min="3586" max="3586" width="43" customWidth="1"/>
    <col min="3587" max="3587" width="15.140625" bestFit="1" customWidth="1"/>
    <col min="3588" max="3588" width="15.7109375" customWidth="1"/>
    <col min="3589" max="3590" width="20.140625" customWidth="1"/>
    <col min="3591" max="3591" width="19.85546875" customWidth="1"/>
    <col min="3592" max="3593" width="5.7109375" customWidth="1"/>
    <col min="3594" max="3599" width="9.140625" customWidth="1"/>
    <col min="3600" max="3600" width="11.42578125" customWidth="1"/>
    <col min="3841" max="3841" width="4.42578125" customWidth="1"/>
    <col min="3842" max="3842" width="43" customWidth="1"/>
    <col min="3843" max="3843" width="15.140625" bestFit="1" customWidth="1"/>
    <col min="3844" max="3844" width="15.7109375" customWidth="1"/>
    <col min="3845" max="3846" width="20.140625" customWidth="1"/>
    <col min="3847" max="3847" width="19.85546875" customWidth="1"/>
    <col min="3848" max="3849" width="5.7109375" customWidth="1"/>
    <col min="3850" max="3855" width="9.140625" customWidth="1"/>
    <col min="3856" max="3856" width="11.42578125" customWidth="1"/>
    <col min="4097" max="4097" width="4.42578125" customWidth="1"/>
    <col min="4098" max="4098" width="43" customWidth="1"/>
    <col min="4099" max="4099" width="15.140625" bestFit="1" customWidth="1"/>
    <col min="4100" max="4100" width="15.7109375" customWidth="1"/>
    <col min="4101" max="4102" width="20.140625" customWidth="1"/>
    <col min="4103" max="4103" width="19.85546875" customWidth="1"/>
    <col min="4104" max="4105" width="5.7109375" customWidth="1"/>
    <col min="4106" max="4111" width="9.140625" customWidth="1"/>
    <col min="4112" max="4112" width="11.42578125" customWidth="1"/>
    <col min="4353" max="4353" width="4.42578125" customWidth="1"/>
    <col min="4354" max="4354" width="43" customWidth="1"/>
    <col min="4355" max="4355" width="15.140625" bestFit="1" customWidth="1"/>
    <col min="4356" max="4356" width="15.7109375" customWidth="1"/>
    <col min="4357" max="4358" width="20.140625" customWidth="1"/>
    <col min="4359" max="4359" width="19.85546875" customWidth="1"/>
    <col min="4360" max="4361" width="5.7109375" customWidth="1"/>
    <col min="4362" max="4367" width="9.140625" customWidth="1"/>
    <col min="4368" max="4368" width="11.42578125" customWidth="1"/>
    <col min="4609" max="4609" width="4.42578125" customWidth="1"/>
    <col min="4610" max="4610" width="43" customWidth="1"/>
    <col min="4611" max="4611" width="15.140625" bestFit="1" customWidth="1"/>
    <col min="4612" max="4612" width="15.7109375" customWidth="1"/>
    <col min="4613" max="4614" width="20.140625" customWidth="1"/>
    <col min="4615" max="4615" width="19.85546875" customWidth="1"/>
    <col min="4616" max="4617" width="5.7109375" customWidth="1"/>
    <col min="4618" max="4623" width="9.140625" customWidth="1"/>
    <col min="4624" max="4624" width="11.42578125" customWidth="1"/>
    <col min="4865" max="4865" width="4.42578125" customWidth="1"/>
    <col min="4866" max="4866" width="43" customWidth="1"/>
    <col min="4867" max="4867" width="15.140625" bestFit="1" customWidth="1"/>
    <col min="4868" max="4868" width="15.7109375" customWidth="1"/>
    <col min="4869" max="4870" width="20.140625" customWidth="1"/>
    <col min="4871" max="4871" width="19.85546875" customWidth="1"/>
    <col min="4872" max="4873" width="5.7109375" customWidth="1"/>
    <col min="4874" max="4879" width="9.140625" customWidth="1"/>
    <col min="4880" max="4880" width="11.42578125" customWidth="1"/>
    <col min="5121" max="5121" width="4.42578125" customWidth="1"/>
    <col min="5122" max="5122" width="43" customWidth="1"/>
    <col min="5123" max="5123" width="15.140625" bestFit="1" customWidth="1"/>
    <col min="5124" max="5124" width="15.7109375" customWidth="1"/>
    <col min="5125" max="5126" width="20.140625" customWidth="1"/>
    <col min="5127" max="5127" width="19.85546875" customWidth="1"/>
    <col min="5128" max="5129" width="5.7109375" customWidth="1"/>
    <col min="5130" max="5135" width="9.140625" customWidth="1"/>
    <col min="5136" max="5136" width="11.42578125" customWidth="1"/>
    <col min="5377" max="5377" width="4.42578125" customWidth="1"/>
    <col min="5378" max="5378" width="43" customWidth="1"/>
    <col min="5379" max="5379" width="15.140625" bestFit="1" customWidth="1"/>
    <col min="5380" max="5380" width="15.7109375" customWidth="1"/>
    <col min="5381" max="5382" width="20.140625" customWidth="1"/>
    <col min="5383" max="5383" width="19.85546875" customWidth="1"/>
    <col min="5384" max="5385" width="5.7109375" customWidth="1"/>
    <col min="5386" max="5391" width="9.140625" customWidth="1"/>
    <col min="5392" max="5392" width="11.42578125" customWidth="1"/>
    <col min="5633" max="5633" width="4.42578125" customWidth="1"/>
    <col min="5634" max="5634" width="43" customWidth="1"/>
    <col min="5635" max="5635" width="15.140625" bestFit="1" customWidth="1"/>
    <col min="5636" max="5636" width="15.7109375" customWidth="1"/>
    <col min="5637" max="5638" width="20.140625" customWidth="1"/>
    <col min="5639" max="5639" width="19.85546875" customWidth="1"/>
    <col min="5640" max="5641" width="5.7109375" customWidth="1"/>
    <col min="5642" max="5647" width="9.140625" customWidth="1"/>
    <col min="5648" max="5648" width="11.42578125" customWidth="1"/>
    <col min="5889" max="5889" width="4.42578125" customWidth="1"/>
    <col min="5890" max="5890" width="43" customWidth="1"/>
    <col min="5891" max="5891" width="15.140625" bestFit="1" customWidth="1"/>
    <col min="5892" max="5892" width="15.7109375" customWidth="1"/>
    <col min="5893" max="5894" width="20.140625" customWidth="1"/>
    <col min="5895" max="5895" width="19.85546875" customWidth="1"/>
    <col min="5896" max="5897" width="5.7109375" customWidth="1"/>
    <col min="5898" max="5903" width="9.140625" customWidth="1"/>
    <col min="5904" max="5904" width="11.42578125" customWidth="1"/>
    <col min="6145" max="6145" width="4.42578125" customWidth="1"/>
    <col min="6146" max="6146" width="43" customWidth="1"/>
    <col min="6147" max="6147" width="15.140625" bestFit="1" customWidth="1"/>
    <col min="6148" max="6148" width="15.7109375" customWidth="1"/>
    <col min="6149" max="6150" width="20.140625" customWidth="1"/>
    <col min="6151" max="6151" width="19.85546875" customWidth="1"/>
    <col min="6152" max="6153" width="5.7109375" customWidth="1"/>
    <col min="6154" max="6159" width="9.140625" customWidth="1"/>
    <col min="6160" max="6160" width="11.42578125" customWidth="1"/>
    <col min="6401" max="6401" width="4.42578125" customWidth="1"/>
    <col min="6402" max="6402" width="43" customWidth="1"/>
    <col min="6403" max="6403" width="15.140625" bestFit="1" customWidth="1"/>
    <col min="6404" max="6404" width="15.7109375" customWidth="1"/>
    <col min="6405" max="6406" width="20.140625" customWidth="1"/>
    <col min="6407" max="6407" width="19.85546875" customWidth="1"/>
    <col min="6408" max="6409" width="5.7109375" customWidth="1"/>
    <col min="6410" max="6415" width="9.140625" customWidth="1"/>
    <col min="6416" max="6416" width="11.42578125" customWidth="1"/>
    <col min="6657" max="6657" width="4.42578125" customWidth="1"/>
    <col min="6658" max="6658" width="43" customWidth="1"/>
    <col min="6659" max="6659" width="15.140625" bestFit="1" customWidth="1"/>
    <col min="6660" max="6660" width="15.7109375" customWidth="1"/>
    <col min="6661" max="6662" width="20.140625" customWidth="1"/>
    <col min="6663" max="6663" width="19.85546875" customWidth="1"/>
    <col min="6664" max="6665" width="5.7109375" customWidth="1"/>
    <col min="6666" max="6671" width="9.140625" customWidth="1"/>
    <col min="6672" max="6672" width="11.42578125" customWidth="1"/>
    <col min="6913" max="6913" width="4.42578125" customWidth="1"/>
    <col min="6914" max="6914" width="43" customWidth="1"/>
    <col min="6915" max="6915" width="15.140625" bestFit="1" customWidth="1"/>
    <col min="6916" max="6916" width="15.7109375" customWidth="1"/>
    <col min="6917" max="6918" width="20.140625" customWidth="1"/>
    <col min="6919" max="6919" width="19.85546875" customWidth="1"/>
    <col min="6920" max="6921" width="5.7109375" customWidth="1"/>
    <col min="6922" max="6927" width="9.140625" customWidth="1"/>
    <col min="6928" max="6928" width="11.42578125" customWidth="1"/>
    <col min="7169" max="7169" width="4.42578125" customWidth="1"/>
    <col min="7170" max="7170" width="43" customWidth="1"/>
    <col min="7171" max="7171" width="15.140625" bestFit="1" customWidth="1"/>
    <col min="7172" max="7172" width="15.7109375" customWidth="1"/>
    <col min="7173" max="7174" width="20.140625" customWidth="1"/>
    <col min="7175" max="7175" width="19.85546875" customWidth="1"/>
    <col min="7176" max="7177" width="5.7109375" customWidth="1"/>
    <col min="7178" max="7183" width="9.140625" customWidth="1"/>
    <col min="7184" max="7184" width="11.42578125" customWidth="1"/>
    <col min="7425" max="7425" width="4.42578125" customWidth="1"/>
    <col min="7426" max="7426" width="43" customWidth="1"/>
    <col min="7427" max="7427" width="15.140625" bestFit="1" customWidth="1"/>
    <col min="7428" max="7428" width="15.7109375" customWidth="1"/>
    <col min="7429" max="7430" width="20.140625" customWidth="1"/>
    <col min="7431" max="7431" width="19.85546875" customWidth="1"/>
    <col min="7432" max="7433" width="5.7109375" customWidth="1"/>
    <col min="7434" max="7439" width="9.140625" customWidth="1"/>
    <col min="7440" max="7440" width="11.42578125" customWidth="1"/>
    <col min="7681" max="7681" width="4.42578125" customWidth="1"/>
    <col min="7682" max="7682" width="43" customWidth="1"/>
    <col min="7683" max="7683" width="15.140625" bestFit="1" customWidth="1"/>
    <col min="7684" max="7684" width="15.7109375" customWidth="1"/>
    <col min="7685" max="7686" width="20.140625" customWidth="1"/>
    <col min="7687" max="7687" width="19.85546875" customWidth="1"/>
    <col min="7688" max="7689" width="5.7109375" customWidth="1"/>
    <col min="7690" max="7695" width="9.140625" customWidth="1"/>
    <col min="7696" max="7696" width="11.42578125" customWidth="1"/>
    <col min="7937" max="7937" width="4.42578125" customWidth="1"/>
    <col min="7938" max="7938" width="43" customWidth="1"/>
    <col min="7939" max="7939" width="15.140625" bestFit="1" customWidth="1"/>
    <col min="7940" max="7940" width="15.7109375" customWidth="1"/>
    <col min="7941" max="7942" width="20.140625" customWidth="1"/>
    <col min="7943" max="7943" width="19.85546875" customWidth="1"/>
    <col min="7944" max="7945" width="5.7109375" customWidth="1"/>
    <col min="7946" max="7951" width="9.140625" customWidth="1"/>
    <col min="7952" max="7952" width="11.42578125" customWidth="1"/>
    <col min="8193" max="8193" width="4.42578125" customWidth="1"/>
    <col min="8194" max="8194" width="43" customWidth="1"/>
    <col min="8195" max="8195" width="15.140625" bestFit="1" customWidth="1"/>
    <col min="8196" max="8196" width="15.7109375" customWidth="1"/>
    <col min="8197" max="8198" width="20.140625" customWidth="1"/>
    <col min="8199" max="8199" width="19.85546875" customWidth="1"/>
    <col min="8200" max="8201" width="5.7109375" customWidth="1"/>
    <col min="8202" max="8207" width="9.140625" customWidth="1"/>
    <col min="8208" max="8208" width="11.42578125" customWidth="1"/>
    <col min="8449" max="8449" width="4.42578125" customWidth="1"/>
    <col min="8450" max="8450" width="43" customWidth="1"/>
    <col min="8451" max="8451" width="15.140625" bestFit="1" customWidth="1"/>
    <col min="8452" max="8452" width="15.7109375" customWidth="1"/>
    <col min="8453" max="8454" width="20.140625" customWidth="1"/>
    <col min="8455" max="8455" width="19.85546875" customWidth="1"/>
    <col min="8456" max="8457" width="5.7109375" customWidth="1"/>
    <col min="8458" max="8463" width="9.140625" customWidth="1"/>
    <col min="8464" max="8464" width="11.42578125" customWidth="1"/>
    <col min="8705" max="8705" width="4.42578125" customWidth="1"/>
    <col min="8706" max="8706" width="43" customWidth="1"/>
    <col min="8707" max="8707" width="15.140625" bestFit="1" customWidth="1"/>
    <col min="8708" max="8708" width="15.7109375" customWidth="1"/>
    <col min="8709" max="8710" width="20.140625" customWidth="1"/>
    <col min="8711" max="8711" width="19.85546875" customWidth="1"/>
    <col min="8712" max="8713" width="5.7109375" customWidth="1"/>
    <col min="8714" max="8719" width="9.140625" customWidth="1"/>
    <col min="8720" max="8720" width="11.42578125" customWidth="1"/>
    <col min="8961" max="8961" width="4.42578125" customWidth="1"/>
    <col min="8962" max="8962" width="43" customWidth="1"/>
    <col min="8963" max="8963" width="15.140625" bestFit="1" customWidth="1"/>
    <col min="8964" max="8964" width="15.7109375" customWidth="1"/>
    <col min="8965" max="8966" width="20.140625" customWidth="1"/>
    <col min="8967" max="8967" width="19.85546875" customWidth="1"/>
    <col min="8968" max="8969" width="5.7109375" customWidth="1"/>
    <col min="8970" max="8975" width="9.140625" customWidth="1"/>
    <col min="8976" max="8976" width="11.42578125" customWidth="1"/>
    <col min="9217" max="9217" width="4.42578125" customWidth="1"/>
    <col min="9218" max="9218" width="43" customWidth="1"/>
    <col min="9219" max="9219" width="15.140625" bestFit="1" customWidth="1"/>
    <col min="9220" max="9220" width="15.7109375" customWidth="1"/>
    <col min="9221" max="9222" width="20.140625" customWidth="1"/>
    <col min="9223" max="9223" width="19.85546875" customWidth="1"/>
    <col min="9224" max="9225" width="5.7109375" customWidth="1"/>
    <col min="9226" max="9231" width="9.140625" customWidth="1"/>
    <col min="9232" max="9232" width="11.42578125" customWidth="1"/>
    <col min="9473" max="9473" width="4.42578125" customWidth="1"/>
    <col min="9474" max="9474" width="43" customWidth="1"/>
    <col min="9475" max="9475" width="15.140625" bestFit="1" customWidth="1"/>
    <col min="9476" max="9476" width="15.7109375" customWidth="1"/>
    <col min="9477" max="9478" width="20.140625" customWidth="1"/>
    <col min="9479" max="9479" width="19.85546875" customWidth="1"/>
    <col min="9480" max="9481" width="5.7109375" customWidth="1"/>
    <col min="9482" max="9487" width="9.140625" customWidth="1"/>
    <col min="9488" max="9488" width="11.42578125" customWidth="1"/>
    <col min="9729" max="9729" width="4.42578125" customWidth="1"/>
    <col min="9730" max="9730" width="43" customWidth="1"/>
    <col min="9731" max="9731" width="15.140625" bestFit="1" customWidth="1"/>
    <col min="9732" max="9732" width="15.7109375" customWidth="1"/>
    <col min="9733" max="9734" width="20.140625" customWidth="1"/>
    <col min="9735" max="9735" width="19.85546875" customWidth="1"/>
    <col min="9736" max="9737" width="5.7109375" customWidth="1"/>
    <col min="9738" max="9743" width="9.140625" customWidth="1"/>
    <col min="9744" max="9744" width="11.42578125" customWidth="1"/>
    <col min="9985" max="9985" width="4.42578125" customWidth="1"/>
    <col min="9986" max="9986" width="43" customWidth="1"/>
    <col min="9987" max="9987" width="15.140625" bestFit="1" customWidth="1"/>
    <col min="9988" max="9988" width="15.7109375" customWidth="1"/>
    <col min="9989" max="9990" width="20.140625" customWidth="1"/>
    <col min="9991" max="9991" width="19.85546875" customWidth="1"/>
    <col min="9992" max="9993" width="5.7109375" customWidth="1"/>
    <col min="9994" max="9999" width="9.140625" customWidth="1"/>
    <col min="10000" max="10000" width="11.42578125" customWidth="1"/>
    <col min="10241" max="10241" width="4.42578125" customWidth="1"/>
    <col min="10242" max="10242" width="43" customWidth="1"/>
    <col min="10243" max="10243" width="15.140625" bestFit="1" customWidth="1"/>
    <col min="10244" max="10244" width="15.7109375" customWidth="1"/>
    <col min="10245" max="10246" width="20.140625" customWidth="1"/>
    <col min="10247" max="10247" width="19.85546875" customWidth="1"/>
    <col min="10248" max="10249" width="5.7109375" customWidth="1"/>
    <col min="10250" max="10255" width="9.140625" customWidth="1"/>
    <col min="10256" max="10256" width="11.42578125" customWidth="1"/>
    <col min="10497" max="10497" width="4.42578125" customWidth="1"/>
    <col min="10498" max="10498" width="43" customWidth="1"/>
    <col min="10499" max="10499" width="15.140625" bestFit="1" customWidth="1"/>
    <col min="10500" max="10500" width="15.7109375" customWidth="1"/>
    <col min="10501" max="10502" width="20.140625" customWidth="1"/>
    <col min="10503" max="10503" width="19.85546875" customWidth="1"/>
    <col min="10504" max="10505" width="5.7109375" customWidth="1"/>
    <col min="10506" max="10511" width="9.140625" customWidth="1"/>
    <col min="10512" max="10512" width="11.42578125" customWidth="1"/>
    <col min="10753" max="10753" width="4.42578125" customWidth="1"/>
    <col min="10754" max="10754" width="43" customWidth="1"/>
    <col min="10755" max="10755" width="15.140625" bestFit="1" customWidth="1"/>
    <col min="10756" max="10756" width="15.7109375" customWidth="1"/>
    <col min="10757" max="10758" width="20.140625" customWidth="1"/>
    <col min="10759" max="10759" width="19.85546875" customWidth="1"/>
    <col min="10760" max="10761" width="5.7109375" customWidth="1"/>
    <col min="10762" max="10767" width="9.140625" customWidth="1"/>
    <col min="10768" max="10768" width="11.42578125" customWidth="1"/>
    <col min="11009" max="11009" width="4.42578125" customWidth="1"/>
    <col min="11010" max="11010" width="43" customWidth="1"/>
    <col min="11011" max="11011" width="15.140625" bestFit="1" customWidth="1"/>
    <col min="11012" max="11012" width="15.7109375" customWidth="1"/>
    <col min="11013" max="11014" width="20.140625" customWidth="1"/>
    <col min="11015" max="11015" width="19.85546875" customWidth="1"/>
    <col min="11016" max="11017" width="5.7109375" customWidth="1"/>
    <col min="11018" max="11023" width="9.140625" customWidth="1"/>
    <col min="11024" max="11024" width="11.42578125" customWidth="1"/>
    <col min="11265" max="11265" width="4.42578125" customWidth="1"/>
    <col min="11266" max="11266" width="43" customWidth="1"/>
    <col min="11267" max="11267" width="15.140625" bestFit="1" customWidth="1"/>
    <col min="11268" max="11268" width="15.7109375" customWidth="1"/>
    <col min="11269" max="11270" width="20.140625" customWidth="1"/>
    <col min="11271" max="11271" width="19.85546875" customWidth="1"/>
    <col min="11272" max="11273" width="5.7109375" customWidth="1"/>
    <col min="11274" max="11279" width="9.140625" customWidth="1"/>
    <col min="11280" max="11280" width="11.42578125" customWidth="1"/>
    <col min="11521" max="11521" width="4.42578125" customWidth="1"/>
    <col min="11522" max="11522" width="43" customWidth="1"/>
    <col min="11523" max="11523" width="15.140625" bestFit="1" customWidth="1"/>
    <col min="11524" max="11524" width="15.7109375" customWidth="1"/>
    <col min="11525" max="11526" width="20.140625" customWidth="1"/>
    <col min="11527" max="11527" width="19.85546875" customWidth="1"/>
    <col min="11528" max="11529" width="5.7109375" customWidth="1"/>
    <col min="11530" max="11535" width="9.140625" customWidth="1"/>
    <col min="11536" max="11536" width="11.42578125" customWidth="1"/>
    <col min="11777" max="11777" width="4.42578125" customWidth="1"/>
    <col min="11778" max="11778" width="43" customWidth="1"/>
    <col min="11779" max="11779" width="15.140625" bestFit="1" customWidth="1"/>
    <col min="11780" max="11780" width="15.7109375" customWidth="1"/>
    <col min="11781" max="11782" width="20.140625" customWidth="1"/>
    <col min="11783" max="11783" width="19.85546875" customWidth="1"/>
    <col min="11784" max="11785" width="5.7109375" customWidth="1"/>
    <col min="11786" max="11791" width="9.140625" customWidth="1"/>
    <col min="11792" max="11792" width="11.42578125" customWidth="1"/>
    <col min="12033" max="12033" width="4.42578125" customWidth="1"/>
    <col min="12034" max="12034" width="43" customWidth="1"/>
    <col min="12035" max="12035" width="15.140625" bestFit="1" customWidth="1"/>
    <col min="12036" max="12036" width="15.7109375" customWidth="1"/>
    <col min="12037" max="12038" width="20.140625" customWidth="1"/>
    <col min="12039" max="12039" width="19.85546875" customWidth="1"/>
    <col min="12040" max="12041" width="5.7109375" customWidth="1"/>
    <col min="12042" max="12047" width="9.140625" customWidth="1"/>
    <col min="12048" max="12048" width="11.42578125" customWidth="1"/>
    <col min="12289" max="12289" width="4.42578125" customWidth="1"/>
    <col min="12290" max="12290" width="43" customWidth="1"/>
    <col min="12291" max="12291" width="15.140625" bestFit="1" customWidth="1"/>
    <col min="12292" max="12292" width="15.7109375" customWidth="1"/>
    <col min="12293" max="12294" width="20.140625" customWidth="1"/>
    <col min="12295" max="12295" width="19.85546875" customWidth="1"/>
    <col min="12296" max="12297" width="5.7109375" customWidth="1"/>
    <col min="12298" max="12303" width="9.140625" customWidth="1"/>
    <col min="12304" max="12304" width="11.42578125" customWidth="1"/>
    <col min="12545" max="12545" width="4.42578125" customWidth="1"/>
    <col min="12546" max="12546" width="43" customWidth="1"/>
    <col min="12547" max="12547" width="15.140625" bestFit="1" customWidth="1"/>
    <col min="12548" max="12548" width="15.7109375" customWidth="1"/>
    <col min="12549" max="12550" width="20.140625" customWidth="1"/>
    <col min="12551" max="12551" width="19.85546875" customWidth="1"/>
    <col min="12552" max="12553" width="5.7109375" customWidth="1"/>
    <col min="12554" max="12559" width="9.140625" customWidth="1"/>
    <col min="12560" max="12560" width="11.42578125" customWidth="1"/>
    <col min="12801" max="12801" width="4.42578125" customWidth="1"/>
    <col min="12802" max="12802" width="43" customWidth="1"/>
    <col min="12803" max="12803" width="15.140625" bestFit="1" customWidth="1"/>
    <col min="12804" max="12804" width="15.7109375" customWidth="1"/>
    <col min="12805" max="12806" width="20.140625" customWidth="1"/>
    <col min="12807" max="12807" width="19.85546875" customWidth="1"/>
    <col min="12808" max="12809" width="5.7109375" customWidth="1"/>
    <col min="12810" max="12815" width="9.140625" customWidth="1"/>
    <col min="12816" max="12816" width="11.42578125" customWidth="1"/>
    <col min="13057" max="13057" width="4.42578125" customWidth="1"/>
    <col min="13058" max="13058" width="43" customWidth="1"/>
    <col min="13059" max="13059" width="15.140625" bestFit="1" customWidth="1"/>
    <col min="13060" max="13060" width="15.7109375" customWidth="1"/>
    <col min="13061" max="13062" width="20.140625" customWidth="1"/>
    <col min="13063" max="13063" width="19.85546875" customWidth="1"/>
    <col min="13064" max="13065" width="5.7109375" customWidth="1"/>
    <col min="13066" max="13071" width="9.140625" customWidth="1"/>
    <col min="13072" max="13072" width="11.42578125" customWidth="1"/>
    <col min="13313" max="13313" width="4.42578125" customWidth="1"/>
    <col min="13314" max="13314" width="43" customWidth="1"/>
    <col min="13315" max="13315" width="15.140625" bestFit="1" customWidth="1"/>
    <col min="13316" max="13316" width="15.7109375" customWidth="1"/>
    <col min="13317" max="13318" width="20.140625" customWidth="1"/>
    <col min="13319" max="13319" width="19.85546875" customWidth="1"/>
    <col min="13320" max="13321" width="5.7109375" customWidth="1"/>
    <col min="13322" max="13327" width="9.140625" customWidth="1"/>
    <col min="13328" max="13328" width="11.42578125" customWidth="1"/>
    <col min="13569" max="13569" width="4.42578125" customWidth="1"/>
    <col min="13570" max="13570" width="43" customWidth="1"/>
    <col min="13571" max="13571" width="15.140625" bestFit="1" customWidth="1"/>
    <col min="13572" max="13572" width="15.7109375" customWidth="1"/>
    <col min="13573" max="13574" width="20.140625" customWidth="1"/>
    <col min="13575" max="13575" width="19.85546875" customWidth="1"/>
    <col min="13576" max="13577" width="5.7109375" customWidth="1"/>
    <col min="13578" max="13583" width="9.140625" customWidth="1"/>
    <col min="13584" max="13584" width="11.42578125" customWidth="1"/>
    <col min="13825" max="13825" width="4.42578125" customWidth="1"/>
    <col min="13826" max="13826" width="43" customWidth="1"/>
    <col min="13827" max="13827" width="15.140625" bestFit="1" customWidth="1"/>
    <col min="13828" max="13828" width="15.7109375" customWidth="1"/>
    <col min="13829" max="13830" width="20.140625" customWidth="1"/>
    <col min="13831" max="13831" width="19.85546875" customWidth="1"/>
    <col min="13832" max="13833" width="5.7109375" customWidth="1"/>
    <col min="13834" max="13839" width="9.140625" customWidth="1"/>
    <col min="13840" max="13840" width="11.42578125" customWidth="1"/>
    <col min="14081" max="14081" width="4.42578125" customWidth="1"/>
    <col min="14082" max="14082" width="43" customWidth="1"/>
    <col min="14083" max="14083" width="15.140625" bestFit="1" customWidth="1"/>
    <col min="14084" max="14084" width="15.7109375" customWidth="1"/>
    <col min="14085" max="14086" width="20.140625" customWidth="1"/>
    <col min="14087" max="14087" width="19.85546875" customWidth="1"/>
    <col min="14088" max="14089" width="5.7109375" customWidth="1"/>
    <col min="14090" max="14095" width="9.140625" customWidth="1"/>
    <col min="14096" max="14096" width="11.42578125" customWidth="1"/>
    <col min="14337" max="14337" width="4.42578125" customWidth="1"/>
    <col min="14338" max="14338" width="43" customWidth="1"/>
    <col min="14339" max="14339" width="15.140625" bestFit="1" customWidth="1"/>
    <col min="14340" max="14340" width="15.7109375" customWidth="1"/>
    <col min="14341" max="14342" width="20.140625" customWidth="1"/>
    <col min="14343" max="14343" width="19.85546875" customWidth="1"/>
    <col min="14344" max="14345" width="5.7109375" customWidth="1"/>
    <col min="14346" max="14351" width="9.140625" customWidth="1"/>
    <col min="14352" max="14352" width="11.42578125" customWidth="1"/>
    <col min="14593" max="14593" width="4.42578125" customWidth="1"/>
    <col min="14594" max="14594" width="43" customWidth="1"/>
    <col min="14595" max="14595" width="15.140625" bestFit="1" customWidth="1"/>
    <col min="14596" max="14596" width="15.7109375" customWidth="1"/>
    <col min="14597" max="14598" width="20.140625" customWidth="1"/>
    <col min="14599" max="14599" width="19.85546875" customWidth="1"/>
    <col min="14600" max="14601" width="5.7109375" customWidth="1"/>
    <col min="14602" max="14607" width="9.140625" customWidth="1"/>
    <col min="14608" max="14608" width="11.42578125" customWidth="1"/>
    <col min="14849" max="14849" width="4.42578125" customWidth="1"/>
    <col min="14850" max="14850" width="43" customWidth="1"/>
    <col min="14851" max="14851" width="15.140625" bestFit="1" customWidth="1"/>
    <col min="14852" max="14852" width="15.7109375" customWidth="1"/>
    <col min="14853" max="14854" width="20.140625" customWidth="1"/>
    <col min="14855" max="14855" width="19.85546875" customWidth="1"/>
    <col min="14856" max="14857" width="5.7109375" customWidth="1"/>
    <col min="14858" max="14863" width="9.140625" customWidth="1"/>
    <col min="14864" max="14864" width="11.42578125" customWidth="1"/>
    <col min="15105" max="15105" width="4.42578125" customWidth="1"/>
    <col min="15106" max="15106" width="43" customWidth="1"/>
    <col min="15107" max="15107" width="15.140625" bestFit="1" customWidth="1"/>
    <col min="15108" max="15108" width="15.7109375" customWidth="1"/>
    <col min="15109" max="15110" width="20.140625" customWidth="1"/>
    <col min="15111" max="15111" width="19.85546875" customWidth="1"/>
    <col min="15112" max="15113" width="5.7109375" customWidth="1"/>
    <col min="15114" max="15119" width="9.140625" customWidth="1"/>
    <col min="15120" max="15120" width="11.42578125" customWidth="1"/>
    <col min="15361" max="15361" width="4.42578125" customWidth="1"/>
    <col min="15362" max="15362" width="43" customWidth="1"/>
    <col min="15363" max="15363" width="15.140625" bestFit="1" customWidth="1"/>
    <col min="15364" max="15364" width="15.7109375" customWidth="1"/>
    <col min="15365" max="15366" width="20.140625" customWidth="1"/>
    <col min="15367" max="15367" width="19.85546875" customWidth="1"/>
    <col min="15368" max="15369" width="5.7109375" customWidth="1"/>
    <col min="15370" max="15375" width="9.140625" customWidth="1"/>
    <col min="15376" max="15376" width="11.42578125" customWidth="1"/>
    <col min="15617" max="15617" width="4.42578125" customWidth="1"/>
    <col min="15618" max="15618" width="43" customWidth="1"/>
    <col min="15619" max="15619" width="15.140625" bestFit="1" customWidth="1"/>
    <col min="15620" max="15620" width="15.7109375" customWidth="1"/>
    <col min="15621" max="15622" width="20.140625" customWidth="1"/>
    <col min="15623" max="15623" width="19.85546875" customWidth="1"/>
    <col min="15624" max="15625" width="5.7109375" customWidth="1"/>
    <col min="15626" max="15631" width="9.140625" customWidth="1"/>
    <col min="15632" max="15632" width="11.42578125" customWidth="1"/>
    <col min="15873" max="15873" width="4.42578125" customWidth="1"/>
    <col min="15874" max="15874" width="43" customWidth="1"/>
    <col min="15875" max="15875" width="15.140625" bestFit="1" customWidth="1"/>
    <col min="15876" max="15876" width="15.7109375" customWidth="1"/>
    <col min="15877" max="15878" width="20.140625" customWidth="1"/>
    <col min="15879" max="15879" width="19.85546875" customWidth="1"/>
    <col min="15880" max="15881" width="5.7109375" customWidth="1"/>
    <col min="15882" max="15887" width="9.140625" customWidth="1"/>
    <col min="15888" max="15888" width="11.42578125" customWidth="1"/>
    <col min="16129" max="16129" width="4.42578125" customWidth="1"/>
    <col min="16130" max="16130" width="43" customWidth="1"/>
    <col min="16131" max="16131" width="15.140625" bestFit="1" customWidth="1"/>
    <col min="16132" max="16132" width="15.7109375" customWidth="1"/>
    <col min="16133" max="16134" width="20.140625" customWidth="1"/>
    <col min="16135" max="16135" width="19.85546875" customWidth="1"/>
    <col min="16136" max="16137" width="5.7109375" customWidth="1"/>
    <col min="16138" max="16143" width="9.140625" customWidth="1"/>
    <col min="16144" max="16144" width="11.42578125" customWidth="1"/>
  </cols>
  <sheetData>
    <row r="1" spans="1:42" ht="16.5" customHeight="1" thickBot="1" x14ac:dyDescent="0.25">
      <c r="B1" s="541"/>
      <c r="C1" s="541"/>
      <c r="D1" s="541"/>
      <c r="E1" s="541"/>
      <c r="F1" s="541"/>
      <c r="G1" s="541"/>
      <c r="H1" s="541"/>
      <c r="I1" s="541"/>
      <c r="J1" s="541"/>
      <c r="K1" s="541"/>
      <c r="L1" s="541"/>
      <c r="M1" s="541"/>
      <c r="N1" s="541"/>
      <c r="O1" s="541"/>
      <c r="P1" s="541"/>
      <c r="Q1" s="542" t="s">
        <v>957</v>
      </c>
      <c r="R1" s="543">
        <f>SKETCH!$BB$1+1</f>
        <v>15</v>
      </c>
    </row>
    <row r="2" spans="1:42" ht="16.5" customHeight="1" x14ac:dyDescent="0.25">
      <c r="B2" s="544"/>
      <c r="C2" s="545"/>
      <c r="D2" s="545"/>
      <c r="E2" s="984" t="s">
        <v>970</v>
      </c>
      <c r="F2" s="984"/>
      <c r="G2" s="984"/>
      <c r="H2" s="984"/>
      <c r="I2" s="984"/>
      <c r="J2" s="984"/>
      <c r="K2" s="984"/>
      <c r="L2" s="984"/>
      <c r="M2" s="984"/>
      <c r="N2" s="984"/>
      <c r="O2" s="984"/>
      <c r="P2" s="987" t="s">
        <v>851</v>
      </c>
      <c r="Q2" s="988"/>
      <c r="R2" s="546" t="str">
        <f>IF(ISBLANK(General!$E$6),"",General!$E$6)</f>
        <v/>
      </c>
    </row>
    <row r="3" spans="1:42" ht="16.5" customHeight="1" x14ac:dyDescent="0.2">
      <c r="B3" s="547"/>
      <c r="C3" s="548"/>
      <c r="D3" s="549"/>
      <c r="E3" s="985"/>
      <c r="F3" s="985"/>
      <c r="G3" s="985"/>
      <c r="H3" s="985"/>
      <c r="I3" s="985"/>
      <c r="J3" s="985"/>
      <c r="K3" s="985"/>
      <c r="L3" s="985"/>
      <c r="M3" s="985"/>
      <c r="N3" s="985"/>
      <c r="O3" s="985"/>
      <c r="P3" s="989" t="s">
        <v>958</v>
      </c>
      <c r="Q3" s="990"/>
      <c r="R3" s="550" t="str">
        <f>IF(ISBLANK(General!$E$12),"",General!$E$12)</f>
        <v/>
      </c>
    </row>
    <row r="4" spans="1:42" ht="16.5" customHeight="1" x14ac:dyDescent="0.2">
      <c r="B4" s="547"/>
      <c r="C4" s="548"/>
      <c r="D4" s="549"/>
      <c r="E4" s="985"/>
      <c r="F4" s="985"/>
      <c r="G4" s="985"/>
      <c r="H4" s="985"/>
      <c r="I4" s="985"/>
      <c r="J4" s="985"/>
      <c r="K4" s="985"/>
      <c r="L4" s="985"/>
      <c r="M4" s="985"/>
      <c r="N4" s="985"/>
      <c r="O4" s="985"/>
      <c r="P4" s="989" t="s">
        <v>959</v>
      </c>
      <c r="Q4" s="990"/>
      <c r="R4" s="551" t="str">
        <f>IF(ISBLANK(General!$E$13),"",General!$E$13)</f>
        <v/>
      </c>
    </row>
    <row r="5" spans="1:42" ht="16.5" customHeight="1" x14ac:dyDescent="0.2">
      <c r="B5" s="552"/>
      <c r="C5" s="553"/>
      <c r="D5" s="553"/>
      <c r="E5" s="986"/>
      <c r="F5" s="986"/>
      <c r="G5" s="986"/>
      <c r="H5" s="986"/>
      <c r="I5" s="986"/>
      <c r="J5" s="986"/>
      <c r="K5" s="986"/>
      <c r="L5" s="986"/>
      <c r="M5" s="986"/>
      <c r="N5" s="986"/>
      <c r="O5" s="986"/>
      <c r="P5" s="1089" t="s">
        <v>960</v>
      </c>
      <c r="Q5" s="1090"/>
      <c r="R5" s="554" t="str">
        <f>IF(ISBLANK(General!$E$14),"",General!$E$14)</f>
        <v/>
      </c>
    </row>
    <row r="6" spans="1:42" ht="16.5" customHeight="1" x14ac:dyDescent="0.2">
      <c r="B6" s="1017" t="s">
        <v>897</v>
      </c>
      <c r="C6" s="1018"/>
      <c r="D6" s="1019"/>
      <c r="E6" s="978" t="str">
        <f>IF(ISBLANK(General!$E$8),"",General!$E$8)</f>
        <v/>
      </c>
      <c r="F6" s="979"/>
      <c r="G6" s="979"/>
      <c r="H6" s="979"/>
      <c r="I6" s="1087"/>
      <c r="J6" s="970" t="s">
        <v>961</v>
      </c>
      <c r="K6" s="971"/>
      <c r="L6" s="972"/>
      <c r="M6" s="978" t="str">
        <f>IF(ISBLANK(General!$D$33),"",General!$D$33)</f>
        <v/>
      </c>
      <c r="N6" s="979"/>
      <c r="O6" s="979"/>
      <c r="P6" s="979"/>
      <c r="Q6" s="979"/>
      <c r="R6" s="980"/>
    </row>
    <row r="7" spans="1:42" ht="16.5" customHeight="1" x14ac:dyDescent="0.2">
      <c r="B7" s="991" t="s">
        <v>962</v>
      </c>
      <c r="C7" s="992"/>
      <c r="D7" s="1020"/>
      <c r="E7" s="981" t="str">
        <f>IF(ISBLANK(General!$E$9),"",General!$E$9)</f>
        <v/>
      </c>
      <c r="F7" s="982"/>
      <c r="G7" s="982"/>
      <c r="H7" s="982"/>
      <c r="I7" s="1088"/>
      <c r="J7" s="975" t="s">
        <v>963</v>
      </c>
      <c r="K7" s="976"/>
      <c r="L7" s="977"/>
      <c r="M7" s="981" t="str">
        <f>IF(ISBLANK(General!$E$33),"",General!$E$33)</f>
        <v/>
      </c>
      <c r="N7" s="982"/>
      <c r="O7" s="982"/>
      <c r="P7" s="982"/>
      <c r="Q7" s="982"/>
      <c r="R7" s="983"/>
    </row>
    <row r="8" spans="1:42" ht="16.5" customHeight="1" x14ac:dyDescent="0.2">
      <c r="B8" s="1015" t="s">
        <v>932</v>
      </c>
      <c r="C8" s="1016"/>
      <c r="D8" s="1047"/>
      <c r="E8" s="957" t="str">
        <f>IF(ISBLANK(General!$E$17),"",General!$E$17)</f>
        <v/>
      </c>
      <c r="F8" s="958"/>
      <c r="G8" s="958"/>
      <c r="H8" s="958"/>
      <c r="I8" s="1081"/>
      <c r="J8" s="954" t="s">
        <v>930</v>
      </c>
      <c r="K8" s="955"/>
      <c r="L8" s="956"/>
      <c r="M8" s="957" t="str">
        <f>IF(ISBLANK(General!$E$16),"",General!$E$16)</f>
        <v/>
      </c>
      <c r="N8" s="958"/>
      <c r="O8" s="958"/>
      <c r="P8" s="958"/>
      <c r="Q8" s="958"/>
      <c r="R8" s="959"/>
    </row>
    <row r="9" spans="1:42" ht="15" customHeight="1" x14ac:dyDescent="0.25">
      <c r="B9" s="1013"/>
      <c r="C9" s="1014"/>
      <c r="D9" s="1014"/>
      <c r="E9" s="1014"/>
      <c r="F9" s="1014"/>
      <c r="G9" s="1014"/>
      <c r="H9" s="1014"/>
      <c r="I9" s="1014"/>
      <c r="J9" s="1014"/>
      <c r="K9" s="1014"/>
      <c r="L9" s="1014"/>
      <c r="M9" s="1014"/>
      <c r="N9" s="1014"/>
      <c r="O9" s="1014"/>
      <c r="P9" s="1014"/>
      <c r="Q9" s="1014"/>
      <c r="R9" s="1082"/>
    </row>
    <row r="10" spans="1:42" ht="15.75" customHeight="1" x14ac:dyDescent="0.25">
      <c r="B10" s="253"/>
      <c r="C10" s="1"/>
      <c r="D10" s="1083" t="s">
        <v>971</v>
      </c>
      <c r="E10" s="1084"/>
      <c r="F10" s="1084"/>
      <c r="G10" s="1084"/>
      <c r="H10" s="1084"/>
      <c r="I10" s="1084"/>
      <c r="J10" s="1084"/>
      <c r="K10" s="1084"/>
      <c r="L10" s="1084"/>
      <c r="M10" s="1084"/>
      <c r="N10" s="1084"/>
      <c r="O10" s="1084"/>
      <c r="P10" s="1085"/>
      <c r="Q10" s="1"/>
      <c r="R10" s="264"/>
    </row>
    <row r="11" spans="1:42" ht="15.75" customHeight="1" x14ac:dyDescent="0.3">
      <c r="B11" s="253"/>
      <c r="C11" s="1"/>
      <c r="D11" s="1086"/>
      <c r="E11" s="1086"/>
      <c r="F11" s="1086"/>
      <c r="G11" s="1086"/>
      <c r="H11" s="1086"/>
      <c r="I11" s="1086"/>
      <c r="J11" s="1086"/>
      <c r="K11" s="1086"/>
      <c r="L11" s="1086"/>
      <c r="M11" s="1086"/>
      <c r="N11" s="1086"/>
      <c r="O11" s="1086"/>
      <c r="P11" s="1086"/>
      <c r="Q11" s="1"/>
      <c r="R11" s="264"/>
      <c r="AD11" s="1091" t="s">
        <v>997</v>
      </c>
      <c r="AE11" s="1091"/>
      <c r="AF11" s="1091"/>
      <c r="AG11" s="1091"/>
      <c r="AH11" s="1091"/>
      <c r="AI11" s="1091"/>
      <c r="AJ11" s="1091"/>
      <c r="AK11" s="1091"/>
      <c r="AL11" s="1091"/>
      <c r="AM11" s="1091"/>
      <c r="AN11" s="1091"/>
      <c r="AO11" s="1091"/>
      <c r="AP11" s="1091"/>
    </row>
    <row r="12" spans="1:42" ht="16.5" customHeight="1" x14ac:dyDescent="0.25">
      <c r="B12" s="612"/>
      <c r="C12" s="613"/>
      <c r="D12" s="1066" t="s">
        <v>721</v>
      </c>
      <c r="E12" s="1067"/>
      <c r="F12" s="1067"/>
      <c r="G12" s="1067"/>
      <c r="H12" s="1067"/>
      <c r="I12" s="1067"/>
      <c r="J12" s="1071" t="s">
        <v>719</v>
      </c>
      <c r="K12" s="1071"/>
      <c r="L12" s="1071"/>
      <c r="M12" s="614" t="s">
        <v>5</v>
      </c>
      <c r="N12" s="615" t="s">
        <v>720</v>
      </c>
      <c r="O12" s="615" t="s">
        <v>992</v>
      </c>
      <c r="P12" s="615" t="s">
        <v>993</v>
      </c>
      <c r="Q12" s="1"/>
      <c r="R12" s="264"/>
      <c r="AD12" s="1066" t="s">
        <v>721</v>
      </c>
      <c r="AE12" s="1067"/>
      <c r="AF12" s="1067"/>
      <c r="AG12" s="1067"/>
      <c r="AH12" s="1067"/>
      <c r="AI12" s="1067"/>
      <c r="AJ12" s="1071" t="s">
        <v>719</v>
      </c>
      <c r="AK12" s="1071"/>
      <c r="AL12" s="1071"/>
      <c r="AM12" s="894" t="s">
        <v>5</v>
      </c>
      <c r="AN12" s="615" t="s">
        <v>720</v>
      </c>
      <c r="AO12" s="616"/>
      <c r="AP12" s="617"/>
    </row>
    <row r="13" spans="1:42" ht="15.75" customHeight="1" x14ac:dyDescent="0.2">
      <c r="B13" s="253"/>
      <c r="C13" s="1"/>
      <c r="D13" s="1075"/>
      <c r="E13" s="1051" t="s">
        <v>722</v>
      </c>
      <c r="F13" s="1052"/>
      <c r="G13" s="1052"/>
      <c r="H13" s="1052"/>
      <c r="I13" s="1053"/>
      <c r="J13" s="1057" t="s">
        <v>723</v>
      </c>
      <c r="K13" s="1058"/>
      <c r="L13" s="1059"/>
      <c r="M13" s="619" t="s">
        <v>78</v>
      </c>
      <c r="N13" s="621">
        <v>40</v>
      </c>
      <c r="O13" s="621">
        <v>40</v>
      </c>
      <c r="P13" s="621">
        <v>40</v>
      </c>
      <c r="Q13" s="1"/>
      <c r="R13" s="264"/>
      <c r="AD13" s="1075"/>
      <c r="AE13" s="1051" t="s">
        <v>722</v>
      </c>
      <c r="AF13" s="1052"/>
      <c r="AG13" s="1052"/>
      <c r="AH13" s="1052"/>
      <c r="AI13" s="1053"/>
      <c r="AJ13" s="1057" t="s">
        <v>723</v>
      </c>
      <c r="AK13" s="1058"/>
      <c r="AL13" s="1059"/>
      <c r="AM13" s="619" t="s">
        <v>78</v>
      </c>
      <c r="AN13" s="621">
        <f>N13</f>
        <v>40</v>
      </c>
      <c r="AO13" s="621">
        <f t="shared" ref="AO13:AP15" si="0">O13</f>
        <v>40</v>
      </c>
      <c r="AP13" s="621">
        <f t="shared" si="0"/>
        <v>40</v>
      </c>
    </row>
    <row r="14" spans="1:42" ht="18" customHeight="1" x14ac:dyDescent="0.2">
      <c r="B14" s="253"/>
      <c r="C14" s="1"/>
      <c r="D14" s="1076"/>
      <c r="E14" s="1054" t="s">
        <v>724</v>
      </c>
      <c r="F14" s="1055"/>
      <c r="G14" s="1055"/>
      <c r="H14" s="1055"/>
      <c r="I14" s="1056"/>
      <c r="J14" s="1060" t="s">
        <v>54</v>
      </c>
      <c r="K14" s="1061"/>
      <c r="L14" s="1062"/>
      <c r="M14" s="307" t="s">
        <v>216</v>
      </c>
      <c r="N14" s="622">
        <v>20</v>
      </c>
      <c r="O14" s="622">
        <v>20</v>
      </c>
      <c r="P14" s="622">
        <v>20</v>
      </c>
      <c r="Q14" s="1"/>
      <c r="R14" s="264"/>
      <c r="Y14" t="s">
        <v>991</v>
      </c>
      <c r="Z14" t="s">
        <v>914</v>
      </c>
      <c r="AD14" s="1076"/>
      <c r="AE14" s="1054" t="s">
        <v>724</v>
      </c>
      <c r="AF14" s="1055"/>
      <c r="AG14" s="1055"/>
      <c r="AH14" s="1055"/>
      <c r="AI14" s="1056"/>
      <c r="AJ14" s="1060" t="s">
        <v>54</v>
      </c>
      <c r="AK14" s="1061"/>
      <c r="AL14" s="1062"/>
      <c r="AM14" s="307" t="s">
        <v>216</v>
      </c>
      <c r="AN14" s="622">
        <f>N14</f>
        <v>20</v>
      </c>
      <c r="AO14" s="622">
        <f t="shared" si="0"/>
        <v>20</v>
      </c>
      <c r="AP14" s="622">
        <f t="shared" si="0"/>
        <v>20</v>
      </c>
    </row>
    <row r="15" spans="1:42" ht="15.75" customHeight="1" x14ac:dyDescent="0.2">
      <c r="B15" s="253"/>
      <c r="C15" s="1"/>
      <c r="D15" s="1076"/>
      <c r="E15" s="1054" t="s">
        <v>725</v>
      </c>
      <c r="F15" s="1055"/>
      <c r="G15" s="1055"/>
      <c r="H15" s="1055"/>
      <c r="I15" s="1056"/>
      <c r="J15" s="1060"/>
      <c r="K15" s="1061"/>
      <c r="L15" s="1062"/>
      <c r="M15" s="307" t="s">
        <v>90</v>
      </c>
      <c r="N15" s="623">
        <v>80</v>
      </c>
      <c r="O15" s="623">
        <v>80</v>
      </c>
      <c r="P15" s="623">
        <v>80</v>
      </c>
      <c r="Q15" s="1"/>
      <c r="R15" s="264"/>
      <c r="AD15" s="1076"/>
      <c r="AE15" s="1054" t="s">
        <v>725</v>
      </c>
      <c r="AF15" s="1055"/>
      <c r="AG15" s="1055"/>
      <c r="AH15" s="1055"/>
      <c r="AI15" s="1056"/>
      <c r="AJ15" s="1060"/>
      <c r="AK15" s="1061"/>
      <c r="AL15" s="1062"/>
      <c r="AM15" s="307" t="s">
        <v>90</v>
      </c>
      <c r="AN15" s="623">
        <f>N15</f>
        <v>80</v>
      </c>
      <c r="AO15" s="623">
        <f t="shared" si="0"/>
        <v>80</v>
      </c>
      <c r="AP15" s="623">
        <f t="shared" si="0"/>
        <v>80</v>
      </c>
    </row>
    <row r="16" spans="1:42" ht="26.25" customHeight="1" x14ac:dyDescent="0.2">
      <c r="A16" s="1"/>
      <c r="B16" s="253"/>
      <c r="C16" s="1"/>
      <c r="D16" s="1076"/>
      <c r="E16" s="1078" t="s">
        <v>726</v>
      </c>
      <c r="F16" s="1079"/>
      <c r="G16" s="1079"/>
      <c r="H16" s="1079"/>
      <c r="I16" s="1080"/>
      <c r="J16" s="1060" t="s">
        <v>727</v>
      </c>
      <c r="K16" s="1061"/>
      <c r="L16" s="1062"/>
      <c r="M16" s="307" t="s">
        <v>217</v>
      </c>
      <c r="N16" s="624">
        <f>PI()*(N13/2)^2*N14*0.0069444</f>
        <v>174.53180818871169</v>
      </c>
      <c r="O16" s="624">
        <f t="shared" ref="O16:P16" si="1">PI()*(O13/2)^2*O14*0.0069444</f>
        <v>174.53180818871169</v>
      </c>
      <c r="P16" s="624">
        <f t="shared" si="1"/>
        <v>174.53180818871169</v>
      </c>
      <c r="Q16" s="1"/>
      <c r="R16" s="264"/>
      <c r="Y16" s="725"/>
      <c r="Z16" s="725"/>
      <c r="AD16" s="1076"/>
      <c r="AE16" s="1078" t="s">
        <v>726</v>
      </c>
      <c r="AF16" s="1079"/>
      <c r="AG16" s="1079"/>
      <c r="AH16" s="1079"/>
      <c r="AI16" s="1080"/>
      <c r="AJ16" s="1060" t="s">
        <v>727</v>
      </c>
      <c r="AK16" s="1061"/>
      <c r="AL16" s="1062"/>
      <c r="AM16" s="307" t="s">
        <v>217</v>
      </c>
      <c r="AN16" s="624">
        <f>PI()*(AN13/2)^2*AN14*0.0069444</f>
        <v>174.53180818871169</v>
      </c>
      <c r="AO16" s="624">
        <f t="shared" ref="AO16:AP16" si="2">PI()*(AO13/2)^2*AO14*0.0069444</f>
        <v>174.53180818871169</v>
      </c>
      <c r="AP16" s="624">
        <f t="shared" si="2"/>
        <v>174.53180818871169</v>
      </c>
    </row>
    <row r="17" spans="2:42" ht="15.75" customHeight="1" x14ac:dyDescent="0.2">
      <c r="B17" s="253"/>
      <c r="C17" s="1"/>
      <c r="D17" s="1076"/>
      <c r="E17" s="1054" t="s">
        <v>729</v>
      </c>
      <c r="F17" s="1055"/>
      <c r="G17" s="1055"/>
      <c r="H17" s="1055"/>
      <c r="I17" s="1056"/>
      <c r="J17" s="1060" t="s">
        <v>730</v>
      </c>
      <c r="K17" s="1061"/>
      <c r="L17" s="1062"/>
      <c r="M17" s="307"/>
      <c r="N17" s="622">
        <v>1</v>
      </c>
      <c r="O17" s="622">
        <v>1</v>
      </c>
      <c r="P17" s="622">
        <v>1</v>
      </c>
      <c r="Q17" s="1"/>
      <c r="R17" s="264"/>
      <c r="AD17" s="1076"/>
      <c r="AE17" s="1054" t="s">
        <v>729</v>
      </c>
      <c r="AF17" s="1055"/>
      <c r="AG17" s="1055"/>
      <c r="AH17" s="1055"/>
      <c r="AI17" s="1056"/>
      <c r="AJ17" s="1060" t="s">
        <v>730</v>
      </c>
      <c r="AK17" s="1061"/>
      <c r="AL17" s="1062"/>
      <c r="AM17" s="307"/>
      <c r="AN17" s="622">
        <f>N17</f>
        <v>1</v>
      </c>
      <c r="AO17" s="622">
        <f t="shared" ref="AO17:AP18" si="3">O17</f>
        <v>1</v>
      </c>
      <c r="AP17" s="622">
        <f t="shared" si="3"/>
        <v>1</v>
      </c>
    </row>
    <row r="18" spans="2:42" ht="15.75" customHeight="1" x14ac:dyDescent="0.2">
      <c r="B18" s="253"/>
      <c r="C18" s="1"/>
      <c r="D18" s="1076"/>
      <c r="E18" s="1054" t="s">
        <v>731</v>
      </c>
      <c r="F18" s="1055"/>
      <c r="G18" s="1055"/>
      <c r="H18" s="1055"/>
      <c r="I18" s="1056"/>
      <c r="J18" s="1060" t="s">
        <v>732</v>
      </c>
      <c r="K18" s="1061"/>
      <c r="L18" s="1062"/>
      <c r="M18" s="307"/>
      <c r="N18" s="623">
        <v>100</v>
      </c>
      <c r="O18" s="623">
        <v>100</v>
      </c>
      <c r="P18" s="623">
        <v>100</v>
      </c>
      <c r="Q18" s="1"/>
      <c r="R18" s="264"/>
      <c r="AD18" s="1076"/>
      <c r="AE18" s="1054" t="s">
        <v>731</v>
      </c>
      <c r="AF18" s="1055"/>
      <c r="AG18" s="1055"/>
      <c r="AH18" s="1055"/>
      <c r="AI18" s="1056"/>
      <c r="AJ18" s="1060" t="s">
        <v>732</v>
      </c>
      <c r="AK18" s="1061"/>
      <c r="AL18" s="1062"/>
      <c r="AM18" s="307"/>
      <c r="AN18" s="623">
        <f>N18</f>
        <v>100</v>
      </c>
      <c r="AO18" s="623">
        <f t="shared" si="3"/>
        <v>100</v>
      </c>
      <c r="AP18" s="623">
        <f t="shared" si="3"/>
        <v>100</v>
      </c>
    </row>
    <row r="19" spans="2:42" ht="15.75" customHeight="1" x14ac:dyDescent="0.2">
      <c r="B19" s="253"/>
      <c r="C19" s="1"/>
      <c r="D19" s="1076"/>
      <c r="E19" s="1054" t="s">
        <v>733</v>
      </c>
      <c r="F19" s="1055"/>
      <c r="G19" s="1055"/>
      <c r="H19" s="1055"/>
      <c r="I19" s="1056"/>
      <c r="J19" s="1060" t="s">
        <v>734</v>
      </c>
      <c r="K19" s="1061"/>
      <c r="L19" s="1062"/>
      <c r="M19" s="307" t="s">
        <v>217</v>
      </c>
      <c r="N19" s="625">
        <f>N15/100*N16*N17*N18</f>
        <v>13962.544655096937</v>
      </c>
      <c r="O19" s="625">
        <f t="shared" ref="O19:P19" si="4">O15/100*O16*O17*O18</f>
        <v>13962.544655096937</v>
      </c>
      <c r="P19" s="625">
        <f t="shared" si="4"/>
        <v>13962.544655096937</v>
      </c>
      <c r="Q19" s="1"/>
      <c r="R19" s="264"/>
      <c r="AD19" s="1076"/>
      <c r="AE19" s="1054" t="s">
        <v>733</v>
      </c>
      <c r="AF19" s="1055"/>
      <c r="AG19" s="1055"/>
      <c r="AH19" s="1055"/>
      <c r="AI19" s="1056"/>
      <c r="AJ19" s="1060" t="s">
        <v>734</v>
      </c>
      <c r="AK19" s="1061"/>
      <c r="AL19" s="1062"/>
      <c r="AM19" s="307" t="s">
        <v>217</v>
      </c>
      <c r="AN19" s="625">
        <f>AN15/100*AN16*AN17*AN18</f>
        <v>13962.544655096937</v>
      </c>
      <c r="AO19" s="625">
        <f t="shared" ref="AO19:AP19" si="5">AO15/100*AO16*AO17*AO18</f>
        <v>13962.544655096937</v>
      </c>
      <c r="AP19" s="625">
        <f t="shared" si="5"/>
        <v>13962.544655096937</v>
      </c>
    </row>
    <row r="20" spans="2:42" ht="15.75" customHeight="1" x14ac:dyDescent="0.2">
      <c r="B20" s="253"/>
      <c r="C20" s="1"/>
      <c r="D20" s="1077"/>
      <c r="E20" s="1063" t="s">
        <v>735</v>
      </c>
      <c r="F20" s="1064"/>
      <c r="G20" s="1064"/>
      <c r="H20" s="1064"/>
      <c r="I20" s="1065"/>
      <c r="J20" s="1068" t="s">
        <v>736</v>
      </c>
      <c r="K20" s="1069"/>
      <c r="L20" s="1070"/>
      <c r="M20" s="620" t="s">
        <v>217</v>
      </c>
      <c r="N20" s="626">
        <f>N16*N17*N18</f>
        <v>17453.180818871169</v>
      </c>
      <c r="O20" s="626">
        <f t="shared" ref="O20:P20" si="6">O16*O17*O18</f>
        <v>17453.180818871169</v>
      </c>
      <c r="P20" s="626">
        <f t="shared" si="6"/>
        <v>17453.180818871169</v>
      </c>
      <c r="Q20" s="1"/>
      <c r="R20" s="264"/>
      <c r="AD20" s="1077"/>
      <c r="AE20" s="1063" t="s">
        <v>735</v>
      </c>
      <c r="AF20" s="1064"/>
      <c r="AG20" s="1064"/>
      <c r="AH20" s="1064"/>
      <c r="AI20" s="1065"/>
      <c r="AJ20" s="1068" t="s">
        <v>736</v>
      </c>
      <c r="AK20" s="1069"/>
      <c r="AL20" s="1070"/>
      <c r="AM20" s="620" t="s">
        <v>217</v>
      </c>
      <c r="AN20" s="626">
        <f>AN16*AN17*AN18</f>
        <v>17453.180818871169</v>
      </c>
      <c r="AO20" s="626">
        <f t="shared" ref="AO20:AP20" si="7">AO16*AO17*AO18</f>
        <v>17453.180818871169</v>
      </c>
      <c r="AP20" s="626">
        <f t="shared" si="7"/>
        <v>17453.180818871169</v>
      </c>
    </row>
    <row r="21" spans="2:42" ht="15.75" customHeight="1" x14ac:dyDescent="0.25">
      <c r="B21" s="253"/>
      <c r="C21" s="1"/>
      <c r="D21" s="1066" t="s">
        <v>737</v>
      </c>
      <c r="E21" s="1067"/>
      <c r="F21" s="1067"/>
      <c r="G21" s="1067"/>
      <c r="H21" s="1067"/>
      <c r="I21" s="1067"/>
      <c r="J21" s="1071" t="s">
        <v>719</v>
      </c>
      <c r="K21" s="1071"/>
      <c r="L21" s="1071"/>
      <c r="M21" s="614" t="s">
        <v>5</v>
      </c>
      <c r="N21" s="618"/>
      <c r="O21" s="616"/>
      <c r="P21" s="617"/>
      <c r="Q21" s="1"/>
      <c r="R21" s="264"/>
      <c r="AD21" s="1066" t="s">
        <v>737</v>
      </c>
      <c r="AE21" s="1067"/>
      <c r="AF21" s="1067"/>
      <c r="AG21" s="1067"/>
      <c r="AH21" s="1067"/>
      <c r="AI21" s="1067"/>
      <c r="AJ21" s="1071" t="s">
        <v>719</v>
      </c>
      <c r="AK21" s="1071"/>
      <c r="AL21" s="1071"/>
      <c r="AM21" s="894" t="s">
        <v>5</v>
      </c>
      <c r="AN21" s="618"/>
      <c r="AO21" s="618"/>
      <c r="AP21" s="618"/>
    </row>
    <row r="22" spans="2:42" ht="15.75" customHeight="1" x14ac:dyDescent="0.2">
      <c r="B22" s="253"/>
      <c r="C22" s="1"/>
      <c r="D22" s="1075"/>
      <c r="E22" s="1051" t="s">
        <v>722</v>
      </c>
      <c r="F22" s="1052"/>
      <c r="G22" s="1052"/>
      <c r="H22" s="1052"/>
      <c r="I22" s="1053"/>
      <c r="J22" s="1057" t="s">
        <v>723</v>
      </c>
      <c r="K22" s="1058"/>
      <c r="L22" s="1059"/>
      <c r="M22" s="619" t="s">
        <v>78</v>
      </c>
      <c r="N22" s="627">
        <v>92.04</v>
      </c>
      <c r="O22" s="627">
        <v>92.04</v>
      </c>
      <c r="P22" s="627">
        <v>92.04</v>
      </c>
      <c r="Q22" s="1"/>
      <c r="R22" s="264"/>
      <c r="AD22" s="1075"/>
      <c r="AE22" s="1051" t="s">
        <v>722</v>
      </c>
      <c r="AF22" s="1052"/>
      <c r="AG22" s="1052"/>
      <c r="AH22" s="1052"/>
      <c r="AI22" s="1053"/>
      <c r="AJ22" s="1057" t="s">
        <v>723</v>
      </c>
      <c r="AK22" s="1058"/>
      <c r="AL22" s="1059"/>
      <c r="AM22" s="619" t="s">
        <v>78</v>
      </c>
      <c r="AN22" s="627">
        <f>N22</f>
        <v>92.04</v>
      </c>
      <c r="AO22" s="627">
        <f t="shared" ref="AO22:AP24" si="8">O22</f>
        <v>92.04</v>
      </c>
      <c r="AP22" s="627">
        <f t="shared" si="8"/>
        <v>92.04</v>
      </c>
    </row>
    <row r="23" spans="2:42" ht="15.75" customHeight="1" x14ac:dyDescent="0.2">
      <c r="B23" s="253"/>
      <c r="C23" s="1"/>
      <c r="D23" s="1076"/>
      <c r="E23" s="1054" t="s">
        <v>724</v>
      </c>
      <c r="F23" s="1055"/>
      <c r="G23" s="1055"/>
      <c r="H23" s="1055"/>
      <c r="I23" s="1056"/>
      <c r="J23" s="1060" t="s">
        <v>54</v>
      </c>
      <c r="K23" s="1061"/>
      <c r="L23" s="1062"/>
      <c r="M23" s="307" t="s">
        <v>216</v>
      </c>
      <c r="N23" s="628">
        <v>8.81</v>
      </c>
      <c r="O23" s="628">
        <v>8.81</v>
      </c>
      <c r="P23" s="628">
        <v>8.81</v>
      </c>
      <c r="Q23" s="1"/>
      <c r="R23" s="264"/>
      <c r="AD23" s="1076"/>
      <c r="AE23" s="1054" t="s">
        <v>724</v>
      </c>
      <c r="AF23" s="1055"/>
      <c r="AG23" s="1055"/>
      <c r="AH23" s="1055"/>
      <c r="AI23" s="1056"/>
      <c r="AJ23" s="1060" t="s">
        <v>54</v>
      </c>
      <c r="AK23" s="1061"/>
      <c r="AL23" s="1062"/>
      <c r="AM23" s="307" t="s">
        <v>216</v>
      </c>
      <c r="AN23" s="628">
        <f>N23</f>
        <v>8.81</v>
      </c>
      <c r="AO23" s="628">
        <f t="shared" si="8"/>
        <v>8.81</v>
      </c>
      <c r="AP23" s="628">
        <f t="shared" si="8"/>
        <v>8.81</v>
      </c>
    </row>
    <row r="24" spans="2:42" ht="15.75" customHeight="1" x14ac:dyDescent="0.2">
      <c r="B24" s="253"/>
      <c r="C24" s="1"/>
      <c r="D24" s="1076"/>
      <c r="E24" s="1054" t="s">
        <v>725</v>
      </c>
      <c r="F24" s="1055"/>
      <c r="G24" s="1055"/>
      <c r="H24" s="1055"/>
      <c r="I24" s="1056"/>
      <c r="J24" s="1060"/>
      <c r="K24" s="1061"/>
      <c r="L24" s="1062"/>
      <c r="M24" s="307" t="s">
        <v>90</v>
      </c>
      <c r="N24" s="629">
        <v>80</v>
      </c>
      <c r="O24" s="629">
        <v>80</v>
      </c>
      <c r="P24" s="629">
        <v>80</v>
      </c>
      <c r="Q24" s="1"/>
      <c r="R24" s="264"/>
      <c r="AD24" s="1076"/>
      <c r="AE24" s="1054" t="s">
        <v>725</v>
      </c>
      <c r="AF24" s="1055"/>
      <c r="AG24" s="1055"/>
      <c r="AH24" s="1055"/>
      <c r="AI24" s="1056"/>
      <c r="AJ24" s="1060"/>
      <c r="AK24" s="1061"/>
      <c r="AL24" s="1062"/>
      <c r="AM24" s="307" t="s">
        <v>90</v>
      </c>
      <c r="AN24" s="629">
        <f>N24</f>
        <v>80</v>
      </c>
      <c r="AO24" s="629">
        <f t="shared" si="8"/>
        <v>80</v>
      </c>
      <c r="AP24" s="629">
        <f t="shared" si="8"/>
        <v>80</v>
      </c>
    </row>
    <row r="25" spans="2:42" ht="17.25" customHeight="1" x14ac:dyDescent="0.2">
      <c r="B25" s="253"/>
      <c r="C25" s="1"/>
      <c r="D25" s="1076"/>
      <c r="E25" s="1078" t="s">
        <v>726</v>
      </c>
      <c r="F25" s="1079"/>
      <c r="G25" s="1079"/>
      <c r="H25" s="1079"/>
      <c r="I25" s="1080"/>
      <c r="J25" s="1060" t="s">
        <v>727</v>
      </c>
      <c r="K25" s="1061"/>
      <c r="L25" s="1062"/>
      <c r="M25" s="307" t="s">
        <v>217</v>
      </c>
      <c r="N25" s="624">
        <f>PI()*((N22/2)^2*N23*0.0069444)</f>
        <v>407.05560405689886</v>
      </c>
      <c r="O25" s="624">
        <f t="shared" ref="O25:P25" si="9">PI()*((O22/2)^2*O23*0.0069444)</f>
        <v>407.05560405689886</v>
      </c>
      <c r="P25" s="624">
        <f t="shared" si="9"/>
        <v>407.05560405689886</v>
      </c>
      <c r="Q25" s="1"/>
      <c r="R25" s="264"/>
      <c r="AD25" s="1076"/>
      <c r="AE25" s="1078" t="s">
        <v>726</v>
      </c>
      <c r="AF25" s="1079"/>
      <c r="AG25" s="1079"/>
      <c r="AH25" s="1079"/>
      <c r="AI25" s="1080"/>
      <c r="AJ25" s="1060" t="s">
        <v>727</v>
      </c>
      <c r="AK25" s="1061"/>
      <c r="AL25" s="1062"/>
      <c r="AM25" s="307" t="s">
        <v>217</v>
      </c>
      <c r="AN25" s="624">
        <f>PI()*((AN22/2)^2*AN23*0.0069444)</f>
        <v>407.05560405689886</v>
      </c>
      <c r="AO25" s="624">
        <f t="shared" ref="AO25:AP25" si="10">PI()*((AO22/2)^2*AO23*0.0069444)</f>
        <v>407.05560405689886</v>
      </c>
      <c r="AP25" s="624">
        <f t="shared" si="10"/>
        <v>407.05560405689886</v>
      </c>
    </row>
    <row r="26" spans="2:42" ht="16.5" customHeight="1" x14ac:dyDescent="0.2">
      <c r="B26" s="253"/>
      <c r="C26" s="1"/>
      <c r="D26" s="1076"/>
      <c r="E26" s="1054" t="s">
        <v>729</v>
      </c>
      <c r="F26" s="1055"/>
      <c r="G26" s="1055"/>
      <c r="H26" s="1055"/>
      <c r="I26" s="1056"/>
      <c r="J26" s="1060" t="s">
        <v>730</v>
      </c>
      <c r="K26" s="1061"/>
      <c r="L26" s="1062"/>
      <c r="M26" s="307"/>
      <c r="N26" s="629">
        <v>8</v>
      </c>
      <c r="O26" s="629">
        <v>8</v>
      </c>
      <c r="P26" s="629">
        <v>8</v>
      </c>
      <c r="Q26" s="1"/>
      <c r="R26" s="264"/>
      <c r="AD26" s="1076"/>
      <c r="AE26" s="1054" t="s">
        <v>729</v>
      </c>
      <c r="AF26" s="1055"/>
      <c r="AG26" s="1055"/>
      <c r="AH26" s="1055"/>
      <c r="AI26" s="1056"/>
      <c r="AJ26" s="1060" t="s">
        <v>730</v>
      </c>
      <c r="AK26" s="1061"/>
      <c r="AL26" s="1062"/>
      <c r="AM26" s="307"/>
      <c r="AN26" s="629">
        <f>N26</f>
        <v>8</v>
      </c>
      <c r="AO26" s="629">
        <f t="shared" ref="AO26:AP27" si="11">O26</f>
        <v>8</v>
      </c>
      <c r="AP26" s="629">
        <f t="shared" si="11"/>
        <v>8</v>
      </c>
    </row>
    <row r="27" spans="2:42" ht="15.75" customHeight="1" x14ac:dyDescent="0.2">
      <c r="B27" s="253"/>
      <c r="C27" s="1"/>
      <c r="D27" s="1076"/>
      <c r="E27" s="1054" t="s">
        <v>731</v>
      </c>
      <c r="F27" s="1055"/>
      <c r="G27" s="1055"/>
      <c r="H27" s="1055"/>
      <c r="I27" s="1056"/>
      <c r="J27" s="1060" t="s">
        <v>732</v>
      </c>
      <c r="K27" s="1061"/>
      <c r="L27" s="1062"/>
      <c r="M27" s="307"/>
      <c r="N27" s="629">
        <v>14</v>
      </c>
      <c r="O27" s="629">
        <v>14</v>
      </c>
      <c r="P27" s="629">
        <v>14</v>
      </c>
      <c r="Q27" s="1"/>
      <c r="R27" s="264"/>
      <c r="AD27" s="1076"/>
      <c r="AE27" s="1054" t="s">
        <v>731</v>
      </c>
      <c r="AF27" s="1055"/>
      <c r="AG27" s="1055"/>
      <c r="AH27" s="1055"/>
      <c r="AI27" s="1056"/>
      <c r="AJ27" s="1060" t="s">
        <v>732</v>
      </c>
      <c r="AK27" s="1061"/>
      <c r="AL27" s="1062"/>
      <c r="AM27" s="307"/>
      <c r="AN27" s="629">
        <f>N27</f>
        <v>14</v>
      </c>
      <c r="AO27" s="629">
        <f t="shared" si="11"/>
        <v>14</v>
      </c>
      <c r="AP27" s="629">
        <f t="shared" si="11"/>
        <v>14</v>
      </c>
    </row>
    <row r="28" spans="2:42" ht="15.75" customHeight="1" x14ac:dyDescent="0.2">
      <c r="B28" s="253"/>
      <c r="C28" s="1"/>
      <c r="D28" s="1076"/>
      <c r="E28" s="1054" t="s">
        <v>733</v>
      </c>
      <c r="F28" s="1055"/>
      <c r="G28" s="1055"/>
      <c r="H28" s="1055"/>
      <c r="I28" s="1056"/>
      <c r="J28" s="1060" t="s">
        <v>734</v>
      </c>
      <c r="K28" s="1061"/>
      <c r="L28" s="1062"/>
      <c r="M28" s="307" t="s">
        <v>217</v>
      </c>
      <c r="N28" s="624">
        <f>N24/100*N25*N26*N27</f>
        <v>36472.18212349814</v>
      </c>
      <c r="O28" s="624">
        <f t="shared" ref="O28:P28" si="12">O24/100*O25*O26*O27</f>
        <v>36472.18212349814</v>
      </c>
      <c r="P28" s="624">
        <f t="shared" si="12"/>
        <v>36472.18212349814</v>
      </c>
      <c r="Q28" s="1"/>
      <c r="R28" s="264"/>
      <c r="AD28" s="1076"/>
      <c r="AE28" s="1054" t="s">
        <v>733</v>
      </c>
      <c r="AF28" s="1055"/>
      <c r="AG28" s="1055"/>
      <c r="AH28" s="1055"/>
      <c r="AI28" s="1056"/>
      <c r="AJ28" s="1060" t="s">
        <v>734</v>
      </c>
      <c r="AK28" s="1061"/>
      <c r="AL28" s="1062"/>
      <c r="AM28" s="307" t="s">
        <v>217</v>
      </c>
      <c r="AN28" s="624">
        <f>AN24/100*AN25*AN26*AN27</f>
        <v>36472.18212349814</v>
      </c>
      <c r="AO28" s="624">
        <f t="shared" ref="AO28:AP28" si="13">AO24/100*AO25*AO26*AO27</f>
        <v>36472.18212349814</v>
      </c>
      <c r="AP28" s="624">
        <f t="shared" si="13"/>
        <v>36472.18212349814</v>
      </c>
    </row>
    <row r="29" spans="2:42" ht="15.75" customHeight="1" x14ac:dyDescent="0.2">
      <c r="B29" s="253"/>
      <c r="C29" s="1"/>
      <c r="D29" s="1077"/>
      <c r="E29" s="1063" t="s">
        <v>735</v>
      </c>
      <c r="F29" s="1064"/>
      <c r="G29" s="1064"/>
      <c r="H29" s="1064"/>
      <c r="I29" s="1065"/>
      <c r="J29" s="1068" t="s">
        <v>738</v>
      </c>
      <c r="K29" s="1069"/>
      <c r="L29" s="1070"/>
      <c r="M29" s="620" t="s">
        <v>217</v>
      </c>
      <c r="N29" s="626">
        <f>N25*N26*N27</f>
        <v>45590.227654372669</v>
      </c>
      <c r="O29" s="626">
        <f t="shared" ref="O29:P29" si="14">O25*O26*O27</f>
        <v>45590.227654372669</v>
      </c>
      <c r="P29" s="626">
        <f t="shared" si="14"/>
        <v>45590.227654372669</v>
      </c>
      <c r="Q29" s="1"/>
      <c r="R29" s="264"/>
      <c r="AD29" s="1077"/>
      <c r="AE29" s="1063" t="s">
        <v>735</v>
      </c>
      <c r="AF29" s="1064"/>
      <c r="AG29" s="1064"/>
      <c r="AH29" s="1064"/>
      <c r="AI29" s="1065"/>
      <c r="AJ29" s="1068" t="s">
        <v>738</v>
      </c>
      <c r="AK29" s="1069"/>
      <c r="AL29" s="1070"/>
      <c r="AM29" s="620" t="s">
        <v>217</v>
      </c>
      <c r="AN29" s="626">
        <f>AN25*AN26*AN27</f>
        <v>45590.227654372669</v>
      </c>
      <c r="AO29" s="626">
        <f t="shared" ref="AO29:AP29" si="15">AO25*AO26*AO27</f>
        <v>45590.227654372669</v>
      </c>
      <c r="AP29" s="626">
        <f t="shared" si="15"/>
        <v>45590.227654372669</v>
      </c>
    </row>
    <row r="30" spans="2:42" ht="21" customHeight="1" x14ac:dyDescent="0.3">
      <c r="B30" s="253"/>
      <c r="C30" s="1"/>
      <c r="D30" s="1"/>
      <c r="E30" s="1"/>
      <c r="F30" s="306"/>
      <c r="G30" s="1"/>
      <c r="H30" s="1"/>
      <c r="I30" s="1"/>
      <c r="J30" s="1073" t="s">
        <v>994</v>
      </c>
      <c r="K30" s="1073"/>
      <c r="L30" s="1073"/>
      <c r="M30" s="1073"/>
      <c r="N30" s="1095"/>
      <c r="O30" s="1096"/>
      <c r="P30" s="1097"/>
      <c r="Q30" s="1"/>
      <c r="R30" s="264"/>
      <c r="AD30" s="1091" t="s">
        <v>996</v>
      </c>
      <c r="AE30" s="1091"/>
      <c r="AF30" s="1091"/>
      <c r="AG30" s="1091"/>
      <c r="AH30" s="1091"/>
      <c r="AI30" s="1091"/>
      <c r="AJ30" s="1091"/>
      <c r="AK30" s="1091"/>
      <c r="AL30" s="1091"/>
      <c r="AM30" s="1091"/>
      <c r="AN30" s="1091"/>
      <c r="AO30" s="1091"/>
      <c r="AP30" s="1091"/>
    </row>
    <row r="31" spans="2:42" ht="15.75" customHeight="1" x14ac:dyDescent="0.25">
      <c r="B31" s="253"/>
      <c r="C31" s="1"/>
      <c r="D31" s="1"/>
      <c r="E31" s="1"/>
      <c r="F31" s="306"/>
      <c r="G31" s="1"/>
      <c r="H31" s="1"/>
      <c r="I31" s="1"/>
      <c r="J31" s="1074" t="s">
        <v>972</v>
      </c>
      <c r="K31" s="1074"/>
      <c r="L31" s="1074"/>
      <c r="M31" s="1074"/>
      <c r="N31" s="630">
        <f>N20+N29</f>
        <v>63043.408473243835</v>
      </c>
      <c r="O31" s="630">
        <f t="shared" ref="O31:P31" si="16">O20+O29</f>
        <v>63043.408473243835</v>
      </c>
      <c r="P31" s="630">
        <f t="shared" si="16"/>
        <v>63043.408473243835</v>
      </c>
      <c r="Q31" s="1"/>
      <c r="R31" s="264"/>
      <c r="AD31" s="1066" t="s">
        <v>721</v>
      </c>
      <c r="AE31" s="1067"/>
      <c r="AF31" s="1067"/>
      <c r="AG31" s="1067"/>
      <c r="AH31" s="1067"/>
      <c r="AI31" s="1067"/>
      <c r="AJ31" s="1071" t="s">
        <v>719</v>
      </c>
      <c r="AK31" s="1071"/>
      <c r="AL31" s="1071"/>
      <c r="AM31" s="894" t="s">
        <v>5</v>
      </c>
      <c r="AN31" s="615" t="s">
        <v>720</v>
      </c>
      <c r="AO31" s="616"/>
      <c r="AP31" s="617"/>
    </row>
    <row r="32" spans="2:42" ht="15.75" customHeight="1" x14ac:dyDescent="0.2">
      <c r="B32" s="253"/>
      <c r="C32" s="1"/>
      <c r="D32" s="1"/>
      <c r="E32" s="1"/>
      <c r="F32" s="306"/>
      <c r="G32" s="1"/>
      <c r="H32" s="1"/>
      <c r="I32" s="1"/>
      <c r="J32" s="1092"/>
      <c r="K32" s="1093"/>
      <c r="L32" s="1093"/>
      <c r="M32" s="1093"/>
      <c r="N32" s="1093"/>
      <c r="O32" s="1093"/>
      <c r="P32" s="1094"/>
      <c r="Q32" s="1"/>
      <c r="R32" s="264"/>
      <c r="AD32" s="1075"/>
      <c r="AE32" s="1051" t="s">
        <v>722</v>
      </c>
      <c r="AF32" s="1052"/>
      <c r="AG32" s="1052"/>
      <c r="AH32" s="1052"/>
      <c r="AI32" s="1053"/>
      <c r="AJ32" s="1057" t="s">
        <v>723</v>
      </c>
      <c r="AK32" s="1058"/>
      <c r="AL32" s="1059"/>
      <c r="AM32" s="619" t="s">
        <v>78</v>
      </c>
      <c r="AN32" s="621">
        <v>40</v>
      </c>
      <c r="AO32" s="621">
        <v>40</v>
      </c>
      <c r="AP32" s="621">
        <v>40</v>
      </c>
    </row>
    <row r="33" spans="2:42" ht="21" customHeight="1" x14ac:dyDescent="0.2">
      <c r="B33" s="253"/>
      <c r="C33" s="1"/>
      <c r="D33" s="1"/>
      <c r="E33" s="1"/>
      <c r="F33" s="306"/>
      <c r="G33" s="1"/>
      <c r="H33" s="1"/>
      <c r="I33" s="1"/>
      <c r="J33" s="1074" t="s">
        <v>995</v>
      </c>
      <c r="K33" s="1074"/>
      <c r="L33" s="1074"/>
      <c r="M33" s="1074"/>
      <c r="N33" s="1098"/>
      <c r="O33" s="1099"/>
      <c r="P33" s="1100"/>
      <c r="Q33" s="1"/>
      <c r="R33" s="264"/>
      <c r="AD33" s="1076"/>
      <c r="AE33" s="1054" t="s">
        <v>724</v>
      </c>
      <c r="AF33" s="1055"/>
      <c r="AG33" s="1055"/>
      <c r="AH33" s="1055"/>
      <c r="AI33" s="1056"/>
      <c r="AJ33" s="1060" t="s">
        <v>54</v>
      </c>
      <c r="AK33" s="1061"/>
      <c r="AL33" s="1062"/>
      <c r="AM33" s="307" t="s">
        <v>216</v>
      </c>
      <c r="AN33" s="622">
        <v>20</v>
      </c>
      <c r="AO33" s="622">
        <v>20</v>
      </c>
      <c r="AP33" s="622">
        <v>20</v>
      </c>
    </row>
    <row r="34" spans="2:42" ht="15.75" customHeight="1" x14ac:dyDescent="0.2">
      <c r="B34" s="253"/>
      <c r="C34" s="1"/>
      <c r="D34" s="1"/>
      <c r="E34" s="1"/>
      <c r="F34" s="309"/>
      <c r="G34" s="1"/>
      <c r="H34" s="1"/>
      <c r="I34" s="1"/>
      <c r="J34" s="1072" t="s">
        <v>972</v>
      </c>
      <c r="K34" s="1072"/>
      <c r="L34" s="1072"/>
      <c r="M34" s="1072"/>
      <c r="N34" s="631">
        <f>N19+N28</f>
        <v>50434.726778595075</v>
      </c>
      <c r="O34" s="631">
        <f t="shared" ref="O34:P34" si="17">O19+O28</f>
        <v>50434.726778595075</v>
      </c>
      <c r="P34" s="631">
        <f t="shared" si="17"/>
        <v>50434.726778595075</v>
      </c>
      <c r="Q34" s="1"/>
      <c r="R34" s="264"/>
      <c r="AD34" s="1076"/>
      <c r="AE34" s="1054" t="s">
        <v>725</v>
      </c>
      <c r="AF34" s="1055"/>
      <c r="AG34" s="1055"/>
      <c r="AH34" s="1055"/>
      <c r="AI34" s="1056"/>
      <c r="AJ34" s="1060"/>
      <c r="AK34" s="1061"/>
      <c r="AL34" s="1062"/>
      <c r="AM34" s="307" t="s">
        <v>90</v>
      </c>
      <c r="AN34" s="623">
        <v>80</v>
      </c>
      <c r="AO34" s="623">
        <v>80</v>
      </c>
      <c r="AP34" s="623">
        <v>80</v>
      </c>
    </row>
    <row r="35" spans="2:42" s="1" customFormat="1" ht="15.75" customHeight="1" x14ac:dyDescent="0.2">
      <c r="B35" s="253"/>
      <c r="F35" s="309"/>
      <c r="J35" s="1101"/>
      <c r="K35" s="1102"/>
      <c r="L35" s="1102"/>
      <c r="M35" s="1102"/>
      <c r="N35" s="1102"/>
      <c r="O35" s="1102"/>
      <c r="P35" s="1103"/>
      <c r="R35" s="264"/>
      <c r="AD35" s="1076"/>
      <c r="AE35" s="1078" t="s">
        <v>726</v>
      </c>
      <c r="AF35" s="1079"/>
      <c r="AG35" s="1079"/>
      <c r="AH35" s="1079"/>
      <c r="AI35" s="1080"/>
      <c r="AJ35" s="1060" t="s">
        <v>727</v>
      </c>
      <c r="AK35" s="1061"/>
      <c r="AL35" s="1062"/>
      <c r="AM35" s="307" t="s">
        <v>217</v>
      </c>
      <c r="AN35" s="624">
        <f>PI()*(AN32/2)^2*AN33*0.0069444</f>
        <v>174.53180818871169</v>
      </c>
      <c r="AO35" s="624">
        <f>PI()*(AO32/2)^2*AO33*0.0069444</f>
        <v>174.53180818871169</v>
      </c>
      <c r="AP35" s="624">
        <f>PI()*(AP32/2)^2*AP33*0.0069444</f>
        <v>174.53180818871169</v>
      </c>
    </row>
    <row r="36" spans="2:42" s="1" customFormat="1" ht="16.5" customHeight="1" x14ac:dyDescent="0.2">
      <c r="B36" s="253"/>
      <c r="F36" s="310"/>
      <c r="R36" s="264"/>
      <c r="AD36" s="1076"/>
      <c r="AE36" s="1054" t="s">
        <v>729</v>
      </c>
      <c r="AF36" s="1055"/>
      <c r="AG36" s="1055"/>
      <c r="AH36" s="1055"/>
      <c r="AI36" s="1056"/>
      <c r="AJ36" s="1060" t="s">
        <v>730</v>
      </c>
      <c r="AK36" s="1061"/>
      <c r="AL36" s="1062"/>
      <c r="AM36" s="307"/>
      <c r="AN36" s="622">
        <v>1</v>
      </c>
      <c r="AO36" s="622">
        <v>1</v>
      </c>
      <c r="AP36" s="622">
        <v>1</v>
      </c>
    </row>
    <row r="37" spans="2:42" s="1" customFormat="1" ht="15.75" customHeight="1" x14ac:dyDescent="0.2">
      <c r="B37" s="253"/>
      <c r="R37" s="264"/>
      <c r="AD37" s="1076"/>
      <c r="AE37" s="1054" t="s">
        <v>731</v>
      </c>
      <c r="AF37" s="1055"/>
      <c r="AG37" s="1055"/>
      <c r="AH37" s="1055"/>
      <c r="AI37" s="1056"/>
      <c r="AJ37" s="1060" t="s">
        <v>732</v>
      </c>
      <c r="AK37" s="1061"/>
      <c r="AL37" s="1062"/>
      <c r="AM37" s="307"/>
      <c r="AN37" s="623">
        <v>100</v>
      </c>
      <c r="AO37" s="623">
        <v>100</v>
      </c>
      <c r="AP37" s="623">
        <v>100</v>
      </c>
    </row>
    <row r="38" spans="2:42" ht="19.5" customHeight="1" x14ac:dyDescent="0.2">
      <c r="B38" s="253"/>
      <c r="C38" s="1"/>
      <c r="D38" s="1"/>
      <c r="E38" s="1"/>
      <c r="F38" s="1"/>
      <c r="G38" s="1"/>
      <c r="H38" s="1"/>
      <c r="I38" s="1"/>
      <c r="J38" s="1"/>
      <c r="K38" s="1"/>
      <c r="L38" s="1"/>
      <c r="M38" s="1"/>
      <c r="N38" s="1"/>
      <c r="O38" s="1"/>
      <c r="P38" s="1"/>
      <c r="Q38" s="1"/>
      <c r="R38" s="264"/>
      <c r="AD38" s="1076"/>
      <c r="AE38" s="1054" t="s">
        <v>733</v>
      </c>
      <c r="AF38" s="1055"/>
      <c r="AG38" s="1055"/>
      <c r="AH38" s="1055"/>
      <c r="AI38" s="1056"/>
      <c r="AJ38" s="1060" t="s">
        <v>734</v>
      </c>
      <c r="AK38" s="1061"/>
      <c r="AL38" s="1062"/>
      <c r="AM38" s="307" t="s">
        <v>217</v>
      </c>
      <c r="AN38" s="625">
        <f>AN34/100*AN35*AN36*AN37</f>
        <v>13962.544655096937</v>
      </c>
      <c r="AO38" s="625">
        <f>AO34/100*AO35*AO36*AO37</f>
        <v>13962.544655096937</v>
      </c>
      <c r="AP38" s="625">
        <f>AP34/100*AP35*AP36*AP37</f>
        <v>13962.544655096937</v>
      </c>
    </row>
    <row r="39" spans="2:42" ht="15.75" customHeight="1" x14ac:dyDescent="0.2">
      <c r="B39" s="253"/>
      <c r="C39" s="1"/>
      <c r="D39" s="1"/>
      <c r="E39" s="1"/>
      <c r="F39" s="1"/>
      <c r="G39" s="1"/>
      <c r="H39" s="1"/>
      <c r="I39" s="1"/>
      <c r="J39" s="1"/>
      <c r="K39" s="1"/>
      <c r="L39" s="1"/>
      <c r="M39" s="1"/>
      <c r="N39" s="1"/>
      <c r="O39" s="1"/>
      <c r="P39" s="1"/>
      <c r="Q39" s="1"/>
      <c r="R39" s="264"/>
      <c r="AD39" s="1077"/>
      <c r="AE39" s="1063" t="s">
        <v>735</v>
      </c>
      <c r="AF39" s="1064"/>
      <c r="AG39" s="1064"/>
      <c r="AH39" s="1064"/>
      <c r="AI39" s="1065"/>
      <c r="AJ39" s="1068" t="s">
        <v>736</v>
      </c>
      <c r="AK39" s="1069"/>
      <c r="AL39" s="1070"/>
      <c r="AM39" s="620" t="s">
        <v>217</v>
      </c>
      <c r="AN39" s="626">
        <f>AN35*AN36*AN37</f>
        <v>17453.180818871169</v>
      </c>
      <c r="AO39" s="626">
        <f>AO35*AO36*AO37</f>
        <v>17453.180818871169</v>
      </c>
      <c r="AP39" s="626">
        <f>AP35*AP36*AP37</f>
        <v>17453.180818871169</v>
      </c>
    </row>
    <row r="40" spans="2:42" ht="15.75" customHeight="1" x14ac:dyDescent="0.25">
      <c r="B40" s="253"/>
      <c r="C40" s="1"/>
      <c r="D40" s="1"/>
      <c r="E40" s="1"/>
      <c r="F40" s="1"/>
      <c r="G40" s="1"/>
      <c r="H40" s="1"/>
      <c r="I40" s="1"/>
      <c r="J40" s="1"/>
      <c r="K40" s="1"/>
      <c r="L40" s="1"/>
      <c r="M40" s="1"/>
      <c r="N40" s="1"/>
      <c r="O40" s="1"/>
      <c r="P40" s="1"/>
      <c r="Q40" s="1"/>
      <c r="R40" s="264"/>
      <c r="AD40" s="1066" t="s">
        <v>737</v>
      </c>
      <c r="AE40" s="1067"/>
      <c r="AF40" s="1067"/>
      <c r="AG40" s="1067"/>
      <c r="AH40" s="1067"/>
      <c r="AI40" s="1067"/>
      <c r="AJ40" s="1071" t="s">
        <v>719</v>
      </c>
      <c r="AK40" s="1071"/>
      <c r="AL40" s="1071"/>
      <c r="AM40" s="894" t="s">
        <v>5</v>
      </c>
      <c r="AN40" s="618"/>
      <c r="AO40" s="618"/>
      <c r="AP40" s="618"/>
    </row>
    <row r="41" spans="2:42" ht="15.75" customHeight="1" x14ac:dyDescent="0.2">
      <c r="B41" s="253"/>
      <c r="C41" s="1"/>
      <c r="D41" s="1"/>
      <c r="E41" s="1"/>
      <c r="F41" s="1"/>
      <c r="G41" s="1"/>
      <c r="H41" s="1"/>
      <c r="I41" s="1"/>
      <c r="J41" s="1"/>
      <c r="K41" s="1"/>
      <c r="L41" s="1"/>
      <c r="M41" s="1"/>
      <c r="N41" s="1"/>
      <c r="O41" s="1"/>
      <c r="P41" s="1"/>
      <c r="Q41" s="1"/>
      <c r="R41" s="264"/>
      <c r="AD41" s="1075"/>
      <c r="AE41" s="1051" t="s">
        <v>722</v>
      </c>
      <c r="AF41" s="1052"/>
      <c r="AG41" s="1052"/>
      <c r="AH41" s="1052"/>
      <c r="AI41" s="1053"/>
      <c r="AJ41" s="1057" t="s">
        <v>723</v>
      </c>
      <c r="AK41" s="1058"/>
      <c r="AL41" s="1059"/>
      <c r="AM41" s="619" t="s">
        <v>78</v>
      </c>
      <c r="AN41" s="627">
        <v>92.04</v>
      </c>
      <c r="AO41" s="627">
        <v>92.04</v>
      </c>
      <c r="AP41" s="627">
        <v>92.04</v>
      </c>
    </row>
    <row r="42" spans="2:42" ht="15.75" customHeight="1" x14ac:dyDescent="0.2">
      <c r="B42" s="253"/>
      <c r="C42" s="1"/>
      <c r="D42" s="1"/>
      <c r="E42" s="1"/>
      <c r="F42" s="1"/>
      <c r="G42" s="1"/>
      <c r="H42" s="1"/>
      <c r="I42" s="1"/>
      <c r="J42" s="1"/>
      <c r="K42" s="1"/>
      <c r="L42" s="1"/>
      <c r="M42" s="1"/>
      <c r="N42" s="1"/>
      <c r="O42" s="1"/>
      <c r="P42" s="1"/>
      <c r="Q42" s="1"/>
      <c r="R42" s="264"/>
      <c r="AD42" s="1076"/>
      <c r="AE42" s="1054" t="s">
        <v>724</v>
      </c>
      <c r="AF42" s="1055"/>
      <c r="AG42" s="1055"/>
      <c r="AH42" s="1055"/>
      <c r="AI42" s="1056"/>
      <c r="AJ42" s="1060" t="s">
        <v>54</v>
      </c>
      <c r="AK42" s="1061"/>
      <c r="AL42" s="1062"/>
      <c r="AM42" s="307" t="s">
        <v>216</v>
      </c>
      <c r="AN42" s="628">
        <v>8.81</v>
      </c>
      <c r="AO42" s="628">
        <v>8.81</v>
      </c>
      <c r="AP42" s="628">
        <v>8.81</v>
      </c>
    </row>
    <row r="43" spans="2:42" ht="22.5" customHeight="1" x14ac:dyDescent="0.2">
      <c r="B43" s="253"/>
      <c r="C43" s="1"/>
      <c r="D43" s="1"/>
      <c r="E43" s="1"/>
      <c r="F43" s="1"/>
      <c r="G43" s="1"/>
      <c r="H43" s="1"/>
      <c r="I43" s="1"/>
      <c r="J43" s="1"/>
      <c r="K43" s="1"/>
      <c r="L43" s="1"/>
      <c r="M43" s="1"/>
      <c r="N43" s="1"/>
      <c r="O43" s="1"/>
      <c r="P43" s="1"/>
      <c r="Q43" s="1"/>
      <c r="R43" s="264"/>
      <c r="AD43" s="1076"/>
      <c r="AE43" s="1054" t="s">
        <v>725</v>
      </c>
      <c r="AF43" s="1055"/>
      <c r="AG43" s="1055"/>
      <c r="AH43" s="1055"/>
      <c r="AI43" s="1056"/>
      <c r="AJ43" s="1060"/>
      <c r="AK43" s="1061"/>
      <c r="AL43" s="1062"/>
      <c r="AM43" s="307" t="s">
        <v>90</v>
      </c>
      <c r="AN43" s="629">
        <v>80</v>
      </c>
      <c r="AO43" s="629">
        <v>80</v>
      </c>
      <c r="AP43" s="629">
        <v>80</v>
      </c>
    </row>
    <row r="44" spans="2:42" ht="22.5" customHeight="1" x14ac:dyDescent="0.2">
      <c r="B44" s="253"/>
      <c r="C44" s="1"/>
      <c r="D44" s="1"/>
      <c r="E44" s="1"/>
      <c r="F44" s="1"/>
      <c r="G44" s="1"/>
      <c r="H44" s="1"/>
      <c r="I44" s="1"/>
      <c r="J44" s="1"/>
      <c r="K44" s="1"/>
      <c r="L44" s="1"/>
      <c r="M44" s="1"/>
      <c r="N44" s="1"/>
      <c r="O44" s="1"/>
      <c r="P44" s="1"/>
      <c r="Q44" s="1"/>
      <c r="R44" s="264"/>
      <c r="AD44" s="1076"/>
      <c r="AE44" s="1078" t="s">
        <v>726</v>
      </c>
      <c r="AF44" s="1079"/>
      <c r="AG44" s="1079"/>
      <c r="AH44" s="1079"/>
      <c r="AI44" s="1080"/>
      <c r="AJ44" s="1060" t="s">
        <v>727</v>
      </c>
      <c r="AK44" s="1061"/>
      <c r="AL44" s="1062"/>
      <c r="AM44" s="307" t="s">
        <v>217</v>
      </c>
      <c r="AN44" s="624">
        <f>PI()*((AN41/2)^2*AN42*0.0069444)</f>
        <v>407.05560405689886</v>
      </c>
      <c r="AO44" s="624">
        <f>PI()*((AO41/2)^2*AO42*0.0069444)</f>
        <v>407.05560405689886</v>
      </c>
      <c r="AP44" s="624">
        <f>PI()*((AP41/2)^2*AP42*0.0069444)</f>
        <v>407.05560405689886</v>
      </c>
    </row>
    <row r="45" spans="2:42" ht="16.5" customHeight="1" x14ac:dyDescent="0.2">
      <c r="B45" s="253"/>
      <c r="C45" s="1"/>
      <c r="D45" s="1"/>
      <c r="E45" s="1"/>
      <c r="F45" s="1"/>
      <c r="G45" s="1"/>
      <c r="H45" s="1"/>
      <c r="I45" s="1"/>
      <c r="J45" s="1"/>
      <c r="K45" s="1"/>
      <c r="L45" s="1"/>
      <c r="M45" s="1"/>
      <c r="N45" s="1"/>
      <c r="O45" s="1"/>
      <c r="P45" s="1"/>
      <c r="Q45" s="1"/>
      <c r="R45" s="264"/>
      <c r="AD45" s="1076"/>
      <c r="AE45" s="1054" t="s">
        <v>729</v>
      </c>
      <c r="AF45" s="1055"/>
      <c r="AG45" s="1055"/>
      <c r="AH45" s="1055"/>
      <c r="AI45" s="1056"/>
      <c r="AJ45" s="1060" t="s">
        <v>730</v>
      </c>
      <c r="AK45" s="1061"/>
      <c r="AL45" s="1062"/>
      <c r="AM45" s="307"/>
      <c r="AN45" s="629">
        <v>8</v>
      </c>
      <c r="AO45" s="629">
        <v>8</v>
      </c>
      <c r="AP45" s="629">
        <v>8</v>
      </c>
    </row>
    <row r="46" spans="2:42" ht="16.5" customHeight="1" x14ac:dyDescent="0.2">
      <c r="B46" s="253"/>
      <c r="C46" s="1"/>
      <c r="D46" s="1"/>
      <c r="E46" s="1"/>
      <c r="F46" s="1"/>
      <c r="G46" s="1"/>
      <c r="H46" s="1"/>
      <c r="I46" s="1"/>
      <c r="J46" s="1"/>
      <c r="K46" s="1"/>
      <c r="L46" s="1"/>
      <c r="M46" s="1"/>
      <c r="N46" s="1"/>
      <c r="O46" s="1"/>
      <c r="P46" s="1"/>
      <c r="Q46" s="1"/>
      <c r="R46" s="264"/>
      <c r="AD46" s="1076"/>
      <c r="AE46" s="1054" t="s">
        <v>731</v>
      </c>
      <c r="AF46" s="1055"/>
      <c r="AG46" s="1055"/>
      <c r="AH46" s="1055"/>
      <c r="AI46" s="1056"/>
      <c r="AJ46" s="1060" t="s">
        <v>732</v>
      </c>
      <c r="AK46" s="1061"/>
      <c r="AL46" s="1062"/>
      <c r="AM46" s="307"/>
      <c r="AN46" s="629">
        <v>14</v>
      </c>
      <c r="AO46" s="629">
        <v>14</v>
      </c>
      <c r="AP46" s="629">
        <v>14</v>
      </c>
    </row>
    <row r="47" spans="2:42" ht="16.5" customHeight="1" x14ac:dyDescent="0.2">
      <c r="B47" s="253"/>
      <c r="C47" s="1"/>
      <c r="D47" s="1"/>
      <c r="E47" s="1"/>
      <c r="F47" s="1"/>
      <c r="G47" s="1"/>
      <c r="H47" s="1"/>
      <c r="I47" s="1"/>
      <c r="J47" s="1"/>
      <c r="K47" s="1"/>
      <c r="L47" s="1"/>
      <c r="M47" s="1"/>
      <c r="N47" s="1"/>
      <c r="O47" s="1"/>
      <c r="P47" s="1"/>
      <c r="Q47" s="1"/>
      <c r="R47" s="264"/>
      <c r="AD47" s="1076"/>
      <c r="AE47" s="1054" t="s">
        <v>733</v>
      </c>
      <c r="AF47" s="1055"/>
      <c r="AG47" s="1055"/>
      <c r="AH47" s="1055"/>
      <c r="AI47" s="1056"/>
      <c r="AJ47" s="1060" t="s">
        <v>734</v>
      </c>
      <c r="AK47" s="1061"/>
      <c r="AL47" s="1062"/>
      <c r="AM47" s="307" t="s">
        <v>217</v>
      </c>
      <c r="AN47" s="624">
        <f>AN43/100*AN44*AN45*AN46</f>
        <v>36472.18212349814</v>
      </c>
      <c r="AO47" s="624">
        <f>AO43/100*AO44*AO45*AO46</f>
        <v>36472.18212349814</v>
      </c>
      <c r="AP47" s="624">
        <f>AP43/100*AP44*AP45*AP46</f>
        <v>36472.18212349814</v>
      </c>
    </row>
    <row r="48" spans="2:42" ht="16.5" customHeight="1" x14ac:dyDescent="0.2">
      <c r="B48" s="253"/>
      <c r="C48" s="1"/>
      <c r="D48" s="1"/>
      <c r="E48" s="1"/>
      <c r="F48" s="1"/>
      <c r="G48" s="1"/>
      <c r="H48" s="1"/>
      <c r="I48" s="1"/>
      <c r="J48" s="1"/>
      <c r="K48" s="1"/>
      <c r="L48" s="1"/>
      <c r="M48" s="1"/>
      <c r="N48" s="1"/>
      <c r="O48" s="1"/>
      <c r="P48" s="1"/>
      <c r="Q48" s="1"/>
      <c r="R48" s="264"/>
      <c r="AD48" s="1077"/>
      <c r="AE48" s="1063" t="s">
        <v>735</v>
      </c>
      <c r="AF48" s="1064"/>
      <c r="AG48" s="1064"/>
      <c r="AH48" s="1064"/>
      <c r="AI48" s="1065"/>
      <c r="AJ48" s="1068" t="s">
        <v>738</v>
      </c>
      <c r="AK48" s="1069"/>
      <c r="AL48" s="1070"/>
      <c r="AM48" s="620" t="s">
        <v>217</v>
      </c>
      <c r="AN48" s="626">
        <f>AN44*AN45*AN46</f>
        <v>45590.227654372669</v>
      </c>
      <c r="AO48" s="626">
        <f>AO44*AO45*AO46</f>
        <v>45590.227654372669</v>
      </c>
      <c r="AP48" s="626">
        <f>AP44*AP45*AP46</f>
        <v>45590.227654372669</v>
      </c>
    </row>
    <row r="49" spans="2:18" ht="15.75" customHeight="1" thickBot="1" x14ac:dyDescent="0.25">
      <c r="B49" s="269"/>
      <c r="C49" s="271"/>
      <c r="D49" s="271"/>
      <c r="E49" s="271"/>
      <c r="F49" s="271"/>
      <c r="G49" s="271"/>
      <c r="H49" s="271"/>
      <c r="I49" s="271"/>
      <c r="J49" s="271"/>
      <c r="K49" s="271"/>
      <c r="L49" s="271"/>
      <c r="M49" s="271"/>
      <c r="N49" s="271"/>
      <c r="O49" s="271"/>
      <c r="P49" s="271"/>
      <c r="Q49" s="271"/>
      <c r="R49" s="305"/>
    </row>
    <row r="50" spans="2:18" ht="15.75" customHeight="1" x14ac:dyDescent="0.2">
      <c r="B50" s="253"/>
      <c r="C50" s="1"/>
      <c r="D50" s="633" t="s">
        <v>717</v>
      </c>
      <c r="E50" s="634"/>
      <c r="F50" s="634"/>
      <c r="G50" s="634"/>
      <c r="H50" s="281"/>
      <c r="I50" s="281"/>
      <c r="J50" s="281"/>
      <c r="K50" s="281"/>
      <c r="L50" s="635"/>
      <c r="M50" s="636"/>
      <c r="N50" s="636"/>
      <c r="O50" s="636"/>
      <c r="P50" s="281"/>
      <c r="Q50" s="281"/>
      <c r="R50" s="637"/>
    </row>
    <row r="51" spans="2:18" ht="15.75" customHeight="1" x14ac:dyDescent="0.2">
      <c r="B51" s="253"/>
      <c r="C51" s="1"/>
      <c r="D51" s="638" t="s">
        <v>718</v>
      </c>
      <c r="E51" s="51"/>
      <c r="F51" s="51"/>
      <c r="G51" s="51"/>
      <c r="H51" s="1"/>
      <c r="I51" s="1"/>
      <c r="J51" s="1"/>
      <c r="K51" s="1"/>
      <c r="L51" s="1"/>
      <c r="M51" s="1"/>
      <c r="N51" s="1"/>
      <c r="O51" s="309"/>
      <c r="P51" s="1"/>
      <c r="Q51" s="1"/>
      <c r="R51" s="264"/>
    </row>
    <row r="52" spans="2:18" ht="15.75" customHeight="1" x14ac:dyDescent="0.2">
      <c r="B52" s="253"/>
      <c r="C52" s="1"/>
      <c r="D52" s="638"/>
      <c r="E52" s="1"/>
      <c r="F52" s="1"/>
      <c r="G52" s="1"/>
      <c r="H52" s="1"/>
      <c r="I52" s="1"/>
      <c r="J52" s="1"/>
      <c r="K52" s="1"/>
      <c r="L52" s="1"/>
      <c r="M52" s="1"/>
      <c r="N52" s="1"/>
      <c r="O52" s="310"/>
      <c r="P52" s="1"/>
      <c r="Q52" s="1"/>
      <c r="R52" s="264"/>
    </row>
    <row r="53" spans="2:18" ht="15.75" customHeight="1" x14ac:dyDescent="0.2">
      <c r="B53" s="253"/>
      <c r="C53" s="1"/>
      <c r="D53" s="638"/>
      <c r="E53" s="1"/>
      <c r="F53" s="1"/>
      <c r="G53" s="1"/>
      <c r="H53" s="1"/>
      <c r="I53" s="1"/>
      <c r="J53" s="1"/>
      <c r="K53" s="1"/>
      <c r="L53" s="1"/>
      <c r="M53" s="1"/>
      <c r="N53" s="1"/>
      <c r="O53" s="1"/>
      <c r="P53" s="1"/>
      <c r="Q53" s="1"/>
      <c r="R53" s="264"/>
    </row>
    <row r="54" spans="2:18" ht="15.75" customHeight="1" x14ac:dyDescent="0.2">
      <c r="B54" s="253"/>
      <c r="C54" s="1"/>
      <c r="D54" s="638"/>
      <c r="E54" s="1"/>
      <c r="F54" s="1"/>
      <c r="G54" s="1"/>
      <c r="H54" s="1"/>
      <c r="I54" s="1"/>
      <c r="J54" s="1"/>
      <c r="K54" s="1"/>
      <c r="L54" s="1"/>
      <c r="M54" s="1"/>
      <c r="N54" s="1"/>
      <c r="O54" s="1"/>
      <c r="P54" s="1"/>
      <c r="Q54" s="1"/>
      <c r="R54" s="264"/>
    </row>
    <row r="55" spans="2:18" ht="15.75" customHeight="1" x14ac:dyDescent="0.2">
      <c r="B55" s="253"/>
      <c r="C55" s="1"/>
      <c r="D55" s="638"/>
      <c r="E55" s="1"/>
      <c r="F55" s="1"/>
      <c r="G55" s="1"/>
      <c r="H55" s="1"/>
      <c r="I55" s="1"/>
      <c r="J55" s="1"/>
      <c r="K55" s="1"/>
      <c r="L55" s="1"/>
      <c r="M55" s="1"/>
      <c r="N55" s="1"/>
      <c r="O55" s="1"/>
      <c r="P55" s="1"/>
      <c r="Q55" s="1"/>
      <c r="R55" s="264"/>
    </row>
    <row r="56" spans="2:18" ht="15.75" customHeight="1" x14ac:dyDescent="0.2">
      <c r="B56" s="253"/>
      <c r="C56" s="1"/>
      <c r="D56" s="638"/>
      <c r="E56" s="1"/>
      <c r="F56" s="1"/>
      <c r="G56" s="1"/>
      <c r="H56" s="1"/>
      <c r="I56" s="1"/>
      <c r="J56" s="1"/>
      <c r="K56" s="1"/>
      <c r="L56" s="1"/>
      <c r="M56" s="1"/>
      <c r="N56" s="1"/>
      <c r="O56" s="1"/>
      <c r="P56" s="1"/>
      <c r="Q56" s="1"/>
      <c r="R56" s="264"/>
    </row>
    <row r="57" spans="2:18" ht="15.75" customHeight="1" x14ac:dyDescent="0.2">
      <c r="B57" s="253"/>
      <c r="C57" s="1"/>
      <c r="D57" s="638"/>
      <c r="E57" s="1"/>
      <c r="F57" s="1"/>
      <c r="G57" s="1"/>
      <c r="H57" s="1"/>
      <c r="I57" s="1"/>
      <c r="J57" s="1"/>
      <c r="K57" s="1"/>
      <c r="L57" s="1"/>
      <c r="M57" s="1"/>
      <c r="N57" s="1"/>
      <c r="O57" s="1"/>
      <c r="P57" s="1"/>
      <c r="Q57" s="1"/>
      <c r="R57" s="264"/>
    </row>
    <row r="58" spans="2:18" ht="14.25" customHeight="1" x14ac:dyDescent="0.2">
      <c r="B58" s="253"/>
      <c r="C58" s="1"/>
      <c r="D58" s="638"/>
      <c r="E58" s="1"/>
      <c r="F58" s="1"/>
      <c r="G58" s="1"/>
      <c r="H58" s="1"/>
      <c r="I58" s="1"/>
      <c r="J58" s="1"/>
      <c r="K58" s="1"/>
      <c r="L58" s="1"/>
      <c r="M58" s="1"/>
      <c r="N58" s="1"/>
      <c r="O58" s="1"/>
      <c r="P58" s="1"/>
      <c r="Q58" s="1"/>
      <c r="R58" s="264"/>
    </row>
    <row r="59" spans="2:18" ht="15.75" customHeight="1" x14ac:dyDescent="0.2">
      <c r="B59" s="253"/>
      <c r="C59" s="1"/>
      <c r="D59" s="638"/>
      <c r="E59" s="1"/>
      <c r="F59" s="1"/>
      <c r="G59" s="1"/>
      <c r="H59" s="1"/>
      <c r="I59" s="1"/>
      <c r="J59" s="1"/>
      <c r="K59" s="1"/>
      <c r="L59" s="1"/>
      <c r="M59" s="1"/>
      <c r="N59" s="1"/>
      <c r="O59" s="1"/>
      <c r="P59" s="1"/>
      <c r="Q59" s="1"/>
      <c r="R59" s="264"/>
    </row>
    <row r="60" spans="2:18" ht="12.75" customHeight="1" x14ac:dyDescent="0.2">
      <c r="B60" s="253"/>
      <c r="C60" s="1"/>
      <c r="D60" s="638"/>
      <c r="E60" s="1"/>
      <c r="F60" s="1"/>
      <c r="G60" s="1"/>
      <c r="H60" s="1"/>
      <c r="I60" s="1"/>
      <c r="J60" s="1"/>
      <c r="K60" s="1"/>
      <c r="L60" s="1"/>
      <c r="M60" s="1"/>
      <c r="N60" s="1"/>
      <c r="O60" s="1"/>
      <c r="P60" s="1"/>
      <c r="Q60" s="1"/>
      <c r="R60" s="264"/>
    </row>
    <row r="61" spans="2:18" ht="12.75" customHeight="1" x14ac:dyDescent="0.2">
      <c r="B61" s="253"/>
      <c r="C61" s="1"/>
      <c r="D61" s="638"/>
      <c r="E61" s="1"/>
      <c r="F61" s="1"/>
      <c r="G61" s="1"/>
      <c r="H61" s="1"/>
      <c r="I61" s="1"/>
      <c r="J61" s="1"/>
      <c r="K61" s="1"/>
      <c r="L61" s="1"/>
      <c r="M61" s="1"/>
      <c r="N61" s="1"/>
      <c r="O61" s="1"/>
      <c r="P61" s="1"/>
      <c r="Q61" s="1"/>
      <c r="R61" s="264"/>
    </row>
    <row r="62" spans="2:18" ht="12.75" customHeight="1" x14ac:dyDescent="0.2">
      <c r="B62" s="253"/>
      <c r="C62" s="1"/>
      <c r="D62" s="638"/>
      <c r="E62" s="1"/>
      <c r="F62" s="1"/>
      <c r="G62" s="1"/>
      <c r="H62" s="1"/>
      <c r="I62" s="1"/>
      <c r="J62" s="1"/>
      <c r="K62" s="1"/>
      <c r="L62" s="1"/>
      <c r="M62" s="1"/>
      <c r="N62" s="1"/>
      <c r="O62" s="1"/>
      <c r="P62" s="1"/>
      <c r="Q62" s="1"/>
      <c r="R62" s="264"/>
    </row>
    <row r="63" spans="2:18" ht="12.75" customHeight="1" x14ac:dyDescent="0.2">
      <c r="B63" s="253"/>
      <c r="C63" s="1"/>
      <c r="D63" s="638"/>
      <c r="E63" s="1"/>
      <c r="F63" s="1"/>
      <c r="G63" s="1"/>
      <c r="H63" s="1"/>
      <c r="I63" s="1"/>
      <c r="J63" s="1"/>
      <c r="K63" s="1"/>
      <c r="L63" s="1"/>
      <c r="M63" s="1"/>
      <c r="N63" s="1"/>
      <c r="O63" s="1"/>
      <c r="P63" s="1"/>
      <c r="Q63" s="1"/>
      <c r="R63" s="264"/>
    </row>
    <row r="64" spans="2:18" ht="12.75" customHeight="1" x14ac:dyDescent="0.2">
      <c r="B64" s="253"/>
      <c r="C64" s="1"/>
      <c r="D64" s="638"/>
      <c r="E64" s="1"/>
      <c r="F64" s="1"/>
      <c r="G64" s="1"/>
      <c r="H64" s="1"/>
      <c r="I64" s="1"/>
      <c r="J64" s="1"/>
      <c r="K64" s="1"/>
      <c r="L64" s="1"/>
      <c r="M64" s="1"/>
      <c r="N64" s="1"/>
      <c r="O64" s="1"/>
      <c r="P64" s="1"/>
      <c r="Q64" s="1"/>
      <c r="R64" s="264"/>
    </row>
    <row r="65" spans="2:18" ht="12.75" customHeight="1" x14ac:dyDescent="0.2">
      <c r="B65" s="253"/>
      <c r="C65" s="1"/>
      <c r="D65" s="638"/>
      <c r="E65" s="1"/>
      <c r="F65" s="1"/>
      <c r="G65" s="1"/>
      <c r="H65" s="1"/>
      <c r="I65" s="1"/>
      <c r="J65" s="1"/>
      <c r="K65" s="1"/>
      <c r="L65" s="1"/>
      <c r="M65" s="1"/>
      <c r="N65" s="1"/>
      <c r="O65" s="1"/>
      <c r="P65" s="1"/>
      <c r="Q65" s="1"/>
      <c r="R65" s="264"/>
    </row>
    <row r="66" spans="2:18" ht="12.75" customHeight="1" x14ac:dyDescent="0.2">
      <c r="B66" s="253"/>
      <c r="C66" s="1"/>
      <c r="D66" s="638"/>
      <c r="E66" s="1"/>
      <c r="F66" s="1"/>
      <c r="G66" s="1"/>
      <c r="H66" s="1"/>
      <c r="I66" s="1"/>
      <c r="J66" s="1"/>
      <c r="K66" s="1"/>
      <c r="L66" s="1"/>
      <c r="M66" s="1"/>
      <c r="N66" s="1"/>
      <c r="O66" s="1"/>
      <c r="P66" s="1"/>
      <c r="Q66" s="1"/>
      <c r="R66" s="264"/>
    </row>
    <row r="67" spans="2:18" ht="12.75" customHeight="1" x14ac:dyDescent="0.2">
      <c r="B67" s="253"/>
      <c r="C67" s="1"/>
      <c r="D67" s="638"/>
      <c r="E67" s="1"/>
      <c r="F67" s="1"/>
      <c r="G67" s="1"/>
      <c r="H67" s="1"/>
      <c r="I67" s="1"/>
      <c r="J67" s="1"/>
      <c r="K67" s="1"/>
      <c r="L67" s="1"/>
      <c r="M67" s="1"/>
      <c r="N67" s="1"/>
      <c r="O67" s="1"/>
      <c r="P67" s="1"/>
      <c r="Q67" s="1"/>
      <c r="R67" s="264"/>
    </row>
    <row r="68" spans="2:18" ht="12.75" customHeight="1" x14ac:dyDescent="0.2">
      <c r="B68" s="253"/>
      <c r="C68" s="1"/>
      <c r="D68" s="638"/>
      <c r="E68" s="1"/>
      <c r="F68" s="1"/>
      <c r="G68" s="1"/>
      <c r="H68" s="1"/>
      <c r="I68" s="1"/>
      <c r="J68" s="1"/>
      <c r="K68" s="1"/>
      <c r="L68" s="1"/>
      <c r="M68" s="1"/>
      <c r="N68" s="1"/>
      <c r="O68" s="1"/>
      <c r="P68" s="1"/>
      <c r="Q68" s="1"/>
      <c r="R68" s="264"/>
    </row>
    <row r="69" spans="2:18" ht="12.75" customHeight="1" x14ac:dyDescent="0.2">
      <c r="B69" s="253"/>
      <c r="C69" s="1"/>
      <c r="D69" s="638"/>
      <c r="E69" s="1"/>
      <c r="F69" s="1"/>
      <c r="G69" s="1"/>
      <c r="H69" s="1"/>
      <c r="I69" s="1"/>
      <c r="J69" s="1"/>
      <c r="K69" s="1"/>
      <c r="L69" s="1"/>
      <c r="M69" s="1"/>
      <c r="N69" s="1"/>
      <c r="O69" s="1"/>
      <c r="P69" s="1"/>
      <c r="Q69" s="1"/>
      <c r="R69" s="264"/>
    </row>
    <row r="70" spans="2:18" ht="12.75" customHeight="1" x14ac:dyDescent="0.2">
      <c r="B70" s="253"/>
      <c r="C70" s="1"/>
      <c r="D70" s="638"/>
      <c r="E70" s="1"/>
      <c r="F70" s="1"/>
      <c r="G70" s="1"/>
      <c r="H70" s="1"/>
      <c r="I70" s="1"/>
      <c r="J70" s="1"/>
      <c r="K70" s="1"/>
      <c r="L70" s="1"/>
      <c r="M70" s="1"/>
      <c r="N70" s="1"/>
      <c r="O70" s="1"/>
      <c r="P70" s="1"/>
      <c r="Q70" s="1"/>
      <c r="R70" s="264"/>
    </row>
    <row r="71" spans="2:18" ht="12.75" customHeight="1" x14ac:dyDescent="0.2">
      <c r="B71" s="253"/>
      <c r="C71" s="1"/>
      <c r="D71" s="638"/>
      <c r="E71" s="1"/>
      <c r="F71" s="1"/>
      <c r="G71" s="1"/>
      <c r="H71" s="1"/>
      <c r="I71" s="1"/>
      <c r="J71" s="1"/>
      <c r="K71" s="1"/>
      <c r="L71" s="1"/>
      <c r="M71" s="1"/>
      <c r="N71" s="1"/>
      <c r="O71" s="1"/>
      <c r="P71" s="1"/>
      <c r="Q71" s="1"/>
      <c r="R71" s="264"/>
    </row>
    <row r="72" spans="2:18" ht="12.75" customHeight="1" x14ac:dyDescent="0.2">
      <c r="B72" s="253"/>
      <c r="C72" s="1"/>
      <c r="D72" s="638"/>
      <c r="E72" s="1"/>
      <c r="F72" s="1"/>
      <c r="G72" s="1"/>
      <c r="H72" s="1"/>
      <c r="I72" s="1"/>
      <c r="J72" s="1"/>
      <c r="K72" s="1"/>
      <c r="L72" s="1"/>
      <c r="M72" s="1"/>
      <c r="N72" s="1"/>
      <c r="O72" s="1"/>
      <c r="P72" s="1"/>
      <c r="Q72" s="1"/>
      <c r="R72" s="264"/>
    </row>
    <row r="73" spans="2:18" ht="12.75" customHeight="1" x14ac:dyDescent="0.2">
      <c r="B73" s="253"/>
      <c r="C73" s="1"/>
      <c r="D73" s="638"/>
      <c r="E73" s="1"/>
      <c r="F73" s="1"/>
      <c r="G73" s="1"/>
      <c r="H73" s="1"/>
      <c r="I73" s="1"/>
      <c r="J73" s="1"/>
      <c r="K73" s="1"/>
      <c r="L73" s="1"/>
      <c r="M73" s="1"/>
      <c r="N73" s="1"/>
      <c r="O73" s="1"/>
      <c r="P73" s="1"/>
      <c r="Q73" s="1"/>
      <c r="R73" s="264"/>
    </row>
    <row r="74" spans="2:18" ht="12.75" customHeight="1" x14ac:dyDescent="0.2">
      <c r="B74" s="253"/>
      <c r="C74" s="1"/>
      <c r="D74" s="638"/>
      <c r="E74" s="1"/>
      <c r="F74" s="1"/>
      <c r="G74" s="1"/>
      <c r="H74" s="1"/>
      <c r="I74" s="1"/>
      <c r="J74" s="1"/>
      <c r="K74" s="1"/>
      <c r="L74" s="1"/>
      <c r="M74" s="1"/>
      <c r="N74" s="1"/>
      <c r="O74" s="1"/>
      <c r="P74" s="1"/>
      <c r="Q74" s="1"/>
      <c r="R74" s="264"/>
    </row>
    <row r="75" spans="2:18" ht="12.75" customHeight="1" x14ac:dyDescent="0.2">
      <c r="B75" s="253"/>
      <c r="C75" s="1"/>
      <c r="D75" s="638"/>
      <c r="E75" s="1"/>
      <c r="F75" s="1"/>
      <c r="G75" s="1"/>
      <c r="H75" s="1"/>
      <c r="I75" s="1"/>
      <c r="J75" s="1"/>
      <c r="K75" s="1"/>
      <c r="L75" s="1"/>
      <c r="M75" s="1"/>
      <c r="N75" s="1"/>
      <c r="O75" s="1"/>
      <c r="P75" s="1"/>
      <c r="Q75" s="1"/>
      <c r="R75" s="264"/>
    </row>
    <row r="76" spans="2:18" ht="12.75" customHeight="1" x14ac:dyDescent="0.2">
      <c r="B76" s="253"/>
      <c r="C76" s="1"/>
      <c r="D76" s="638"/>
      <c r="E76" s="1"/>
      <c r="F76" s="1"/>
      <c r="G76" s="1"/>
      <c r="H76" s="1"/>
      <c r="I76" s="1"/>
      <c r="J76" s="1"/>
      <c r="K76" s="1"/>
      <c r="L76" s="1"/>
      <c r="M76" s="1"/>
      <c r="N76" s="1"/>
      <c r="O76" s="1"/>
      <c r="P76" s="1"/>
      <c r="Q76" s="1"/>
      <c r="R76" s="264"/>
    </row>
    <row r="77" spans="2:18" ht="12.75" customHeight="1" x14ac:dyDescent="0.2">
      <c r="B77" s="253"/>
      <c r="C77" s="1"/>
      <c r="D77" s="638"/>
      <c r="E77" s="1"/>
      <c r="F77" s="1"/>
      <c r="G77" s="1"/>
      <c r="H77" s="1"/>
      <c r="I77" s="1"/>
      <c r="J77" s="1"/>
      <c r="K77" s="1"/>
      <c r="L77" s="1"/>
      <c r="M77" s="1"/>
      <c r="N77" s="1"/>
      <c r="O77" s="1"/>
      <c r="P77" s="1"/>
      <c r="Q77" s="1"/>
      <c r="R77" s="264"/>
    </row>
    <row r="78" spans="2:18" ht="12.75" customHeight="1" x14ac:dyDescent="0.2">
      <c r="B78" s="253"/>
      <c r="C78" s="1"/>
      <c r="D78" s="638"/>
      <c r="E78" s="1"/>
      <c r="F78" s="1"/>
      <c r="G78" s="1"/>
      <c r="H78" s="1"/>
      <c r="I78" s="1"/>
      <c r="J78" s="1"/>
      <c r="K78" s="1"/>
      <c r="L78" s="1"/>
      <c r="M78" s="1"/>
      <c r="N78" s="1"/>
      <c r="O78" s="1"/>
      <c r="P78" s="1"/>
      <c r="Q78" s="1"/>
      <c r="R78" s="264"/>
    </row>
    <row r="79" spans="2:18" ht="12.75" customHeight="1" x14ac:dyDescent="0.2">
      <c r="B79" s="253"/>
      <c r="C79" s="1"/>
      <c r="D79" s="638"/>
      <c r="E79" s="1"/>
      <c r="F79" s="1"/>
      <c r="G79" s="1"/>
      <c r="H79" s="1"/>
      <c r="I79" s="1"/>
      <c r="J79" s="1"/>
      <c r="K79" s="1"/>
      <c r="L79" s="1"/>
      <c r="M79" s="1"/>
      <c r="N79" s="1"/>
      <c r="O79" s="1"/>
      <c r="P79" s="1"/>
      <c r="Q79" s="1"/>
      <c r="R79" s="264"/>
    </row>
    <row r="80" spans="2:18" ht="12.75" customHeight="1" x14ac:dyDescent="0.2">
      <c r="B80" s="253"/>
      <c r="C80" s="1"/>
      <c r="D80" s="638"/>
      <c r="E80" s="1"/>
      <c r="F80" s="1"/>
      <c r="G80" s="1"/>
      <c r="H80" s="1"/>
      <c r="I80" s="1"/>
      <c r="J80" s="1"/>
      <c r="K80" s="1"/>
      <c r="L80" s="1"/>
      <c r="M80" s="1"/>
      <c r="N80" s="1"/>
      <c r="O80" s="1"/>
      <c r="P80" s="1"/>
      <c r="Q80" s="1"/>
      <c r="R80" s="264"/>
    </row>
    <row r="81" spans="2:18" ht="12.75" customHeight="1" x14ac:dyDescent="0.2">
      <c r="B81" s="253"/>
      <c r="C81" s="1"/>
      <c r="D81" s="638"/>
      <c r="E81" s="1"/>
      <c r="F81" s="1"/>
      <c r="G81" s="1"/>
      <c r="H81" s="1"/>
      <c r="I81" s="1"/>
      <c r="J81" s="1"/>
      <c r="K81" s="1"/>
      <c r="L81" s="1"/>
      <c r="M81" s="1"/>
      <c r="N81" s="1"/>
      <c r="O81" s="1"/>
      <c r="P81" s="1"/>
      <c r="Q81" s="1"/>
      <c r="R81" s="264"/>
    </row>
    <row r="82" spans="2:18" ht="12.75" customHeight="1" x14ac:dyDescent="0.2">
      <c r="B82" s="253"/>
      <c r="C82" s="1"/>
      <c r="D82" s="638"/>
      <c r="E82" s="1"/>
      <c r="F82" s="1"/>
      <c r="G82" s="1"/>
      <c r="H82" s="1"/>
      <c r="I82" s="1"/>
      <c r="J82" s="1"/>
      <c r="K82" s="1"/>
      <c r="L82" s="1"/>
      <c r="M82" s="1"/>
      <c r="N82" s="1"/>
      <c r="O82" s="1"/>
      <c r="P82" s="1"/>
      <c r="Q82" s="1"/>
      <c r="R82" s="264"/>
    </row>
    <row r="83" spans="2:18" ht="12.75" customHeight="1" x14ac:dyDescent="0.2">
      <c r="B83" s="253"/>
      <c r="C83" s="1"/>
      <c r="D83" s="638"/>
      <c r="E83" s="1"/>
      <c r="F83" s="1"/>
      <c r="G83" s="1"/>
      <c r="H83" s="1"/>
      <c r="I83" s="1"/>
      <c r="J83" s="1"/>
      <c r="K83" s="1"/>
      <c r="L83" s="1"/>
      <c r="M83" s="1"/>
      <c r="N83" s="1"/>
      <c r="O83" s="1"/>
      <c r="P83" s="1"/>
      <c r="Q83" s="1"/>
      <c r="R83" s="264"/>
    </row>
    <row r="84" spans="2:18" ht="12.75" customHeight="1" x14ac:dyDescent="0.2">
      <c r="B84" s="253"/>
      <c r="C84" s="1"/>
      <c r="D84" s="638"/>
      <c r="E84" s="1"/>
      <c r="F84" s="1"/>
      <c r="G84" s="1"/>
      <c r="H84" s="1"/>
      <c r="I84" s="1"/>
      <c r="J84" s="1"/>
      <c r="K84" s="1"/>
      <c r="L84" s="1"/>
      <c r="M84" s="1"/>
      <c r="N84" s="1"/>
      <c r="O84" s="1"/>
      <c r="P84" s="1"/>
      <c r="Q84" s="1"/>
      <c r="R84" s="264"/>
    </row>
    <row r="85" spans="2:18" ht="9" customHeight="1" thickBot="1" x14ac:dyDescent="0.25">
      <c r="B85" s="269"/>
      <c r="C85" s="271"/>
      <c r="D85" s="639"/>
      <c r="E85" s="271"/>
      <c r="F85" s="271"/>
      <c r="G85" s="271"/>
      <c r="H85" s="271"/>
      <c r="I85" s="271"/>
      <c r="J85" s="271"/>
      <c r="K85" s="271"/>
      <c r="L85" s="271"/>
      <c r="M85" s="271"/>
      <c r="N85" s="271"/>
      <c r="O85" s="271"/>
      <c r="P85" s="271"/>
      <c r="Q85" s="271"/>
      <c r="R85" s="305"/>
    </row>
    <row r="86" spans="2:18" ht="20.100000000000001" customHeight="1" x14ac:dyDescent="0.2">
      <c r="D86" s="638"/>
      <c r="E86" s="1"/>
      <c r="F86" s="1"/>
      <c r="G86" s="1"/>
      <c r="H86" s="1"/>
      <c r="I86" s="1"/>
      <c r="J86" s="1"/>
      <c r="K86" s="1"/>
      <c r="L86" s="1"/>
      <c r="M86" s="1"/>
      <c r="N86" s="1"/>
      <c r="O86" s="1"/>
      <c r="P86" s="1"/>
      <c r="Q86" s="1"/>
      <c r="R86" s="1"/>
    </row>
    <row r="87" spans="2:18" ht="20.100000000000001" customHeight="1" x14ac:dyDescent="0.2"/>
    <row r="88" spans="2:18" ht="20.100000000000001" customHeight="1" x14ac:dyDescent="0.2"/>
    <row r="89" spans="2:18" ht="20.100000000000001" customHeight="1" x14ac:dyDescent="0.2"/>
    <row r="90" spans="2:18" ht="20.100000000000001" customHeight="1" x14ac:dyDescent="0.2"/>
    <row r="91" spans="2:18" ht="20.100000000000001" customHeight="1" x14ac:dyDescent="0.2"/>
    <row r="92" spans="2:18" ht="20.100000000000001" customHeight="1" x14ac:dyDescent="0.2"/>
    <row r="93" spans="2:18" ht="20.100000000000001" customHeight="1" x14ac:dyDescent="0.2"/>
    <row r="94" spans="2:18" ht="20.100000000000001" customHeight="1" x14ac:dyDescent="0.2"/>
    <row r="95" spans="2:18" ht="20.100000000000001" customHeight="1" x14ac:dyDescent="0.2"/>
    <row r="96" spans="2:18"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20.100000000000001" customHeight="1" x14ac:dyDescent="0.2"/>
    <row r="110" ht="20.100000000000001" customHeight="1" x14ac:dyDescent="0.2"/>
    <row r="111" ht="20.100000000000001" customHeight="1" x14ac:dyDescent="0.2"/>
    <row r="112" ht="20.100000000000001" customHeight="1" x14ac:dyDescent="0.2"/>
    <row r="113" ht="20.100000000000001" customHeight="1" x14ac:dyDescent="0.2"/>
    <row r="114" ht="20.100000000000001" customHeight="1" x14ac:dyDescent="0.2"/>
    <row r="115" ht="20.100000000000001" customHeight="1" x14ac:dyDescent="0.2"/>
    <row r="116" ht="20.100000000000001" customHeight="1" x14ac:dyDescent="0.2"/>
    <row r="117" ht="20.100000000000001" customHeight="1" x14ac:dyDescent="0.2"/>
    <row r="118" ht="20.100000000000001" customHeight="1" x14ac:dyDescent="0.2"/>
    <row r="119" ht="20.100000000000001" customHeight="1" x14ac:dyDescent="0.2"/>
  </sheetData>
  <mergeCells count="144">
    <mergeCell ref="AD11:AP11"/>
    <mergeCell ref="AJ48:AL48"/>
    <mergeCell ref="J32:P32"/>
    <mergeCell ref="N30:P30"/>
    <mergeCell ref="N33:P33"/>
    <mergeCell ref="J35:P35"/>
    <mergeCell ref="AD30:AP30"/>
    <mergeCell ref="AD41:AD48"/>
    <mergeCell ref="AE41:AI41"/>
    <mergeCell ref="AJ41:AL41"/>
    <mergeCell ref="AE42:AI42"/>
    <mergeCell ref="AJ42:AL42"/>
    <mergeCell ref="AE43:AI43"/>
    <mergeCell ref="AJ43:AL43"/>
    <mergeCell ref="AE44:AI44"/>
    <mergeCell ref="AJ44:AL44"/>
    <mergeCell ref="AE45:AI45"/>
    <mergeCell ref="AJ45:AL45"/>
    <mergeCell ref="AE46:AI46"/>
    <mergeCell ref="AJ46:AL46"/>
    <mergeCell ref="AE47:AI47"/>
    <mergeCell ref="AJ47:AL47"/>
    <mergeCell ref="AE48:AI48"/>
    <mergeCell ref="AE38:AI38"/>
    <mergeCell ref="AJ38:AL38"/>
    <mergeCell ref="AE39:AI39"/>
    <mergeCell ref="AJ39:AL39"/>
    <mergeCell ref="AD40:AI40"/>
    <mergeCell ref="AJ40:AL40"/>
    <mergeCell ref="AJ29:AL29"/>
    <mergeCell ref="AD31:AI31"/>
    <mergeCell ref="AJ31:AL31"/>
    <mergeCell ref="AD32:AD39"/>
    <mergeCell ref="AE32:AI32"/>
    <mergeCell ref="AJ32:AL32"/>
    <mergeCell ref="AE33:AI33"/>
    <mergeCell ref="AJ33:AL33"/>
    <mergeCell ref="AE34:AI34"/>
    <mergeCell ref="AJ34:AL34"/>
    <mergeCell ref="AE35:AI35"/>
    <mergeCell ref="AJ35:AL35"/>
    <mergeCell ref="AE36:AI36"/>
    <mergeCell ref="AJ36:AL36"/>
    <mergeCell ref="AE37:AI37"/>
    <mergeCell ref="AJ37:AL37"/>
    <mergeCell ref="AD22:AD29"/>
    <mergeCell ref="AE22:AI22"/>
    <mergeCell ref="AJ22:AL22"/>
    <mergeCell ref="AE23:AI23"/>
    <mergeCell ref="AJ23:AL23"/>
    <mergeCell ref="AE24:AI24"/>
    <mergeCell ref="AJ24:AL24"/>
    <mergeCell ref="AE25:AI25"/>
    <mergeCell ref="AJ25:AL25"/>
    <mergeCell ref="AE26:AI26"/>
    <mergeCell ref="AJ26:AL26"/>
    <mergeCell ref="AE27:AI27"/>
    <mergeCell ref="AJ27:AL27"/>
    <mergeCell ref="AE28:AI28"/>
    <mergeCell ref="AJ28:AL28"/>
    <mergeCell ref="AE29:AI29"/>
    <mergeCell ref="AJ19:AL19"/>
    <mergeCell ref="AE20:AI20"/>
    <mergeCell ref="AJ20:AL20"/>
    <mergeCell ref="AD21:AI21"/>
    <mergeCell ref="AJ21:AL21"/>
    <mergeCell ref="AD12:AI12"/>
    <mergeCell ref="AJ12:AL12"/>
    <mergeCell ref="AD13:AD20"/>
    <mergeCell ref="AE13:AI13"/>
    <mergeCell ref="AJ13:AL13"/>
    <mergeCell ref="AE14:AI14"/>
    <mergeCell ref="AJ14:AL14"/>
    <mergeCell ref="AE15:AI15"/>
    <mergeCell ref="AJ15:AL15"/>
    <mergeCell ref="AE16:AI16"/>
    <mergeCell ref="AJ16:AL16"/>
    <mergeCell ref="AE17:AI17"/>
    <mergeCell ref="AJ17:AL17"/>
    <mergeCell ref="AE18:AI18"/>
    <mergeCell ref="AJ18:AL18"/>
    <mergeCell ref="AE19:AI19"/>
    <mergeCell ref="B6:D6"/>
    <mergeCell ref="E6:I6"/>
    <mergeCell ref="J6:L6"/>
    <mergeCell ref="M6:R6"/>
    <mergeCell ref="B7:D7"/>
    <mergeCell ref="E7:I7"/>
    <mergeCell ref="J7:L7"/>
    <mergeCell ref="M7:R7"/>
    <mergeCell ref="E2:O5"/>
    <mergeCell ref="P2:Q2"/>
    <mergeCell ref="P3:Q3"/>
    <mergeCell ref="P4:Q4"/>
    <mergeCell ref="P5:Q5"/>
    <mergeCell ref="E16:I16"/>
    <mergeCell ref="E17:I17"/>
    <mergeCell ref="J16:L16"/>
    <mergeCell ref="J17:L17"/>
    <mergeCell ref="D12:I12"/>
    <mergeCell ref="J12:L12"/>
    <mergeCell ref="E8:I8"/>
    <mergeCell ref="J8:L8"/>
    <mergeCell ref="M8:R8"/>
    <mergeCell ref="B9:R9"/>
    <mergeCell ref="B8:D8"/>
    <mergeCell ref="E13:I13"/>
    <mergeCell ref="E14:I14"/>
    <mergeCell ref="D10:P10"/>
    <mergeCell ref="D11:P11"/>
    <mergeCell ref="J34:M34"/>
    <mergeCell ref="J30:M30"/>
    <mergeCell ref="J33:M33"/>
    <mergeCell ref="J31:M31"/>
    <mergeCell ref="J26:L26"/>
    <mergeCell ref="J27:L27"/>
    <mergeCell ref="J28:L28"/>
    <mergeCell ref="J29:L29"/>
    <mergeCell ref="D13:D20"/>
    <mergeCell ref="D22:D29"/>
    <mergeCell ref="E28:I28"/>
    <mergeCell ref="E29:I29"/>
    <mergeCell ref="E25:I25"/>
    <mergeCell ref="E26:I26"/>
    <mergeCell ref="E27:I27"/>
    <mergeCell ref="J25:L25"/>
    <mergeCell ref="E15:I15"/>
    <mergeCell ref="J13:L13"/>
    <mergeCell ref="J14:L14"/>
    <mergeCell ref="J15:L15"/>
    <mergeCell ref="E18:I18"/>
    <mergeCell ref="E19:I19"/>
    <mergeCell ref="J18:L18"/>
    <mergeCell ref="J19:L19"/>
    <mergeCell ref="E22:I22"/>
    <mergeCell ref="E23:I23"/>
    <mergeCell ref="E24:I24"/>
    <mergeCell ref="J22:L22"/>
    <mergeCell ref="J23:L23"/>
    <mergeCell ref="J24:L24"/>
    <mergeCell ref="E20:I20"/>
    <mergeCell ref="D21:I21"/>
    <mergeCell ref="J20:L20"/>
    <mergeCell ref="J21:L21"/>
  </mergeCells>
  <printOptions horizontalCentered="1"/>
  <pageMargins left="0.51181102362204722" right="0.51181102362204722" top="0.51181102362204722" bottom="0.51181102362204722" header="0.51181102362204722" footer="0.51181102362204722"/>
  <pageSetup scale="53" orientation="portrait" horizontalDpi="300" verticalDpi="300" r:id="rId1"/>
  <headerFooter alignWithMargins="0">
    <oddHeader xml:space="preserve">&amp;C&amp;"Arial,Negrita"&amp;11&amp;U
&amp;RProyecto Nº: 1890
HYC  HUELVA
FECHA:  &amp;D
POR: SRC  / Rev:  0
</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264"/>
  <sheetViews>
    <sheetView zoomScale="55" zoomScaleNormal="55" workbookViewId="0">
      <selection activeCell="I41" sqref="I41"/>
    </sheetView>
  </sheetViews>
  <sheetFormatPr defaultRowHeight="14.25" x14ac:dyDescent="0.2"/>
  <cols>
    <col min="1" max="1" width="9.140625" style="192"/>
    <col min="2" max="2" width="38" style="192" customWidth="1"/>
    <col min="3" max="3" width="27.28515625" style="192" customWidth="1"/>
    <col min="4" max="4" width="27.7109375" style="192" customWidth="1"/>
    <col min="5" max="5" width="28" style="192" bestFit="1" customWidth="1"/>
    <col min="6" max="6" width="24.42578125" style="192" customWidth="1"/>
    <col min="7" max="7" width="25.42578125" style="192" customWidth="1"/>
    <col min="8" max="9" width="24.85546875" style="192" customWidth="1"/>
    <col min="10" max="10" width="18.28515625" style="192" customWidth="1"/>
    <col min="11" max="11" width="18.140625" style="192" customWidth="1"/>
    <col min="12" max="18" width="11.42578125" style="192" customWidth="1"/>
    <col min="19" max="19" width="9.140625" style="192" customWidth="1"/>
    <col min="20" max="20" width="8.7109375" style="192" hidden="1" customWidth="1"/>
    <col min="21" max="21" width="13" style="192" hidden="1" customWidth="1"/>
    <col min="22" max="26" width="9.140625" style="192" hidden="1" customWidth="1"/>
    <col min="27" max="27" width="9.140625" style="192" customWidth="1"/>
    <col min="28" max="259" width="11.42578125" style="192" customWidth="1"/>
    <col min="260" max="260" width="104.85546875" style="192" bestFit="1" customWidth="1"/>
    <col min="261" max="261" width="28" style="192" bestFit="1" customWidth="1"/>
    <col min="262" max="262" width="24.42578125" style="192" customWidth="1"/>
    <col min="263" max="263" width="25.42578125" style="192" customWidth="1"/>
    <col min="264" max="265" width="24.85546875" style="192" customWidth="1"/>
    <col min="266" max="274" width="11.42578125" style="192" customWidth="1"/>
    <col min="275" max="283" width="0" style="192" hidden="1" customWidth="1"/>
    <col min="284" max="515" width="11.42578125" style="192" customWidth="1"/>
    <col min="516" max="516" width="104.85546875" style="192" bestFit="1" customWidth="1"/>
    <col min="517" max="517" width="28" style="192" bestFit="1" customWidth="1"/>
    <col min="518" max="518" width="24.42578125" style="192" customWidth="1"/>
    <col min="519" max="519" width="25.42578125" style="192" customWidth="1"/>
    <col min="520" max="521" width="24.85546875" style="192" customWidth="1"/>
    <col min="522" max="530" width="11.42578125" style="192" customWidth="1"/>
    <col min="531" max="539" width="0" style="192" hidden="1" customWidth="1"/>
    <col min="540" max="771" width="11.42578125" style="192" customWidth="1"/>
    <col min="772" max="772" width="104.85546875" style="192" bestFit="1" customWidth="1"/>
    <col min="773" max="773" width="28" style="192" bestFit="1" customWidth="1"/>
    <col min="774" max="774" width="24.42578125" style="192" customWidth="1"/>
    <col min="775" max="775" width="25.42578125" style="192" customWidth="1"/>
    <col min="776" max="777" width="24.85546875" style="192" customWidth="1"/>
    <col min="778" max="786" width="11.42578125" style="192" customWidth="1"/>
    <col min="787" max="795" width="0" style="192" hidden="1" customWidth="1"/>
    <col min="796" max="1027" width="11.42578125" style="192" customWidth="1"/>
    <col min="1028" max="1028" width="104.85546875" style="192" bestFit="1" customWidth="1"/>
    <col min="1029" max="1029" width="28" style="192" bestFit="1" customWidth="1"/>
    <col min="1030" max="1030" width="24.42578125" style="192" customWidth="1"/>
    <col min="1031" max="1031" width="25.42578125" style="192" customWidth="1"/>
    <col min="1032" max="1033" width="24.85546875" style="192" customWidth="1"/>
    <col min="1034" max="1042" width="11.42578125" style="192" customWidth="1"/>
    <col min="1043" max="1051" width="0" style="192" hidden="1" customWidth="1"/>
    <col min="1052" max="1283" width="11.42578125" style="192" customWidth="1"/>
    <col min="1284" max="1284" width="104.85546875" style="192" bestFit="1" customWidth="1"/>
    <col min="1285" max="1285" width="28" style="192" bestFit="1" customWidth="1"/>
    <col min="1286" max="1286" width="24.42578125" style="192" customWidth="1"/>
    <col min="1287" max="1287" width="25.42578125" style="192" customWidth="1"/>
    <col min="1288" max="1289" width="24.85546875" style="192" customWidth="1"/>
    <col min="1290" max="1298" width="11.42578125" style="192" customWidth="1"/>
    <col min="1299" max="1307" width="0" style="192" hidden="1" customWidth="1"/>
    <col min="1308" max="1539" width="11.42578125" style="192" customWidth="1"/>
    <col min="1540" max="1540" width="104.85546875" style="192" bestFit="1" customWidth="1"/>
    <col min="1541" max="1541" width="28" style="192" bestFit="1" customWidth="1"/>
    <col min="1542" max="1542" width="24.42578125" style="192" customWidth="1"/>
    <col min="1543" max="1543" width="25.42578125" style="192" customWidth="1"/>
    <col min="1544" max="1545" width="24.85546875" style="192" customWidth="1"/>
    <col min="1546" max="1554" width="11.42578125" style="192" customWidth="1"/>
    <col min="1555" max="1563" width="0" style="192" hidden="1" customWidth="1"/>
    <col min="1564" max="1795" width="11.42578125" style="192" customWidth="1"/>
    <col min="1796" max="1796" width="104.85546875" style="192" bestFit="1" customWidth="1"/>
    <col min="1797" max="1797" width="28" style="192" bestFit="1" customWidth="1"/>
    <col min="1798" max="1798" width="24.42578125" style="192" customWidth="1"/>
    <col min="1799" max="1799" width="25.42578125" style="192" customWidth="1"/>
    <col min="1800" max="1801" width="24.85546875" style="192" customWidth="1"/>
    <col min="1802" max="1810" width="11.42578125" style="192" customWidth="1"/>
    <col min="1811" max="1819" width="0" style="192" hidden="1" customWidth="1"/>
    <col min="1820" max="2051" width="11.42578125" style="192" customWidth="1"/>
    <col min="2052" max="2052" width="104.85546875" style="192" bestFit="1" customWidth="1"/>
    <col min="2053" max="2053" width="28" style="192" bestFit="1" customWidth="1"/>
    <col min="2054" max="2054" width="24.42578125" style="192" customWidth="1"/>
    <col min="2055" max="2055" width="25.42578125" style="192" customWidth="1"/>
    <col min="2056" max="2057" width="24.85546875" style="192" customWidth="1"/>
    <col min="2058" max="2066" width="11.42578125" style="192" customWidth="1"/>
    <col min="2067" max="2075" width="0" style="192" hidden="1" customWidth="1"/>
    <col min="2076" max="2307" width="11.42578125" style="192" customWidth="1"/>
    <col min="2308" max="2308" width="104.85546875" style="192" bestFit="1" customWidth="1"/>
    <col min="2309" max="2309" width="28" style="192" bestFit="1" customWidth="1"/>
    <col min="2310" max="2310" width="24.42578125" style="192" customWidth="1"/>
    <col min="2311" max="2311" width="25.42578125" style="192" customWidth="1"/>
    <col min="2312" max="2313" width="24.85546875" style="192" customWidth="1"/>
    <col min="2314" max="2322" width="11.42578125" style="192" customWidth="1"/>
    <col min="2323" max="2331" width="0" style="192" hidden="1" customWidth="1"/>
    <col min="2332" max="2563" width="11.42578125" style="192" customWidth="1"/>
    <col min="2564" max="2564" width="104.85546875" style="192" bestFit="1" customWidth="1"/>
    <col min="2565" max="2565" width="28" style="192" bestFit="1" customWidth="1"/>
    <col min="2566" max="2566" width="24.42578125" style="192" customWidth="1"/>
    <col min="2567" max="2567" width="25.42578125" style="192" customWidth="1"/>
    <col min="2568" max="2569" width="24.85546875" style="192" customWidth="1"/>
    <col min="2570" max="2578" width="11.42578125" style="192" customWidth="1"/>
    <col min="2579" max="2587" width="0" style="192" hidden="1" customWidth="1"/>
    <col min="2588" max="2819" width="11.42578125" style="192" customWidth="1"/>
    <col min="2820" max="2820" width="104.85546875" style="192" bestFit="1" customWidth="1"/>
    <col min="2821" max="2821" width="28" style="192" bestFit="1" customWidth="1"/>
    <col min="2822" max="2822" width="24.42578125" style="192" customWidth="1"/>
    <col min="2823" max="2823" width="25.42578125" style="192" customWidth="1"/>
    <col min="2824" max="2825" width="24.85546875" style="192" customWidth="1"/>
    <col min="2826" max="2834" width="11.42578125" style="192" customWidth="1"/>
    <col min="2835" max="2843" width="0" style="192" hidden="1" customWidth="1"/>
    <col min="2844" max="3075" width="11.42578125" style="192" customWidth="1"/>
    <col min="3076" max="3076" width="104.85546875" style="192" bestFit="1" customWidth="1"/>
    <col min="3077" max="3077" width="28" style="192" bestFit="1" customWidth="1"/>
    <col min="3078" max="3078" width="24.42578125" style="192" customWidth="1"/>
    <col min="3079" max="3079" width="25.42578125" style="192" customWidth="1"/>
    <col min="3080" max="3081" width="24.85546875" style="192" customWidth="1"/>
    <col min="3082" max="3090" width="11.42578125" style="192" customWidth="1"/>
    <col min="3091" max="3099" width="0" style="192" hidden="1" customWidth="1"/>
    <col min="3100" max="3331" width="11.42578125" style="192" customWidth="1"/>
    <col min="3332" max="3332" width="104.85546875" style="192" bestFit="1" customWidth="1"/>
    <col min="3333" max="3333" width="28" style="192" bestFit="1" customWidth="1"/>
    <col min="3334" max="3334" width="24.42578125" style="192" customWidth="1"/>
    <col min="3335" max="3335" width="25.42578125" style="192" customWidth="1"/>
    <col min="3336" max="3337" width="24.85546875" style="192" customWidth="1"/>
    <col min="3338" max="3346" width="11.42578125" style="192" customWidth="1"/>
    <col min="3347" max="3355" width="0" style="192" hidden="1" customWidth="1"/>
    <col min="3356" max="3587" width="11.42578125" style="192" customWidth="1"/>
    <col min="3588" max="3588" width="104.85546875" style="192" bestFit="1" customWidth="1"/>
    <col min="3589" max="3589" width="28" style="192" bestFit="1" customWidth="1"/>
    <col min="3590" max="3590" width="24.42578125" style="192" customWidth="1"/>
    <col min="3591" max="3591" width="25.42578125" style="192" customWidth="1"/>
    <col min="3592" max="3593" width="24.85546875" style="192" customWidth="1"/>
    <col min="3594" max="3602" width="11.42578125" style="192" customWidth="1"/>
    <col min="3603" max="3611" width="0" style="192" hidden="1" customWidth="1"/>
    <col min="3612" max="3843" width="11.42578125" style="192" customWidth="1"/>
    <col min="3844" max="3844" width="104.85546875" style="192" bestFit="1" customWidth="1"/>
    <col min="3845" max="3845" width="28" style="192" bestFit="1" customWidth="1"/>
    <col min="3846" max="3846" width="24.42578125" style="192" customWidth="1"/>
    <col min="3847" max="3847" width="25.42578125" style="192" customWidth="1"/>
    <col min="3848" max="3849" width="24.85546875" style="192" customWidth="1"/>
    <col min="3850" max="3858" width="11.42578125" style="192" customWidth="1"/>
    <col min="3859" max="3867" width="0" style="192" hidden="1" customWidth="1"/>
    <col min="3868" max="4099" width="11.42578125" style="192" customWidth="1"/>
    <col min="4100" max="4100" width="104.85546875" style="192" bestFit="1" customWidth="1"/>
    <col min="4101" max="4101" width="28" style="192" bestFit="1" customWidth="1"/>
    <col min="4102" max="4102" width="24.42578125" style="192" customWidth="1"/>
    <col min="4103" max="4103" width="25.42578125" style="192" customWidth="1"/>
    <col min="4104" max="4105" width="24.85546875" style="192" customWidth="1"/>
    <col min="4106" max="4114" width="11.42578125" style="192" customWidth="1"/>
    <col min="4115" max="4123" width="0" style="192" hidden="1" customWidth="1"/>
    <col min="4124" max="4355" width="11.42578125" style="192" customWidth="1"/>
    <col min="4356" max="4356" width="104.85546875" style="192" bestFit="1" customWidth="1"/>
    <col min="4357" max="4357" width="28" style="192" bestFit="1" customWidth="1"/>
    <col min="4358" max="4358" width="24.42578125" style="192" customWidth="1"/>
    <col min="4359" max="4359" width="25.42578125" style="192" customWidth="1"/>
    <col min="4360" max="4361" width="24.85546875" style="192" customWidth="1"/>
    <col min="4362" max="4370" width="11.42578125" style="192" customWidth="1"/>
    <col min="4371" max="4379" width="0" style="192" hidden="1" customWidth="1"/>
    <col min="4380" max="4611" width="11.42578125" style="192" customWidth="1"/>
    <col min="4612" max="4612" width="104.85546875" style="192" bestFit="1" customWidth="1"/>
    <col min="4613" max="4613" width="28" style="192" bestFit="1" customWidth="1"/>
    <col min="4614" max="4614" width="24.42578125" style="192" customWidth="1"/>
    <col min="4615" max="4615" width="25.42578125" style="192" customWidth="1"/>
    <col min="4616" max="4617" width="24.85546875" style="192" customWidth="1"/>
    <col min="4618" max="4626" width="11.42578125" style="192" customWidth="1"/>
    <col min="4627" max="4635" width="0" style="192" hidden="1" customWidth="1"/>
    <col min="4636" max="4867" width="11.42578125" style="192" customWidth="1"/>
    <col min="4868" max="4868" width="104.85546875" style="192" bestFit="1" customWidth="1"/>
    <col min="4869" max="4869" width="28" style="192" bestFit="1" customWidth="1"/>
    <col min="4870" max="4870" width="24.42578125" style="192" customWidth="1"/>
    <col min="4871" max="4871" width="25.42578125" style="192" customWidth="1"/>
    <col min="4872" max="4873" width="24.85546875" style="192" customWidth="1"/>
    <col min="4874" max="4882" width="11.42578125" style="192" customWidth="1"/>
    <col min="4883" max="4891" width="0" style="192" hidden="1" customWidth="1"/>
    <col min="4892" max="5123" width="11.42578125" style="192" customWidth="1"/>
    <col min="5124" max="5124" width="104.85546875" style="192" bestFit="1" customWidth="1"/>
    <col min="5125" max="5125" width="28" style="192" bestFit="1" customWidth="1"/>
    <col min="5126" max="5126" width="24.42578125" style="192" customWidth="1"/>
    <col min="5127" max="5127" width="25.42578125" style="192" customWidth="1"/>
    <col min="5128" max="5129" width="24.85546875" style="192" customWidth="1"/>
    <col min="5130" max="5138" width="11.42578125" style="192" customWidth="1"/>
    <col min="5139" max="5147" width="0" style="192" hidden="1" customWidth="1"/>
    <col min="5148" max="5379" width="11.42578125" style="192" customWidth="1"/>
    <col min="5380" max="5380" width="104.85546875" style="192" bestFit="1" customWidth="1"/>
    <col min="5381" max="5381" width="28" style="192" bestFit="1" customWidth="1"/>
    <col min="5382" max="5382" width="24.42578125" style="192" customWidth="1"/>
    <col min="5383" max="5383" width="25.42578125" style="192" customWidth="1"/>
    <col min="5384" max="5385" width="24.85546875" style="192" customWidth="1"/>
    <col min="5386" max="5394" width="11.42578125" style="192" customWidth="1"/>
    <col min="5395" max="5403" width="0" style="192" hidden="1" customWidth="1"/>
    <col min="5404" max="5635" width="11.42578125" style="192" customWidth="1"/>
    <col min="5636" max="5636" width="104.85546875" style="192" bestFit="1" customWidth="1"/>
    <col min="5637" max="5637" width="28" style="192" bestFit="1" customWidth="1"/>
    <col min="5638" max="5638" width="24.42578125" style="192" customWidth="1"/>
    <col min="5639" max="5639" width="25.42578125" style="192" customWidth="1"/>
    <col min="5640" max="5641" width="24.85546875" style="192" customWidth="1"/>
    <col min="5642" max="5650" width="11.42578125" style="192" customWidth="1"/>
    <col min="5651" max="5659" width="0" style="192" hidden="1" customWidth="1"/>
    <col min="5660" max="5891" width="11.42578125" style="192" customWidth="1"/>
    <col min="5892" max="5892" width="104.85546875" style="192" bestFit="1" customWidth="1"/>
    <col min="5893" max="5893" width="28" style="192" bestFit="1" customWidth="1"/>
    <col min="5894" max="5894" width="24.42578125" style="192" customWidth="1"/>
    <col min="5895" max="5895" width="25.42578125" style="192" customWidth="1"/>
    <col min="5896" max="5897" width="24.85546875" style="192" customWidth="1"/>
    <col min="5898" max="5906" width="11.42578125" style="192" customWidth="1"/>
    <col min="5907" max="5915" width="0" style="192" hidden="1" customWidth="1"/>
    <col min="5916" max="6147" width="11.42578125" style="192" customWidth="1"/>
    <col min="6148" max="6148" width="104.85546875" style="192" bestFit="1" customWidth="1"/>
    <col min="6149" max="6149" width="28" style="192" bestFit="1" customWidth="1"/>
    <col min="6150" max="6150" width="24.42578125" style="192" customWidth="1"/>
    <col min="6151" max="6151" width="25.42578125" style="192" customWidth="1"/>
    <col min="6152" max="6153" width="24.85546875" style="192" customWidth="1"/>
    <col min="6154" max="6162" width="11.42578125" style="192" customWidth="1"/>
    <col min="6163" max="6171" width="0" style="192" hidden="1" customWidth="1"/>
    <col min="6172" max="6403" width="11.42578125" style="192" customWidth="1"/>
    <col min="6404" max="6404" width="104.85546875" style="192" bestFit="1" customWidth="1"/>
    <col min="6405" max="6405" width="28" style="192" bestFit="1" customWidth="1"/>
    <col min="6406" max="6406" width="24.42578125" style="192" customWidth="1"/>
    <col min="6407" max="6407" width="25.42578125" style="192" customWidth="1"/>
    <col min="6408" max="6409" width="24.85546875" style="192" customWidth="1"/>
    <col min="6410" max="6418" width="11.42578125" style="192" customWidth="1"/>
    <col min="6419" max="6427" width="0" style="192" hidden="1" customWidth="1"/>
    <col min="6428" max="6659" width="11.42578125" style="192" customWidth="1"/>
    <col min="6660" max="6660" width="104.85546875" style="192" bestFit="1" customWidth="1"/>
    <col min="6661" max="6661" width="28" style="192" bestFit="1" customWidth="1"/>
    <col min="6662" max="6662" width="24.42578125" style="192" customWidth="1"/>
    <col min="6663" max="6663" width="25.42578125" style="192" customWidth="1"/>
    <col min="6664" max="6665" width="24.85546875" style="192" customWidth="1"/>
    <col min="6666" max="6674" width="11.42578125" style="192" customWidth="1"/>
    <col min="6675" max="6683" width="0" style="192" hidden="1" customWidth="1"/>
    <col min="6684" max="6915" width="11.42578125" style="192" customWidth="1"/>
    <col min="6916" max="6916" width="104.85546875" style="192" bestFit="1" customWidth="1"/>
    <col min="6917" max="6917" width="28" style="192" bestFit="1" customWidth="1"/>
    <col min="6918" max="6918" width="24.42578125" style="192" customWidth="1"/>
    <col min="6919" max="6919" width="25.42578125" style="192" customWidth="1"/>
    <col min="6920" max="6921" width="24.85546875" style="192" customWidth="1"/>
    <col min="6922" max="6930" width="11.42578125" style="192" customWidth="1"/>
    <col min="6931" max="6939" width="0" style="192" hidden="1" customWidth="1"/>
    <col min="6940" max="7171" width="11.42578125" style="192" customWidth="1"/>
    <col min="7172" max="7172" width="104.85546875" style="192" bestFit="1" customWidth="1"/>
    <col min="7173" max="7173" width="28" style="192" bestFit="1" customWidth="1"/>
    <col min="7174" max="7174" width="24.42578125" style="192" customWidth="1"/>
    <col min="7175" max="7175" width="25.42578125" style="192" customWidth="1"/>
    <col min="7176" max="7177" width="24.85546875" style="192" customWidth="1"/>
    <col min="7178" max="7186" width="11.42578125" style="192" customWidth="1"/>
    <col min="7187" max="7195" width="0" style="192" hidden="1" customWidth="1"/>
    <col min="7196" max="7427" width="11.42578125" style="192" customWidth="1"/>
    <col min="7428" max="7428" width="104.85546875" style="192" bestFit="1" customWidth="1"/>
    <col min="7429" max="7429" width="28" style="192" bestFit="1" customWidth="1"/>
    <col min="7430" max="7430" width="24.42578125" style="192" customWidth="1"/>
    <col min="7431" max="7431" width="25.42578125" style="192" customWidth="1"/>
    <col min="7432" max="7433" width="24.85546875" style="192" customWidth="1"/>
    <col min="7434" max="7442" width="11.42578125" style="192" customWidth="1"/>
    <col min="7443" max="7451" width="0" style="192" hidden="1" customWidth="1"/>
    <col min="7452" max="7683" width="11.42578125" style="192" customWidth="1"/>
    <col min="7684" max="7684" width="104.85546875" style="192" bestFit="1" customWidth="1"/>
    <col min="7685" max="7685" width="28" style="192" bestFit="1" customWidth="1"/>
    <col min="7686" max="7686" width="24.42578125" style="192" customWidth="1"/>
    <col min="7687" max="7687" width="25.42578125" style="192" customWidth="1"/>
    <col min="7688" max="7689" width="24.85546875" style="192" customWidth="1"/>
    <col min="7690" max="7698" width="11.42578125" style="192" customWidth="1"/>
    <col min="7699" max="7707" width="0" style="192" hidden="1" customWidth="1"/>
    <col min="7708" max="7939" width="11.42578125" style="192" customWidth="1"/>
    <col min="7940" max="7940" width="104.85546875" style="192" bestFit="1" customWidth="1"/>
    <col min="7941" max="7941" width="28" style="192" bestFit="1" customWidth="1"/>
    <col min="7942" max="7942" width="24.42578125" style="192" customWidth="1"/>
    <col min="7943" max="7943" width="25.42578125" style="192" customWidth="1"/>
    <col min="7944" max="7945" width="24.85546875" style="192" customWidth="1"/>
    <col min="7946" max="7954" width="11.42578125" style="192" customWidth="1"/>
    <col min="7955" max="7963" width="0" style="192" hidden="1" customWidth="1"/>
    <col min="7964" max="8195" width="11.42578125" style="192" customWidth="1"/>
    <col min="8196" max="8196" width="104.85546875" style="192" bestFit="1" customWidth="1"/>
    <col min="8197" max="8197" width="28" style="192" bestFit="1" customWidth="1"/>
    <col min="8198" max="8198" width="24.42578125" style="192" customWidth="1"/>
    <col min="8199" max="8199" width="25.42578125" style="192" customWidth="1"/>
    <col min="8200" max="8201" width="24.85546875" style="192" customWidth="1"/>
    <col min="8202" max="8210" width="11.42578125" style="192" customWidth="1"/>
    <col min="8211" max="8219" width="0" style="192" hidden="1" customWidth="1"/>
    <col min="8220" max="8451" width="11.42578125" style="192" customWidth="1"/>
    <col min="8452" max="8452" width="104.85546875" style="192" bestFit="1" customWidth="1"/>
    <col min="8453" max="8453" width="28" style="192" bestFit="1" customWidth="1"/>
    <col min="8454" max="8454" width="24.42578125" style="192" customWidth="1"/>
    <col min="8455" max="8455" width="25.42578125" style="192" customWidth="1"/>
    <col min="8456" max="8457" width="24.85546875" style="192" customWidth="1"/>
    <col min="8458" max="8466" width="11.42578125" style="192" customWidth="1"/>
    <col min="8467" max="8475" width="0" style="192" hidden="1" customWidth="1"/>
    <col min="8476" max="8707" width="11.42578125" style="192" customWidth="1"/>
    <col min="8708" max="8708" width="104.85546875" style="192" bestFit="1" customWidth="1"/>
    <col min="8709" max="8709" width="28" style="192" bestFit="1" customWidth="1"/>
    <col min="8710" max="8710" width="24.42578125" style="192" customWidth="1"/>
    <col min="8711" max="8711" width="25.42578125" style="192" customWidth="1"/>
    <col min="8712" max="8713" width="24.85546875" style="192" customWidth="1"/>
    <col min="8714" max="8722" width="11.42578125" style="192" customWidth="1"/>
    <col min="8723" max="8731" width="0" style="192" hidden="1" customWidth="1"/>
    <col min="8732" max="8963" width="11.42578125" style="192" customWidth="1"/>
    <col min="8964" max="8964" width="104.85546875" style="192" bestFit="1" customWidth="1"/>
    <col min="8965" max="8965" width="28" style="192" bestFit="1" customWidth="1"/>
    <col min="8966" max="8966" width="24.42578125" style="192" customWidth="1"/>
    <col min="8967" max="8967" width="25.42578125" style="192" customWidth="1"/>
    <col min="8968" max="8969" width="24.85546875" style="192" customWidth="1"/>
    <col min="8970" max="8978" width="11.42578125" style="192" customWidth="1"/>
    <col min="8979" max="8987" width="0" style="192" hidden="1" customWidth="1"/>
    <col min="8988" max="9219" width="11.42578125" style="192" customWidth="1"/>
    <col min="9220" max="9220" width="104.85546875" style="192" bestFit="1" customWidth="1"/>
    <col min="9221" max="9221" width="28" style="192" bestFit="1" customWidth="1"/>
    <col min="9222" max="9222" width="24.42578125" style="192" customWidth="1"/>
    <col min="9223" max="9223" width="25.42578125" style="192" customWidth="1"/>
    <col min="9224" max="9225" width="24.85546875" style="192" customWidth="1"/>
    <col min="9226" max="9234" width="11.42578125" style="192" customWidth="1"/>
    <col min="9235" max="9243" width="0" style="192" hidden="1" customWidth="1"/>
    <col min="9244" max="9475" width="11.42578125" style="192" customWidth="1"/>
    <col min="9476" max="9476" width="104.85546875" style="192" bestFit="1" customWidth="1"/>
    <col min="9477" max="9477" width="28" style="192" bestFit="1" customWidth="1"/>
    <col min="9478" max="9478" width="24.42578125" style="192" customWidth="1"/>
    <col min="9479" max="9479" width="25.42578125" style="192" customWidth="1"/>
    <col min="9480" max="9481" width="24.85546875" style="192" customWidth="1"/>
    <col min="9482" max="9490" width="11.42578125" style="192" customWidth="1"/>
    <col min="9491" max="9499" width="0" style="192" hidden="1" customWidth="1"/>
    <col min="9500" max="9731" width="11.42578125" style="192" customWidth="1"/>
    <col min="9732" max="9732" width="104.85546875" style="192" bestFit="1" customWidth="1"/>
    <col min="9733" max="9733" width="28" style="192" bestFit="1" customWidth="1"/>
    <col min="9734" max="9734" width="24.42578125" style="192" customWidth="1"/>
    <col min="9735" max="9735" width="25.42578125" style="192" customWidth="1"/>
    <col min="9736" max="9737" width="24.85546875" style="192" customWidth="1"/>
    <col min="9738" max="9746" width="11.42578125" style="192" customWidth="1"/>
    <col min="9747" max="9755" width="0" style="192" hidden="1" customWidth="1"/>
    <col min="9756" max="9987" width="11.42578125" style="192" customWidth="1"/>
    <col min="9988" max="9988" width="104.85546875" style="192" bestFit="1" customWidth="1"/>
    <col min="9989" max="9989" width="28" style="192" bestFit="1" customWidth="1"/>
    <col min="9990" max="9990" width="24.42578125" style="192" customWidth="1"/>
    <col min="9991" max="9991" width="25.42578125" style="192" customWidth="1"/>
    <col min="9992" max="9993" width="24.85546875" style="192" customWidth="1"/>
    <col min="9994" max="10002" width="11.42578125" style="192" customWidth="1"/>
    <col min="10003" max="10011" width="0" style="192" hidden="1" customWidth="1"/>
    <col min="10012" max="10243" width="11.42578125" style="192" customWidth="1"/>
    <col min="10244" max="10244" width="104.85546875" style="192" bestFit="1" customWidth="1"/>
    <col min="10245" max="10245" width="28" style="192" bestFit="1" customWidth="1"/>
    <col min="10246" max="10246" width="24.42578125" style="192" customWidth="1"/>
    <col min="10247" max="10247" width="25.42578125" style="192" customWidth="1"/>
    <col min="10248" max="10249" width="24.85546875" style="192" customWidth="1"/>
    <col min="10250" max="10258" width="11.42578125" style="192" customWidth="1"/>
    <col min="10259" max="10267" width="0" style="192" hidden="1" customWidth="1"/>
    <col min="10268" max="10499" width="11.42578125" style="192" customWidth="1"/>
    <col min="10500" max="10500" width="104.85546875" style="192" bestFit="1" customWidth="1"/>
    <col min="10501" max="10501" width="28" style="192" bestFit="1" customWidth="1"/>
    <col min="10502" max="10502" width="24.42578125" style="192" customWidth="1"/>
    <col min="10503" max="10503" width="25.42578125" style="192" customWidth="1"/>
    <col min="10504" max="10505" width="24.85546875" style="192" customWidth="1"/>
    <col min="10506" max="10514" width="11.42578125" style="192" customWidth="1"/>
    <col min="10515" max="10523" width="0" style="192" hidden="1" customWidth="1"/>
    <col min="10524" max="10755" width="11.42578125" style="192" customWidth="1"/>
    <col min="10756" max="10756" width="104.85546875" style="192" bestFit="1" customWidth="1"/>
    <col min="10757" max="10757" width="28" style="192" bestFit="1" customWidth="1"/>
    <col min="10758" max="10758" width="24.42578125" style="192" customWidth="1"/>
    <col min="10759" max="10759" width="25.42578125" style="192" customWidth="1"/>
    <col min="10760" max="10761" width="24.85546875" style="192" customWidth="1"/>
    <col min="10762" max="10770" width="11.42578125" style="192" customWidth="1"/>
    <col min="10771" max="10779" width="0" style="192" hidden="1" customWidth="1"/>
    <col min="10780" max="11011" width="11.42578125" style="192" customWidth="1"/>
    <col min="11012" max="11012" width="104.85546875" style="192" bestFit="1" customWidth="1"/>
    <col min="11013" max="11013" width="28" style="192" bestFit="1" customWidth="1"/>
    <col min="11014" max="11014" width="24.42578125" style="192" customWidth="1"/>
    <col min="11015" max="11015" width="25.42578125" style="192" customWidth="1"/>
    <col min="11016" max="11017" width="24.85546875" style="192" customWidth="1"/>
    <col min="11018" max="11026" width="11.42578125" style="192" customWidth="1"/>
    <col min="11027" max="11035" width="0" style="192" hidden="1" customWidth="1"/>
    <col min="11036" max="11267" width="11.42578125" style="192" customWidth="1"/>
    <col min="11268" max="11268" width="104.85546875" style="192" bestFit="1" customWidth="1"/>
    <col min="11269" max="11269" width="28" style="192" bestFit="1" customWidth="1"/>
    <col min="11270" max="11270" width="24.42578125" style="192" customWidth="1"/>
    <col min="11271" max="11271" width="25.42578125" style="192" customWidth="1"/>
    <col min="11272" max="11273" width="24.85546875" style="192" customWidth="1"/>
    <col min="11274" max="11282" width="11.42578125" style="192" customWidth="1"/>
    <col min="11283" max="11291" width="0" style="192" hidden="1" customWidth="1"/>
    <col min="11292" max="11523" width="11.42578125" style="192" customWidth="1"/>
    <col min="11524" max="11524" width="104.85546875" style="192" bestFit="1" customWidth="1"/>
    <col min="11525" max="11525" width="28" style="192" bestFit="1" customWidth="1"/>
    <col min="11526" max="11526" width="24.42578125" style="192" customWidth="1"/>
    <col min="11527" max="11527" width="25.42578125" style="192" customWidth="1"/>
    <col min="11528" max="11529" width="24.85546875" style="192" customWidth="1"/>
    <col min="11530" max="11538" width="11.42578125" style="192" customWidth="1"/>
    <col min="11539" max="11547" width="0" style="192" hidden="1" customWidth="1"/>
    <col min="11548" max="11779" width="11.42578125" style="192" customWidth="1"/>
    <col min="11780" max="11780" width="104.85546875" style="192" bestFit="1" customWidth="1"/>
    <col min="11781" max="11781" width="28" style="192" bestFit="1" customWidth="1"/>
    <col min="11782" max="11782" width="24.42578125" style="192" customWidth="1"/>
    <col min="11783" max="11783" width="25.42578125" style="192" customWidth="1"/>
    <col min="11784" max="11785" width="24.85546875" style="192" customWidth="1"/>
    <col min="11786" max="11794" width="11.42578125" style="192" customWidth="1"/>
    <col min="11795" max="11803" width="0" style="192" hidden="1" customWidth="1"/>
    <col min="11804" max="12035" width="11.42578125" style="192" customWidth="1"/>
    <col min="12036" max="12036" width="104.85546875" style="192" bestFit="1" customWidth="1"/>
    <col min="12037" max="12037" width="28" style="192" bestFit="1" customWidth="1"/>
    <col min="12038" max="12038" width="24.42578125" style="192" customWidth="1"/>
    <col min="12039" max="12039" width="25.42578125" style="192" customWidth="1"/>
    <col min="12040" max="12041" width="24.85546875" style="192" customWidth="1"/>
    <col min="12042" max="12050" width="11.42578125" style="192" customWidth="1"/>
    <col min="12051" max="12059" width="0" style="192" hidden="1" customWidth="1"/>
    <col min="12060" max="12291" width="11.42578125" style="192" customWidth="1"/>
    <col min="12292" max="12292" width="104.85546875" style="192" bestFit="1" customWidth="1"/>
    <col min="12293" max="12293" width="28" style="192" bestFit="1" customWidth="1"/>
    <col min="12294" max="12294" width="24.42578125" style="192" customWidth="1"/>
    <col min="12295" max="12295" width="25.42578125" style="192" customWidth="1"/>
    <col min="12296" max="12297" width="24.85546875" style="192" customWidth="1"/>
    <col min="12298" max="12306" width="11.42578125" style="192" customWidth="1"/>
    <col min="12307" max="12315" width="0" style="192" hidden="1" customWidth="1"/>
    <col min="12316" max="12547" width="11.42578125" style="192" customWidth="1"/>
    <col min="12548" max="12548" width="104.85546875" style="192" bestFit="1" customWidth="1"/>
    <col min="12549" max="12549" width="28" style="192" bestFit="1" customWidth="1"/>
    <col min="12550" max="12550" width="24.42578125" style="192" customWidth="1"/>
    <col min="12551" max="12551" width="25.42578125" style="192" customWidth="1"/>
    <col min="12552" max="12553" width="24.85546875" style="192" customWidth="1"/>
    <col min="12554" max="12562" width="11.42578125" style="192" customWidth="1"/>
    <col min="12563" max="12571" width="0" style="192" hidden="1" customWidth="1"/>
    <col min="12572" max="12803" width="11.42578125" style="192" customWidth="1"/>
    <col min="12804" max="12804" width="104.85546875" style="192" bestFit="1" customWidth="1"/>
    <col min="12805" max="12805" width="28" style="192" bestFit="1" customWidth="1"/>
    <col min="12806" max="12806" width="24.42578125" style="192" customWidth="1"/>
    <col min="12807" max="12807" width="25.42578125" style="192" customWidth="1"/>
    <col min="12808" max="12809" width="24.85546875" style="192" customWidth="1"/>
    <col min="12810" max="12818" width="11.42578125" style="192" customWidth="1"/>
    <col min="12819" max="12827" width="0" style="192" hidden="1" customWidth="1"/>
    <col min="12828" max="13059" width="11.42578125" style="192" customWidth="1"/>
    <col min="13060" max="13060" width="104.85546875" style="192" bestFit="1" customWidth="1"/>
    <col min="13061" max="13061" width="28" style="192" bestFit="1" customWidth="1"/>
    <col min="13062" max="13062" width="24.42578125" style="192" customWidth="1"/>
    <col min="13063" max="13063" width="25.42578125" style="192" customWidth="1"/>
    <col min="13064" max="13065" width="24.85546875" style="192" customWidth="1"/>
    <col min="13066" max="13074" width="11.42578125" style="192" customWidth="1"/>
    <col min="13075" max="13083" width="0" style="192" hidden="1" customWidth="1"/>
    <col min="13084" max="13315" width="11.42578125" style="192" customWidth="1"/>
    <col min="13316" max="13316" width="104.85546875" style="192" bestFit="1" customWidth="1"/>
    <col min="13317" max="13317" width="28" style="192" bestFit="1" customWidth="1"/>
    <col min="13318" max="13318" width="24.42578125" style="192" customWidth="1"/>
    <col min="13319" max="13319" width="25.42578125" style="192" customWidth="1"/>
    <col min="13320" max="13321" width="24.85546875" style="192" customWidth="1"/>
    <col min="13322" max="13330" width="11.42578125" style="192" customWidth="1"/>
    <col min="13331" max="13339" width="0" style="192" hidden="1" customWidth="1"/>
    <col min="13340" max="13571" width="11.42578125" style="192" customWidth="1"/>
    <col min="13572" max="13572" width="104.85546875" style="192" bestFit="1" customWidth="1"/>
    <col min="13573" max="13573" width="28" style="192" bestFit="1" customWidth="1"/>
    <col min="13574" max="13574" width="24.42578125" style="192" customWidth="1"/>
    <col min="13575" max="13575" width="25.42578125" style="192" customWidth="1"/>
    <col min="13576" max="13577" width="24.85546875" style="192" customWidth="1"/>
    <col min="13578" max="13586" width="11.42578125" style="192" customWidth="1"/>
    <col min="13587" max="13595" width="0" style="192" hidden="1" customWidth="1"/>
    <col min="13596" max="13827" width="11.42578125" style="192" customWidth="1"/>
    <col min="13828" max="13828" width="104.85546875" style="192" bestFit="1" customWidth="1"/>
    <col min="13829" max="13829" width="28" style="192" bestFit="1" customWidth="1"/>
    <col min="13830" max="13830" width="24.42578125" style="192" customWidth="1"/>
    <col min="13831" max="13831" width="25.42578125" style="192" customWidth="1"/>
    <col min="13832" max="13833" width="24.85546875" style="192" customWidth="1"/>
    <col min="13834" max="13842" width="11.42578125" style="192" customWidth="1"/>
    <col min="13843" max="13851" width="0" style="192" hidden="1" customWidth="1"/>
    <col min="13852" max="14083" width="11.42578125" style="192" customWidth="1"/>
    <col min="14084" max="14084" width="104.85546875" style="192" bestFit="1" customWidth="1"/>
    <col min="14085" max="14085" width="28" style="192" bestFit="1" customWidth="1"/>
    <col min="14086" max="14086" width="24.42578125" style="192" customWidth="1"/>
    <col min="14087" max="14087" width="25.42578125" style="192" customWidth="1"/>
    <col min="14088" max="14089" width="24.85546875" style="192" customWidth="1"/>
    <col min="14090" max="14098" width="11.42578125" style="192" customWidth="1"/>
    <col min="14099" max="14107" width="0" style="192" hidden="1" customWidth="1"/>
    <col min="14108" max="14339" width="11.42578125" style="192" customWidth="1"/>
    <col min="14340" max="14340" width="104.85546875" style="192" bestFit="1" customWidth="1"/>
    <col min="14341" max="14341" width="28" style="192" bestFit="1" customWidth="1"/>
    <col min="14342" max="14342" width="24.42578125" style="192" customWidth="1"/>
    <col min="14343" max="14343" width="25.42578125" style="192" customWidth="1"/>
    <col min="14344" max="14345" width="24.85546875" style="192" customWidth="1"/>
    <col min="14346" max="14354" width="11.42578125" style="192" customWidth="1"/>
    <col min="14355" max="14363" width="0" style="192" hidden="1" customWidth="1"/>
    <col min="14364" max="14595" width="11.42578125" style="192" customWidth="1"/>
    <col min="14596" max="14596" width="104.85546875" style="192" bestFit="1" customWidth="1"/>
    <col min="14597" max="14597" width="28" style="192" bestFit="1" customWidth="1"/>
    <col min="14598" max="14598" width="24.42578125" style="192" customWidth="1"/>
    <col min="14599" max="14599" width="25.42578125" style="192" customWidth="1"/>
    <col min="14600" max="14601" width="24.85546875" style="192" customWidth="1"/>
    <col min="14602" max="14610" width="11.42578125" style="192" customWidth="1"/>
    <col min="14611" max="14619" width="0" style="192" hidden="1" customWidth="1"/>
    <col min="14620" max="14851" width="11.42578125" style="192" customWidth="1"/>
    <col min="14852" max="14852" width="104.85546875" style="192" bestFit="1" customWidth="1"/>
    <col min="14853" max="14853" width="28" style="192" bestFit="1" customWidth="1"/>
    <col min="14854" max="14854" width="24.42578125" style="192" customWidth="1"/>
    <col min="14855" max="14855" width="25.42578125" style="192" customWidth="1"/>
    <col min="14856" max="14857" width="24.85546875" style="192" customWidth="1"/>
    <col min="14858" max="14866" width="11.42578125" style="192" customWidth="1"/>
    <col min="14867" max="14875" width="0" style="192" hidden="1" customWidth="1"/>
    <col min="14876" max="15107" width="11.42578125" style="192" customWidth="1"/>
    <col min="15108" max="15108" width="104.85546875" style="192" bestFit="1" customWidth="1"/>
    <col min="15109" max="15109" width="28" style="192" bestFit="1" customWidth="1"/>
    <col min="15110" max="15110" width="24.42578125" style="192" customWidth="1"/>
    <col min="15111" max="15111" width="25.42578125" style="192" customWidth="1"/>
    <col min="15112" max="15113" width="24.85546875" style="192" customWidth="1"/>
    <col min="15114" max="15122" width="11.42578125" style="192" customWidth="1"/>
    <col min="15123" max="15131" width="0" style="192" hidden="1" customWidth="1"/>
    <col min="15132" max="15363" width="11.42578125" style="192" customWidth="1"/>
    <col min="15364" max="15364" width="104.85546875" style="192" bestFit="1" customWidth="1"/>
    <col min="15365" max="15365" width="28" style="192" bestFit="1" customWidth="1"/>
    <col min="15366" max="15366" width="24.42578125" style="192" customWidth="1"/>
    <col min="15367" max="15367" width="25.42578125" style="192" customWidth="1"/>
    <col min="15368" max="15369" width="24.85546875" style="192" customWidth="1"/>
    <col min="15370" max="15378" width="11.42578125" style="192" customWidth="1"/>
    <col min="15379" max="15387" width="0" style="192" hidden="1" customWidth="1"/>
    <col min="15388" max="15619" width="11.42578125" style="192" customWidth="1"/>
    <col min="15620" max="15620" width="104.85546875" style="192" bestFit="1" customWidth="1"/>
    <col min="15621" max="15621" width="28" style="192" bestFit="1" customWidth="1"/>
    <col min="15622" max="15622" width="24.42578125" style="192" customWidth="1"/>
    <col min="15623" max="15623" width="25.42578125" style="192" customWidth="1"/>
    <col min="15624" max="15625" width="24.85546875" style="192" customWidth="1"/>
    <col min="15626" max="15634" width="11.42578125" style="192" customWidth="1"/>
    <col min="15635" max="15643" width="0" style="192" hidden="1" customWidth="1"/>
    <col min="15644" max="15875" width="11.42578125" style="192" customWidth="1"/>
    <col min="15876" max="15876" width="104.85546875" style="192" bestFit="1" customWidth="1"/>
    <col min="15877" max="15877" width="28" style="192" bestFit="1" customWidth="1"/>
    <col min="15878" max="15878" width="24.42578125" style="192" customWidth="1"/>
    <col min="15879" max="15879" width="25.42578125" style="192" customWidth="1"/>
    <col min="15880" max="15881" width="24.85546875" style="192" customWidth="1"/>
    <col min="15882" max="15890" width="11.42578125" style="192" customWidth="1"/>
    <col min="15891" max="15899" width="0" style="192" hidden="1" customWidth="1"/>
    <col min="15900" max="16131" width="11.42578125" style="192" customWidth="1"/>
    <col min="16132" max="16132" width="104.85546875" style="192" bestFit="1" customWidth="1"/>
    <col min="16133" max="16133" width="28" style="192" bestFit="1" customWidth="1"/>
    <col min="16134" max="16134" width="24.42578125" style="192" customWidth="1"/>
    <col min="16135" max="16135" width="25.42578125" style="192" customWidth="1"/>
    <col min="16136" max="16137" width="24.85546875" style="192" customWidth="1"/>
    <col min="16138" max="16146" width="11.42578125" style="192" customWidth="1"/>
    <col min="16147" max="16155" width="0" style="192" hidden="1" customWidth="1"/>
    <col min="16156" max="16384" width="11.42578125" style="192" customWidth="1"/>
  </cols>
  <sheetData>
    <row r="1" spans="2:15" ht="15" thickBot="1" x14ac:dyDescent="0.25">
      <c r="B1" s="541"/>
      <c r="C1" s="541"/>
      <c r="D1" s="541"/>
      <c r="E1" s="541"/>
      <c r="F1" s="541"/>
      <c r="G1" s="541"/>
      <c r="H1" s="541"/>
      <c r="I1" s="541"/>
      <c r="J1" s="541"/>
      <c r="K1" s="541"/>
      <c r="L1" s="541"/>
      <c r="M1" s="541"/>
      <c r="N1" s="542" t="s">
        <v>957</v>
      </c>
      <c r="O1" s="543">
        <f>'Furnace Volume'!R1+1</f>
        <v>16</v>
      </c>
    </row>
    <row r="2" spans="2:15" ht="15.75" x14ac:dyDescent="0.25">
      <c r="B2" s="544"/>
      <c r="C2" s="545"/>
      <c r="D2" s="984" t="s">
        <v>970</v>
      </c>
      <c r="E2" s="984"/>
      <c r="F2" s="984"/>
      <c r="G2" s="984"/>
      <c r="H2" s="984"/>
      <c r="I2" s="984"/>
      <c r="J2" s="984"/>
      <c r="K2" s="640"/>
      <c r="L2" s="640"/>
      <c r="M2" s="987" t="s">
        <v>851</v>
      </c>
      <c r="N2" s="988"/>
      <c r="O2" s="926" t="str">
        <f>IF(ISBLANK(General!$E$6),"",General!$E$6)</f>
        <v/>
      </c>
    </row>
    <row r="3" spans="2:15" ht="14.25" customHeight="1" x14ac:dyDescent="0.2">
      <c r="B3" s="547"/>
      <c r="C3" s="548"/>
      <c r="D3" s="985"/>
      <c r="E3" s="985"/>
      <c r="F3" s="985"/>
      <c r="G3" s="985"/>
      <c r="H3" s="985"/>
      <c r="I3" s="985"/>
      <c r="J3" s="985"/>
      <c r="K3" s="555"/>
      <c r="L3" s="555"/>
      <c r="M3" s="989" t="s">
        <v>958</v>
      </c>
      <c r="N3" s="990"/>
      <c r="O3" s="550" t="str">
        <f>IF(ISBLANK(General!$E$12),"",General!$E$12)</f>
        <v/>
      </c>
    </row>
    <row r="4" spans="2:15" ht="14.25" customHeight="1" x14ac:dyDescent="0.2">
      <c r="B4" s="547"/>
      <c r="C4" s="548"/>
      <c r="D4" s="985"/>
      <c r="E4" s="985"/>
      <c r="F4" s="985"/>
      <c r="G4" s="985"/>
      <c r="H4" s="985"/>
      <c r="I4" s="985"/>
      <c r="J4" s="985"/>
      <c r="K4" s="555"/>
      <c r="L4" s="555"/>
      <c r="M4" s="989" t="s">
        <v>959</v>
      </c>
      <c r="N4" s="990"/>
      <c r="O4" s="551" t="str">
        <f>IF(ISBLANK(General!$E$13),"",General!$E$13)</f>
        <v/>
      </c>
    </row>
    <row r="5" spans="2:15" ht="14.25" customHeight="1" x14ac:dyDescent="0.2">
      <c r="B5" s="552"/>
      <c r="C5" s="641"/>
      <c r="D5" s="986"/>
      <c r="E5" s="986"/>
      <c r="F5" s="986"/>
      <c r="G5" s="986"/>
      <c r="H5" s="986"/>
      <c r="I5" s="986"/>
      <c r="J5" s="986"/>
      <c r="K5" s="556"/>
      <c r="L5" s="556"/>
      <c r="M5" s="1089" t="s">
        <v>960</v>
      </c>
      <c r="N5" s="1090"/>
      <c r="O5" s="554" t="str">
        <f>IF(ISBLANK(General!$E$14),"",General!$E$14)</f>
        <v/>
      </c>
    </row>
    <row r="6" spans="2:15" x14ac:dyDescent="0.2">
      <c r="B6" s="1017" t="s">
        <v>897</v>
      </c>
      <c r="C6" s="1019"/>
      <c r="D6" s="1048" t="str">
        <f>IF(ISBLANK(General!$E$8),"",General!$E$8)</f>
        <v/>
      </c>
      <c r="E6" s="962"/>
      <c r="F6" s="963"/>
      <c r="G6" s="970" t="s">
        <v>961</v>
      </c>
      <c r="H6" s="972"/>
      <c r="I6" s="978" t="str">
        <f>IF(ISBLANK(General!$D$33),"",General!$D$33)</f>
        <v/>
      </c>
      <c r="J6" s="979"/>
      <c r="K6" s="979"/>
      <c r="L6" s="979"/>
      <c r="M6" s="979"/>
      <c r="N6" s="979"/>
      <c r="O6" s="980"/>
    </row>
    <row r="7" spans="2:15" x14ac:dyDescent="0.2">
      <c r="B7" s="991" t="s">
        <v>962</v>
      </c>
      <c r="C7" s="1020"/>
      <c r="D7" s="1049" t="str">
        <f>IF(ISBLANK(General!$E$9),"",General!$E$9)</f>
        <v/>
      </c>
      <c r="E7" s="965"/>
      <c r="F7" s="966"/>
      <c r="G7" s="975" t="s">
        <v>963</v>
      </c>
      <c r="H7" s="977"/>
      <c r="I7" s="981" t="str">
        <f>IF(ISBLANK(General!$E$33),"",General!$E$33)</f>
        <v/>
      </c>
      <c r="J7" s="982"/>
      <c r="K7" s="982"/>
      <c r="L7" s="982"/>
      <c r="M7" s="982"/>
      <c r="N7" s="982"/>
      <c r="O7" s="983"/>
    </row>
    <row r="8" spans="2:15" x14ac:dyDescent="0.2">
      <c r="B8" s="1015" t="s">
        <v>932</v>
      </c>
      <c r="C8" s="1047"/>
      <c r="D8" s="1050" t="str">
        <f>IF(ISBLANK(General!$E$17),"",General!$E$17)</f>
        <v/>
      </c>
      <c r="E8" s="968"/>
      <c r="F8" s="969"/>
      <c r="G8" s="954" t="s">
        <v>930</v>
      </c>
      <c r="H8" s="956"/>
      <c r="I8" s="957" t="str">
        <f>IF(ISBLANK(General!$E$16),"",General!$E$16)</f>
        <v/>
      </c>
      <c r="J8" s="958"/>
      <c r="K8" s="958"/>
      <c r="L8" s="958"/>
      <c r="M8" s="958"/>
      <c r="N8" s="958"/>
      <c r="O8" s="959"/>
    </row>
    <row r="9" spans="2:15" ht="15.75" x14ac:dyDescent="0.25">
      <c r="B9" s="1013" t="s">
        <v>973</v>
      </c>
      <c r="C9" s="1014"/>
      <c r="D9" s="1014"/>
      <c r="E9" s="1014"/>
      <c r="F9" s="1014"/>
      <c r="G9" s="1014"/>
      <c r="H9" s="1014"/>
      <c r="I9" s="1014"/>
      <c r="J9" s="1014"/>
      <c r="K9" s="1014"/>
      <c r="L9" s="1014"/>
      <c r="M9" s="1014"/>
      <c r="N9" s="1014"/>
      <c r="O9" s="1082"/>
    </row>
    <row r="10" spans="2:15" x14ac:dyDescent="0.2">
      <c r="B10" s="667"/>
      <c r="C10" s="191"/>
      <c r="D10" s="191"/>
      <c r="E10" s="191"/>
      <c r="F10" s="668"/>
      <c r="G10" s="668"/>
      <c r="H10" s="668"/>
      <c r="I10" s="668"/>
      <c r="J10" s="191"/>
      <c r="K10" s="191"/>
      <c r="L10" s="191"/>
      <c r="M10" s="191"/>
      <c r="N10" s="191"/>
      <c r="O10" s="669"/>
    </row>
    <row r="11" spans="2:15" ht="15" x14ac:dyDescent="0.25">
      <c r="B11" s="1119" t="s">
        <v>740</v>
      </c>
      <c r="C11" s="1120"/>
      <c r="D11" s="1120"/>
      <c r="E11" s="1120"/>
      <c r="F11" s="1120"/>
      <c r="G11" s="1120"/>
      <c r="H11" s="1120"/>
      <c r="I11" s="1120"/>
      <c r="J11" s="1120"/>
      <c r="K11" s="1120"/>
      <c r="L11" s="1121" t="s">
        <v>974</v>
      </c>
      <c r="M11" s="1122"/>
      <c r="N11" s="1122"/>
      <c r="O11" s="1123"/>
    </row>
    <row r="12" spans="2:15" x14ac:dyDescent="0.2">
      <c r="B12" s="1148" t="s">
        <v>795</v>
      </c>
      <c r="C12" s="1149"/>
      <c r="D12" s="1149"/>
      <c r="E12" s="1150"/>
      <c r="F12" s="1151"/>
      <c r="G12" s="1152"/>
      <c r="H12" s="1152"/>
      <c r="I12" s="1152"/>
      <c r="J12" s="1152"/>
      <c r="K12" s="1153"/>
      <c r="L12" s="1154" t="str">
        <f>+IF(AND(L23&lt;100,L21=$T$21),"ERROR: If the vessel is full of liquid, the liquid level must be 100%",IF(AND(L23=100,L21=$U$21),"ATTENTION: If the liquid level is 100%, the vessel must be completely full of liquid.",""))</f>
        <v/>
      </c>
      <c r="M12" s="1155"/>
      <c r="N12" s="1155"/>
      <c r="O12" s="1156"/>
    </row>
    <row r="13" spans="2:15" x14ac:dyDescent="0.2">
      <c r="B13" s="1134"/>
      <c r="C13" s="1135"/>
      <c r="D13" s="1136"/>
      <c r="E13" s="337" t="s">
        <v>5</v>
      </c>
      <c r="F13" s="338" t="s">
        <v>741</v>
      </c>
      <c r="G13" s="338" t="s">
        <v>120</v>
      </c>
      <c r="H13" s="338" t="s">
        <v>121</v>
      </c>
      <c r="I13" s="338" t="s">
        <v>122</v>
      </c>
      <c r="J13" s="339"/>
      <c r="K13" s="654"/>
      <c r="L13" s="1157"/>
      <c r="M13" s="1158"/>
      <c r="N13" s="1158"/>
      <c r="O13" s="1159"/>
    </row>
    <row r="14" spans="2:15" x14ac:dyDescent="0.2">
      <c r="B14" s="1163" t="s">
        <v>234</v>
      </c>
      <c r="C14" s="1164"/>
      <c r="D14" s="1164"/>
      <c r="E14" s="642" t="s">
        <v>216</v>
      </c>
      <c r="F14" s="642">
        <v>14.5</v>
      </c>
      <c r="G14" s="642">
        <v>6</v>
      </c>
      <c r="H14" s="642">
        <v>12</v>
      </c>
      <c r="I14" s="642">
        <v>13</v>
      </c>
      <c r="J14" s="642">
        <v>13</v>
      </c>
      <c r="K14" s="655">
        <v>13</v>
      </c>
      <c r="L14" s="1157"/>
      <c r="M14" s="1158"/>
      <c r="N14" s="1158"/>
      <c r="O14" s="1159"/>
    </row>
    <row r="15" spans="2:15" ht="12.75" customHeight="1" x14ac:dyDescent="0.2">
      <c r="B15" s="1165" t="s">
        <v>235</v>
      </c>
      <c r="C15" s="1166"/>
      <c r="D15" s="1166"/>
      <c r="E15" s="643" t="s">
        <v>216</v>
      </c>
      <c r="F15" s="643">
        <v>100.5</v>
      </c>
      <c r="G15" s="643">
        <v>9.375</v>
      </c>
      <c r="H15" s="643">
        <v>18</v>
      </c>
      <c r="I15" s="643">
        <v>110.5</v>
      </c>
      <c r="J15" s="643">
        <v>110.5</v>
      </c>
      <c r="K15" s="656">
        <v>110.5</v>
      </c>
      <c r="L15" s="1157"/>
      <c r="M15" s="1158"/>
      <c r="N15" s="1158"/>
      <c r="O15" s="1159"/>
    </row>
    <row r="16" spans="2:15" x14ac:dyDescent="0.2">
      <c r="B16" s="1165" t="s">
        <v>742</v>
      </c>
      <c r="C16" s="1166"/>
      <c r="D16" s="1166"/>
      <c r="E16" s="643"/>
      <c r="F16" s="643" t="s">
        <v>97</v>
      </c>
      <c r="G16" s="643" t="s">
        <v>98</v>
      </c>
      <c r="H16" s="643" t="s">
        <v>98</v>
      </c>
      <c r="I16" s="643" t="s">
        <v>98</v>
      </c>
      <c r="J16" s="643" t="s">
        <v>98</v>
      </c>
      <c r="K16" s="656" t="s">
        <v>98</v>
      </c>
      <c r="L16" s="1157"/>
      <c r="M16" s="1158"/>
      <c r="N16" s="1158"/>
      <c r="O16" s="1159"/>
    </row>
    <row r="17" spans="1:25" x14ac:dyDescent="0.2">
      <c r="B17" s="1165" t="s">
        <v>159</v>
      </c>
      <c r="C17" s="1166"/>
      <c r="D17" s="1166"/>
      <c r="E17" s="643"/>
      <c r="F17" s="643" t="s">
        <v>96</v>
      </c>
      <c r="G17" s="643" t="s">
        <v>739</v>
      </c>
      <c r="H17" s="643" t="s">
        <v>739</v>
      </c>
      <c r="I17" s="643" t="s">
        <v>739</v>
      </c>
      <c r="J17" s="643" t="s">
        <v>739</v>
      </c>
      <c r="K17" s="656" t="s">
        <v>739</v>
      </c>
      <c r="L17" s="1157"/>
      <c r="M17" s="1158"/>
      <c r="N17" s="1158"/>
      <c r="O17" s="1159"/>
    </row>
    <row r="18" spans="1:25" x14ac:dyDescent="0.2">
      <c r="B18" s="1165" t="s">
        <v>744</v>
      </c>
      <c r="C18" s="1166"/>
      <c r="D18" s="1166"/>
      <c r="E18" s="643"/>
      <c r="F18" s="643">
        <v>9</v>
      </c>
      <c r="G18" s="643">
        <v>0</v>
      </c>
      <c r="H18" s="643">
        <v>0</v>
      </c>
      <c r="I18" s="643">
        <v>0</v>
      </c>
      <c r="J18" s="643">
        <v>0</v>
      </c>
      <c r="K18" s="656">
        <v>0</v>
      </c>
      <c r="L18" s="1157"/>
      <c r="M18" s="1158"/>
      <c r="N18" s="1158"/>
      <c r="O18" s="1159"/>
      <c r="P18" s="316"/>
      <c r="Q18" s="316"/>
    </row>
    <row r="19" spans="1:25" x14ac:dyDescent="0.2">
      <c r="B19" s="1165" t="s">
        <v>774</v>
      </c>
      <c r="C19" s="1166"/>
      <c r="D19" s="1166"/>
      <c r="E19" s="643" t="s">
        <v>216</v>
      </c>
      <c r="F19" s="643">
        <v>1.5</v>
      </c>
      <c r="G19" s="643"/>
      <c r="H19" s="643"/>
      <c r="I19" s="643"/>
      <c r="J19" s="643"/>
      <c r="K19" s="656"/>
      <c r="L19" s="1157"/>
      <c r="M19" s="1158"/>
      <c r="N19" s="1158"/>
      <c r="O19" s="1159"/>
      <c r="P19" s="316"/>
      <c r="Q19" s="316"/>
      <c r="Y19" s="317" t="s">
        <v>94</v>
      </c>
    </row>
    <row r="20" spans="1:25" x14ac:dyDescent="0.2">
      <c r="B20" s="1165" t="s">
        <v>745</v>
      </c>
      <c r="C20" s="1166"/>
      <c r="D20" s="1166"/>
      <c r="E20" s="643" t="s">
        <v>78</v>
      </c>
      <c r="F20" s="643">
        <v>2</v>
      </c>
      <c r="G20" s="643"/>
      <c r="H20" s="643"/>
      <c r="I20" s="643"/>
      <c r="J20" s="643"/>
      <c r="K20" s="656"/>
      <c r="L20" s="1157"/>
      <c r="M20" s="1158"/>
      <c r="N20" s="1158"/>
      <c r="O20" s="1159"/>
      <c r="P20" s="316"/>
      <c r="Q20" s="316"/>
      <c r="T20" s="192" t="s">
        <v>135</v>
      </c>
      <c r="V20" s="192" t="s">
        <v>97</v>
      </c>
      <c r="Y20" s="317" t="s">
        <v>95</v>
      </c>
    </row>
    <row r="21" spans="1:25" x14ac:dyDescent="0.2">
      <c r="B21" s="1146" t="s">
        <v>160</v>
      </c>
      <c r="C21" s="1147"/>
      <c r="D21" s="1147"/>
      <c r="E21" s="644" t="s">
        <v>77</v>
      </c>
      <c r="F21" s="645">
        <v>15</v>
      </c>
      <c r="G21" s="645">
        <v>15</v>
      </c>
      <c r="H21" s="645">
        <v>15</v>
      </c>
      <c r="I21" s="645">
        <v>15</v>
      </c>
      <c r="J21" s="645">
        <v>15</v>
      </c>
      <c r="K21" s="657">
        <v>15</v>
      </c>
      <c r="L21" s="1157"/>
      <c r="M21" s="1158"/>
      <c r="N21" s="1158"/>
      <c r="O21" s="1159"/>
      <c r="P21" s="316"/>
      <c r="Q21" s="316"/>
      <c r="T21" s="192" t="s">
        <v>136</v>
      </c>
      <c r="V21" s="192" t="s">
        <v>98</v>
      </c>
      <c r="Y21" s="317" t="s">
        <v>96</v>
      </c>
    </row>
    <row r="22" spans="1:25" hidden="1" x14ac:dyDescent="0.2">
      <c r="A22" s="316"/>
      <c r="B22" s="1146" t="s">
        <v>743</v>
      </c>
      <c r="C22" s="1147"/>
      <c r="D22" s="1147"/>
      <c r="E22" s="644" t="s">
        <v>77</v>
      </c>
      <c r="F22" s="899">
        <f>F19*0.3048*1000</f>
        <v>457.20000000000005</v>
      </c>
      <c r="G22" s="899">
        <f t="shared" ref="G22:K22" si="0">G19*0.3048*1000</f>
        <v>0</v>
      </c>
      <c r="H22" s="899">
        <f t="shared" si="0"/>
        <v>0</v>
      </c>
      <c r="I22" s="899">
        <f t="shared" si="0"/>
        <v>0</v>
      </c>
      <c r="J22" s="899">
        <f t="shared" si="0"/>
        <v>0</v>
      </c>
      <c r="K22" s="900">
        <f t="shared" si="0"/>
        <v>0</v>
      </c>
      <c r="L22" s="1157"/>
      <c r="M22" s="1158"/>
      <c r="N22" s="1158"/>
      <c r="O22" s="1159"/>
      <c r="P22" s="316"/>
      <c r="Q22" s="316"/>
      <c r="Y22" s="317" t="s">
        <v>739</v>
      </c>
    </row>
    <row r="23" spans="1:25" hidden="1" x14ac:dyDescent="0.2">
      <c r="B23" s="1146" t="s">
        <v>745</v>
      </c>
      <c r="C23" s="1147"/>
      <c r="D23" s="1147"/>
      <c r="E23" s="646" t="s">
        <v>13</v>
      </c>
      <c r="F23" s="901">
        <f>F20*0.083333*0.3048</f>
        <v>5.0799796800000005E-2</v>
      </c>
      <c r="G23" s="901">
        <f t="shared" ref="G23:K23" si="1">G20*0.083333*0.3048</f>
        <v>0</v>
      </c>
      <c r="H23" s="901">
        <f t="shared" si="1"/>
        <v>0</v>
      </c>
      <c r="I23" s="901">
        <f t="shared" si="1"/>
        <v>0</v>
      </c>
      <c r="J23" s="901">
        <f t="shared" si="1"/>
        <v>0</v>
      </c>
      <c r="K23" s="902">
        <f t="shared" si="1"/>
        <v>0</v>
      </c>
      <c r="L23" s="1157"/>
      <c r="M23" s="1158"/>
      <c r="N23" s="1158"/>
      <c r="O23" s="1159"/>
    </row>
    <row r="24" spans="1:25" hidden="1" x14ac:dyDescent="0.2">
      <c r="B24" s="1146" t="s">
        <v>133</v>
      </c>
      <c r="C24" s="1147"/>
      <c r="D24" s="1147"/>
      <c r="E24" s="646" t="s">
        <v>13</v>
      </c>
      <c r="F24" s="903">
        <f>F15*0.3048</f>
        <v>30.632400000000001</v>
      </c>
      <c r="G24" s="903">
        <f t="shared" ref="G24:K24" si="2">G15*0.3048</f>
        <v>2.8574999999999999</v>
      </c>
      <c r="H24" s="903">
        <f t="shared" si="2"/>
        <v>5.4864000000000006</v>
      </c>
      <c r="I24" s="903">
        <f t="shared" si="2"/>
        <v>33.680399999999999</v>
      </c>
      <c r="J24" s="903">
        <f t="shared" si="2"/>
        <v>33.680399999999999</v>
      </c>
      <c r="K24" s="904">
        <f t="shared" si="2"/>
        <v>33.680399999999999</v>
      </c>
      <c r="L24" s="1157"/>
      <c r="M24" s="1158"/>
      <c r="N24" s="1158"/>
      <c r="O24" s="1159"/>
      <c r="T24" s="192" t="s">
        <v>97</v>
      </c>
      <c r="U24" s="192" t="s">
        <v>98</v>
      </c>
    </row>
    <row r="25" spans="1:25" hidden="1" x14ac:dyDescent="0.2">
      <c r="B25" s="1144" t="s">
        <v>134</v>
      </c>
      <c r="C25" s="1145"/>
      <c r="D25" s="1145"/>
      <c r="E25" s="647" t="s">
        <v>13</v>
      </c>
      <c r="F25" s="903">
        <f>F14*0.3048</f>
        <v>4.4196</v>
      </c>
      <c r="G25" s="903">
        <f t="shared" ref="G25:K25" si="3">G14*0.3048</f>
        <v>1.8288000000000002</v>
      </c>
      <c r="H25" s="903">
        <f t="shared" si="3"/>
        <v>3.6576000000000004</v>
      </c>
      <c r="I25" s="903">
        <f t="shared" si="3"/>
        <v>3.9624000000000001</v>
      </c>
      <c r="J25" s="903">
        <f t="shared" si="3"/>
        <v>3.9624000000000001</v>
      </c>
      <c r="K25" s="904">
        <f t="shared" si="3"/>
        <v>3.9624000000000001</v>
      </c>
      <c r="L25" s="1157"/>
      <c r="M25" s="1158"/>
      <c r="N25" s="1158"/>
      <c r="O25" s="1159"/>
    </row>
    <row r="26" spans="1:25" hidden="1" x14ac:dyDescent="0.2">
      <c r="B26" s="1144" t="s">
        <v>746</v>
      </c>
      <c r="C26" s="1145"/>
      <c r="D26" s="1145"/>
      <c r="E26" s="648" t="s">
        <v>7</v>
      </c>
      <c r="F26" s="649">
        <f t="shared" ref="F26:K26" si="4">IF(F17=$Y$19,0.05*F25^3+1.65*F21/1000*F25^2,IF(F17=$Y$20,0.0809*F25^3,IF(F17=$Y$21,PI()/24*F25^3,PI()/12*F25^3)))</f>
        <v>11.300236314328991</v>
      </c>
      <c r="G26" s="649">
        <f t="shared" si="4"/>
        <v>1.6012799500726151</v>
      </c>
      <c r="H26" s="649">
        <f t="shared" si="4"/>
        <v>12.810239600580921</v>
      </c>
      <c r="I26" s="649">
        <f t="shared" si="4"/>
        <v>16.287092825507106</v>
      </c>
      <c r="J26" s="649">
        <f t="shared" si="4"/>
        <v>16.287092825507106</v>
      </c>
      <c r="K26" s="658">
        <f t="shared" si="4"/>
        <v>16.287092825507106</v>
      </c>
      <c r="L26" s="1157"/>
      <c r="M26" s="1158"/>
      <c r="N26" s="1158"/>
      <c r="O26" s="1159"/>
    </row>
    <row r="27" spans="1:25" hidden="1" x14ac:dyDescent="0.2">
      <c r="B27" s="1140" t="s">
        <v>747</v>
      </c>
      <c r="C27" s="1141"/>
      <c r="D27" s="1141"/>
      <c r="E27" s="648" t="s">
        <v>13</v>
      </c>
      <c r="F27" s="650">
        <v>0.05</v>
      </c>
      <c r="G27" s="650">
        <v>0.05</v>
      </c>
      <c r="H27" s="650">
        <v>0.05</v>
      </c>
      <c r="I27" s="650">
        <v>0.05</v>
      </c>
      <c r="J27" s="650">
        <v>0.05</v>
      </c>
      <c r="K27" s="659">
        <v>0.05</v>
      </c>
      <c r="L27" s="1157"/>
      <c r="M27" s="1158"/>
      <c r="N27" s="1158"/>
      <c r="O27" s="1159"/>
    </row>
    <row r="28" spans="1:25" ht="16.5" hidden="1" x14ac:dyDescent="0.2">
      <c r="B28" s="1144" t="s">
        <v>748</v>
      </c>
      <c r="C28" s="1145"/>
      <c r="D28" s="1145"/>
      <c r="E28" s="647" t="s">
        <v>728</v>
      </c>
      <c r="F28" s="650">
        <f>(PI()/4)*F25^2*F24</f>
        <v>469.93396534761257</v>
      </c>
      <c r="G28" s="650">
        <f t="shared" ref="G28:K28" si="5">(PI()/4)*G25^2*G24</f>
        <v>7.5059997659653837</v>
      </c>
      <c r="H28" s="650">
        <f t="shared" si="5"/>
        <v>57.646078202614149</v>
      </c>
      <c r="I28" s="650">
        <f t="shared" si="5"/>
        <v>415.32086705043116</v>
      </c>
      <c r="J28" s="650">
        <f t="shared" si="5"/>
        <v>415.32086705043116</v>
      </c>
      <c r="K28" s="659">
        <f t="shared" si="5"/>
        <v>415.32086705043116</v>
      </c>
      <c r="L28" s="1157"/>
      <c r="M28" s="1158"/>
      <c r="N28" s="1158"/>
      <c r="O28" s="1159"/>
      <c r="P28" s="315" t="str">
        <f>+IF(AND(P38&lt;100,P36=$T$21),"ERROR: If the vessel is full of liquid, the liquid level must be 100%",IF(AND(P38=100,P36=$U$21),"ATTENTION: If the liquid level is 100%, the vessel must be completely full of liquid.",""))</f>
        <v/>
      </c>
    </row>
    <row r="29" spans="1:25" ht="16.5" hidden="1" x14ac:dyDescent="0.2">
      <c r="B29" s="1144" t="s">
        <v>749</v>
      </c>
      <c r="C29" s="1145"/>
      <c r="D29" s="1145"/>
      <c r="E29" s="647" t="s">
        <v>728</v>
      </c>
      <c r="F29" s="650">
        <f>(PI()/4)*F25^2/1000*F22</f>
        <v>7.0139397813076512</v>
      </c>
      <c r="G29" s="650">
        <f t="shared" ref="G29:K29" si="6">(PI()/4)*G25^2/1000*G22</f>
        <v>0</v>
      </c>
      <c r="H29" s="650">
        <f t="shared" si="6"/>
        <v>0</v>
      </c>
      <c r="I29" s="650">
        <f t="shared" si="6"/>
        <v>0</v>
      </c>
      <c r="J29" s="650">
        <f t="shared" si="6"/>
        <v>0</v>
      </c>
      <c r="K29" s="659">
        <f t="shared" si="6"/>
        <v>0</v>
      </c>
      <c r="L29" s="1157"/>
      <c r="M29" s="1158"/>
      <c r="N29" s="1158"/>
      <c r="O29" s="1159"/>
      <c r="P29" s="315"/>
    </row>
    <row r="30" spans="1:25" ht="16.5" hidden="1" x14ac:dyDescent="0.2">
      <c r="B30" s="1144" t="s">
        <v>775</v>
      </c>
      <c r="C30" s="1145"/>
      <c r="D30" s="1145"/>
      <c r="E30" s="647" t="s">
        <v>728</v>
      </c>
      <c r="F30" s="648">
        <f>F29+F18*((PI()/4)*F25^2*(F23+F27))</f>
        <v>20.931335543576306</v>
      </c>
      <c r="G30" s="648">
        <f t="shared" ref="G30:K30" si="7">G29+G18*((PI()/4)*G25^2*(G23+G27))</f>
        <v>0</v>
      </c>
      <c r="H30" s="648">
        <f t="shared" si="7"/>
        <v>0</v>
      </c>
      <c r="I30" s="648">
        <f t="shared" si="7"/>
        <v>0</v>
      </c>
      <c r="J30" s="648">
        <f t="shared" si="7"/>
        <v>0</v>
      </c>
      <c r="K30" s="660">
        <f t="shared" si="7"/>
        <v>0</v>
      </c>
      <c r="L30" s="1157"/>
      <c r="M30" s="1158"/>
      <c r="N30" s="1158"/>
      <c r="O30" s="1159"/>
      <c r="P30" s="315"/>
    </row>
    <row r="31" spans="1:25" ht="16.5" hidden="1" x14ac:dyDescent="0.2">
      <c r="B31" s="1144" t="s">
        <v>776</v>
      </c>
      <c r="C31" s="1145"/>
      <c r="D31" s="1145"/>
      <c r="E31" s="647" t="s">
        <v>728</v>
      </c>
      <c r="F31" s="648">
        <f>F28-F30</f>
        <v>449.00262980403625</v>
      </c>
      <c r="G31" s="648">
        <f t="shared" ref="G31:K31" si="8">G28-G30</f>
        <v>7.5059997659653837</v>
      </c>
      <c r="H31" s="648">
        <f t="shared" si="8"/>
        <v>57.646078202614149</v>
      </c>
      <c r="I31" s="648">
        <f t="shared" si="8"/>
        <v>415.32086705043116</v>
      </c>
      <c r="J31" s="648">
        <f t="shared" si="8"/>
        <v>415.32086705043116</v>
      </c>
      <c r="K31" s="660">
        <f t="shared" si="8"/>
        <v>415.32086705043116</v>
      </c>
      <c r="L31" s="1157"/>
      <c r="M31" s="1158"/>
      <c r="N31" s="1158"/>
      <c r="O31" s="1159"/>
      <c r="P31" s="315"/>
    </row>
    <row r="32" spans="1:25" ht="16.5" hidden="1" x14ac:dyDescent="0.2">
      <c r="B32" s="1144" t="s">
        <v>750</v>
      </c>
      <c r="C32" s="1145"/>
      <c r="D32" s="1145"/>
      <c r="E32" s="647" t="s">
        <v>728</v>
      </c>
      <c r="F32" s="651">
        <f t="shared" ref="F32:K32" si="9">IF(F17=$Y$19,0.05*F25^3+1.65*F21/1000*F25^2,IF(F17=$Y$20,0.0809*F25^3,IF(F17=$Y$21,PI()/24*F25^3,PI()/12*F25^3)))</f>
        <v>11.300236314328991</v>
      </c>
      <c r="G32" s="651">
        <f t="shared" si="9"/>
        <v>1.6012799500726151</v>
      </c>
      <c r="H32" s="651">
        <f t="shared" si="9"/>
        <v>12.810239600580921</v>
      </c>
      <c r="I32" s="651">
        <f t="shared" si="9"/>
        <v>16.287092825507106</v>
      </c>
      <c r="J32" s="651">
        <f t="shared" si="9"/>
        <v>16.287092825507106</v>
      </c>
      <c r="K32" s="661">
        <f t="shared" si="9"/>
        <v>16.287092825507106</v>
      </c>
      <c r="L32" s="1157"/>
      <c r="M32" s="1158"/>
      <c r="N32" s="1158"/>
      <c r="O32" s="1159"/>
      <c r="P32" s="315"/>
    </row>
    <row r="33" spans="1:32" ht="16.5" hidden="1" x14ac:dyDescent="0.2">
      <c r="B33" s="1146" t="s">
        <v>751</v>
      </c>
      <c r="C33" s="1147"/>
      <c r="D33" s="1147"/>
      <c r="E33" s="648" t="s">
        <v>728</v>
      </c>
      <c r="F33" s="652">
        <f>F26+F28+F32</f>
        <v>492.53443797627051</v>
      </c>
      <c r="G33" s="652">
        <f t="shared" ref="G33:K33" si="10">G26+G28+G32</f>
        <v>10.708559666110613</v>
      </c>
      <c r="H33" s="652">
        <f t="shared" si="10"/>
        <v>83.266557403776005</v>
      </c>
      <c r="I33" s="652">
        <f t="shared" si="10"/>
        <v>447.89505270144537</v>
      </c>
      <c r="J33" s="652">
        <f t="shared" si="10"/>
        <v>447.89505270144537</v>
      </c>
      <c r="K33" s="662">
        <f t="shared" si="10"/>
        <v>447.89505270144537</v>
      </c>
      <c r="L33" s="1157"/>
      <c r="M33" s="1158"/>
      <c r="N33" s="1158"/>
      <c r="O33" s="1159"/>
      <c r="P33" s="315"/>
    </row>
    <row r="34" spans="1:32" ht="12" hidden="1" customHeight="1" x14ac:dyDescent="0.2">
      <c r="B34" s="1146" t="s">
        <v>752</v>
      </c>
      <c r="C34" s="1147"/>
      <c r="D34" s="1147"/>
      <c r="E34" s="648" t="s">
        <v>728</v>
      </c>
      <c r="F34" s="652">
        <f>F26+F31</f>
        <v>460.30286611836522</v>
      </c>
      <c r="G34" s="652">
        <f t="shared" ref="G34:K34" si="11">G26+G31</f>
        <v>9.1072797160379988</v>
      </c>
      <c r="H34" s="652">
        <f t="shared" si="11"/>
        <v>70.456317803195077</v>
      </c>
      <c r="I34" s="652">
        <f t="shared" si="11"/>
        <v>431.60795987593826</v>
      </c>
      <c r="J34" s="652">
        <f t="shared" si="11"/>
        <v>431.60795987593826</v>
      </c>
      <c r="K34" s="662">
        <f t="shared" si="11"/>
        <v>431.60795987593826</v>
      </c>
      <c r="L34" s="1157"/>
      <c r="M34" s="1158"/>
      <c r="N34" s="1158"/>
      <c r="O34" s="1159"/>
      <c r="P34" s="315"/>
    </row>
    <row r="35" spans="1:32" ht="14.25" hidden="1" customHeight="1" x14ac:dyDescent="0.2">
      <c r="B35" s="1146" t="s">
        <v>753</v>
      </c>
      <c r="C35" s="1147"/>
      <c r="D35" s="1147"/>
      <c r="E35" s="648" t="s">
        <v>728</v>
      </c>
      <c r="F35" s="652">
        <f>F28</f>
        <v>469.93396534761257</v>
      </c>
      <c r="G35" s="652">
        <f t="shared" ref="G35:K35" si="12">G28</f>
        <v>7.5059997659653837</v>
      </c>
      <c r="H35" s="652">
        <f t="shared" si="12"/>
        <v>57.646078202614149</v>
      </c>
      <c r="I35" s="652">
        <f t="shared" si="12"/>
        <v>415.32086705043116</v>
      </c>
      <c r="J35" s="652">
        <f t="shared" si="12"/>
        <v>415.32086705043116</v>
      </c>
      <c r="K35" s="662">
        <f t="shared" si="12"/>
        <v>415.32086705043116</v>
      </c>
      <c r="L35" s="1157"/>
      <c r="M35" s="1158"/>
      <c r="N35" s="1158"/>
      <c r="O35" s="1159"/>
    </row>
    <row r="36" spans="1:32" ht="14.25" hidden="1" customHeight="1" x14ac:dyDescent="0.2">
      <c r="B36" s="1146" t="s">
        <v>754</v>
      </c>
      <c r="C36" s="1147"/>
      <c r="D36" s="1147"/>
      <c r="E36" s="648" t="s">
        <v>728</v>
      </c>
      <c r="F36" s="652">
        <f>F31</f>
        <v>449.00262980403625</v>
      </c>
      <c r="G36" s="652">
        <f t="shared" ref="G36:K36" si="13">G31</f>
        <v>7.5059997659653837</v>
      </c>
      <c r="H36" s="652">
        <f t="shared" si="13"/>
        <v>57.646078202614149</v>
      </c>
      <c r="I36" s="652">
        <f t="shared" si="13"/>
        <v>415.32086705043116</v>
      </c>
      <c r="J36" s="652">
        <f t="shared" si="13"/>
        <v>415.32086705043116</v>
      </c>
      <c r="K36" s="662">
        <f t="shared" si="13"/>
        <v>415.32086705043116</v>
      </c>
      <c r="L36" s="1157"/>
      <c r="M36" s="1158"/>
      <c r="N36" s="1158"/>
      <c r="O36" s="1159"/>
    </row>
    <row r="37" spans="1:32" s="316" customFormat="1" ht="14.25" customHeight="1" x14ac:dyDescent="0.2">
      <c r="A37" s="192"/>
      <c r="B37" s="1146" t="s">
        <v>787</v>
      </c>
      <c r="C37" s="1147"/>
      <c r="D37" s="1147"/>
      <c r="E37" s="648" t="s">
        <v>217</v>
      </c>
      <c r="F37" s="648">
        <f>F33*35.315</f>
        <v>17393.853677131992</v>
      </c>
      <c r="G37" s="648">
        <f t="shared" ref="G37:K37" si="14">G33*35.315</f>
        <v>378.17278460869625</v>
      </c>
      <c r="H37" s="648">
        <f t="shared" si="14"/>
        <v>2940.5584747143494</v>
      </c>
      <c r="I37" s="648">
        <f t="shared" si="14"/>
        <v>15817.413786151543</v>
      </c>
      <c r="J37" s="648">
        <f t="shared" si="14"/>
        <v>15817.413786151543</v>
      </c>
      <c r="K37" s="660">
        <f t="shared" si="14"/>
        <v>15817.413786151543</v>
      </c>
      <c r="L37" s="1157"/>
      <c r="M37" s="1158"/>
      <c r="N37" s="1158"/>
      <c r="O37" s="1159"/>
      <c r="P37" s="318"/>
      <c r="Q37" s="318"/>
      <c r="R37" s="318"/>
      <c r="S37" s="318"/>
      <c r="T37" s="318"/>
      <c r="U37" s="318"/>
      <c r="V37" s="318"/>
      <c r="W37" s="318"/>
      <c r="X37" s="318"/>
      <c r="Y37" s="318"/>
      <c r="Z37" s="318"/>
      <c r="AA37" s="318"/>
      <c r="AB37" s="318"/>
      <c r="AC37" s="318"/>
      <c r="AD37" s="318"/>
      <c r="AE37" s="318"/>
      <c r="AF37" s="318"/>
    </row>
    <row r="38" spans="1:32" ht="14.25" customHeight="1" x14ac:dyDescent="0.2">
      <c r="B38" s="1146" t="s">
        <v>788</v>
      </c>
      <c r="C38" s="1147"/>
      <c r="D38" s="1147"/>
      <c r="E38" s="648" t="s">
        <v>217</v>
      </c>
      <c r="F38" s="648">
        <f t="shared" ref="F38:K40" si="15">F34*35.315</f>
        <v>16255.595716970067</v>
      </c>
      <c r="G38" s="648">
        <f t="shared" si="15"/>
        <v>321.62358317188193</v>
      </c>
      <c r="H38" s="648">
        <f t="shared" si="15"/>
        <v>2488.1648632198339</v>
      </c>
      <c r="I38" s="648">
        <f t="shared" si="15"/>
        <v>15242.235103018758</v>
      </c>
      <c r="J38" s="648">
        <f t="shared" si="15"/>
        <v>15242.235103018758</v>
      </c>
      <c r="K38" s="660">
        <f t="shared" si="15"/>
        <v>15242.235103018758</v>
      </c>
      <c r="L38" s="1157"/>
      <c r="M38" s="1158"/>
      <c r="N38" s="1158"/>
      <c r="O38" s="1159"/>
    </row>
    <row r="39" spans="1:32" ht="14.25" customHeight="1" x14ac:dyDescent="0.2">
      <c r="B39" s="1146" t="s">
        <v>789</v>
      </c>
      <c r="C39" s="1147"/>
      <c r="D39" s="1147"/>
      <c r="E39" s="648" t="s">
        <v>217</v>
      </c>
      <c r="F39" s="648">
        <f t="shared" si="15"/>
        <v>16595.717986250937</v>
      </c>
      <c r="G39" s="648">
        <f t="shared" si="15"/>
        <v>265.0743817350675</v>
      </c>
      <c r="H39" s="648">
        <f t="shared" si="15"/>
        <v>2035.7712517253185</v>
      </c>
      <c r="I39" s="648">
        <f t="shared" si="15"/>
        <v>14667.056419885976</v>
      </c>
      <c r="J39" s="648">
        <f t="shared" si="15"/>
        <v>14667.056419885976</v>
      </c>
      <c r="K39" s="660">
        <f t="shared" si="15"/>
        <v>14667.056419885976</v>
      </c>
      <c r="L39" s="1157"/>
      <c r="M39" s="1158"/>
      <c r="N39" s="1158"/>
      <c r="O39" s="1159"/>
    </row>
    <row r="40" spans="1:32" ht="14.25" customHeight="1" x14ac:dyDescent="0.2">
      <c r="B40" s="1142" t="s">
        <v>790</v>
      </c>
      <c r="C40" s="1143"/>
      <c r="D40" s="1143"/>
      <c r="E40" s="653" t="s">
        <v>217</v>
      </c>
      <c r="F40" s="653">
        <f t="shared" si="15"/>
        <v>15856.527871529539</v>
      </c>
      <c r="G40" s="653">
        <f t="shared" si="15"/>
        <v>265.0743817350675</v>
      </c>
      <c r="H40" s="653">
        <f t="shared" si="15"/>
        <v>2035.7712517253185</v>
      </c>
      <c r="I40" s="653">
        <f t="shared" si="15"/>
        <v>14667.056419885976</v>
      </c>
      <c r="J40" s="653">
        <f t="shared" si="15"/>
        <v>14667.056419885976</v>
      </c>
      <c r="K40" s="663">
        <f t="shared" si="15"/>
        <v>14667.056419885976</v>
      </c>
      <c r="L40" s="1160"/>
      <c r="M40" s="1161"/>
      <c r="N40" s="1161"/>
      <c r="O40" s="1162"/>
    </row>
    <row r="41" spans="1:32" ht="14.25" customHeight="1" x14ac:dyDescent="0.2">
      <c r="B41" s="667"/>
      <c r="C41" s="191"/>
      <c r="D41" s="191"/>
      <c r="E41" s="191"/>
      <c r="F41" s="191"/>
      <c r="G41" s="191"/>
      <c r="H41" s="191"/>
      <c r="I41" s="191"/>
      <c r="J41" s="191"/>
      <c r="K41" s="191"/>
      <c r="L41" s="191"/>
      <c r="M41" s="191"/>
      <c r="N41" s="191"/>
      <c r="O41" s="669"/>
    </row>
    <row r="42" spans="1:32" ht="16.5" customHeight="1" x14ac:dyDescent="0.2">
      <c r="B42" s="667"/>
      <c r="C42" s="191"/>
      <c r="D42" s="191"/>
      <c r="E42" s="191"/>
      <c r="F42" s="191"/>
      <c r="G42" s="191"/>
      <c r="H42" s="191"/>
      <c r="I42" s="191"/>
      <c r="J42" s="191"/>
      <c r="K42" s="191"/>
      <c r="L42" s="191"/>
      <c r="M42" s="191"/>
      <c r="N42" s="191"/>
      <c r="O42" s="669"/>
    </row>
    <row r="43" spans="1:32" ht="16.5" customHeight="1" x14ac:dyDescent="0.2">
      <c r="B43" s="670"/>
      <c r="C43" s="319"/>
      <c r="D43" s="319"/>
      <c r="E43" s="319"/>
      <c r="F43" s="319"/>
      <c r="G43" s="319"/>
      <c r="H43" s="319"/>
      <c r="I43" s="319"/>
      <c r="J43" s="319"/>
      <c r="K43" s="319"/>
      <c r="L43" s="191"/>
      <c r="M43" s="191"/>
      <c r="N43" s="191"/>
      <c r="O43" s="669"/>
    </row>
    <row r="44" spans="1:32" ht="16.5" customHeight="1" x14ac:dyDescent="0.2">
      <c r="B44" s="670"/>
      <c r="C44" s="319"/>
      <c r="D44" s="319"/>
      <c r="E44" s="319"/>
      <c r="F44" s="319"/>
      <c r="G44" s="319"/>
      <c r="H44" s="319"/>
      <c r="I44" s="319"/>
      <c r="J44" s="319"/>
      <c r="K44" s="319"/>
      <c r="L44" s="191"/>
      <c r="M44" s="191"/>
      <c r="N44" s="191"/>
      <c r="O44" s="669"/>
    </row>
    <row r="45" spans="1:32" ht="16.5" customHeight="1" x14ac:dyDescent="0.2">
      <c r="B45" s="670"/>
      <c r="C45" s="319"/>
      <c r="D45" s="319"/>
      <c r="E45" s="319"/>
      <c r="F45" s="319"/>
      <c r="G45" s="319"/>
      <c r="H45" s="319"/>
      <c r="I45" s="319"/>
      <c r="J45" s="319"/>
      <c r="K45" s="319"/>
      <c r="L45" s="191"/>
      <c r="M45" s="191"/>
      <c r="N45" s="191"/>
      <c r="O45" s="669"/>
    </row>
    <row r="46" spans="1:32" ht="16.5" customHeight="1" x14ac:dyDescent="0.2">
      <c r="B46" s="670"/>
      <c r="C46" s="319"/>
      <c r="D46" s="319"/>
      <c r="E46" s="319"/>
      <c r="F46" s="319"/>
      <c r="G46" s="319"/>
      <c r="H46" s="319"/>
      <c r="I46" s="319"/>
      <c r="J46" s="319"/>
      <c r="K46" s="319"/>
      <c r="L46" s="191"/>
      <c r="M46" s="191"/>
      <c r="N46" s="191"/>
      <c r="O46" s="669"/>
    </row>
    <row r="47" spans="1:32" ht="16.5" customHeight="1" x14ac:dyDescent="0.2">
      <c r="B47" s="670"/>
      <c r="C47" s="319"/>
      <c r="D47" s="319"/>
      <c r="E47" s="319"/>
      <c r="F47" s="319"/>
      <c r="G47" s="319"/>
      <c r="H47" s="319"/>
      <c r="I47" s="319"/>
      <c r="J47" s="319"/>
      <c r="K47" s="319"/>
      <c r="L47" s="191"/>
      <c r="M47" s="191"/>
      <c r="N47" s="191"/>
      <c r="O47" s="669"/>
    </row>
    <row r="48" spans="1:32" ht="16.5" customHeight="1" x14ac:dyDescent="0.2">
      <c r="B48" s="670"/>
      <c r="C48" s="319"/>
      <c r="D48" s="319"/>
      <c r="E48" s="319"/>
      <c r="F48" s="319"/>
      <c r="G48" s="319"/>
      <c r="H48" s="319"/>
      <c r="I48" s="319"/>
      <c r="J48" s="319"/>
      <c r="K48" s="319"/>
      <c r="L48" s="191"/>
      <c r="M48" s="191"/>
      <c r="N48" s="191"/>
      <c r="O48" s="669"/>
    </row>
    <row r="49" spans="2:15" ht="16.5" customHeight="1" x14ac:dyDescent="0.2">
      <c r="B49" s="670"/>
      <c r="C49" s="319"/>
      <c r="D49" s="319"/>
      <c r="E49" s="319"/>
      <c r="F49" s="319"/>
      <c r="G49" s="319"/>
      <c r="H49" s="319"/>
      <c r="I49" s="319"/>
      <c r="J49" s="319"/>
      <c r="K49" s="319"/>
      <c r="L49" s="191"/>
      <c r="M49" s="191"/>
      <c r="N49" s="191"/>
      <c r="O49" s="669"/>
    </row>
    <row r="50" spans="2:15" ht="16.5" customHeight="1" x14ac:dyDescent="0.2">
      <c r="B50" s="670"/>
      <c r="C50" s="319"/>
      <c r="D50" s="319"/>
      <c r="E50" s="319"/>
      <c r="F50" s="319"/>
      <c r="G50" s="319"/>
      <c r="H50" s="319"/>
      <c r="I50" s="319"/>
      <c r="J50" s="319"/>
      <c r="K50" s="319"/>
      <c r="L50" s="191"/>
      <c r="M50" s="191"/>
      <c r="N50" s="191"/>
      <c r="O50" s="669"/>
    </row>
    <row r="51" spans="2:15" ht="16.5" customHeight="1" x14ac:dyDescent="0.2">
      <c r="B51" s="671"/>
      <c r="C51" s="930"/>
      <c r="D51" s="930"/>
      <c r="E51" s="328"/>
      <c r="F51" s="329"/>
      <c r="G51" s="329"/>
      <c r="H51" s="329"/>
      <c r="I51" s="329"/>
      <c r="J51" s="319"/>
      <c r="K51" s="319"/>
      <c r="L51" s="191"/>
      <c r="M51" s="191"/>
      <c r="N51" s="191"/>
      <c r="O51" s="669"/>
    </row>
    <row r="52" spans="2:15" ht="16.5" customHeight="1" x14ac:dyDescent="0.2">
      <c r="B52" s="672"/>
      <c r="C52" s="312"/>
      <c r="D52" s="312"/>
      <c r="E52" s="930"/>
      <c r="F52" s="306"/>
      <c r="G52" s="306"/>
      <c r="H52" s="306"/>
      <c r="I52" s="306"/>
      <c r="J52" s="319"/>
      <c r="K52" s="319"/>
      <c r="L52" s="191"/>
      <c r="M52" s="191"/>
      <c r="N52" s="191"/>
      <c r="O52" s="669"/>
    </row>
    <row r="53" spans="2:15" ht="16.5" customHeight="1" x14ac:dyDescent="0.2">
      <c r="B53" s="667"/>
      <c r="C53" s="191"/>
      <c r="D53" s="191"/>
      <c r="E53" s="191"/>
      <c r="F53" s="191"/>
      <c r="G53" s="191"/>
      <c r="H53" s="191"/>
      <c r="I53" s="191"/>
      <c r="J53" s="191"/>
      <c r="K53" s="191"/>
      <c r="L53" s="191"/>
      <c r="M53" s="191"/>
      <c r="N53" s="191"/>
      <c r="O53" s="669"/>
    </row>
    <row r="54" spans="2:15" ht="16.5" customHeight="1" x14ac:dyDescent="0.2">
      <c r="B54" s="667"/>
      <c r="C54" s="191"/>
      <c r="D54" s="191"/>
      <c r="E54" s="191"/>
      <c r="F54" s="191"/>
      <c r="G54" s="191"/>
      <c r="H54" s="191"/>
      <c r="I54" s="191"/>
      <c r="J54" s="191"/>
      <c r="K54" s="191"/>
      <c r="L54" s="191"/>
      <c r="M54" s="191"/>
      <c r="N54" s="191"/>
      <c r="O54" s="669"/>
    </row>
    <row r="55" spans="2:15" ht="16.5" customHeight="1" x14ac:dyDescent="0.2">
      <c r="B55" s="667"/>
      <c r="C55" s="191"/>
      <c r="D55" s="191"/>
      <c r="E55" s="191"/>
      <c r="F55" s="191"/>
      <c r="G55" s="191"/>
      <c r="H55" s="191"/>
      <c r="I55" s="191"/>
      <c r="J55" s="191"/>
      <c r="K55" s="191"/>
      <c r="L55" s="191"/>
      <c r="M55" s="191"/>
      <c r="N55" s="191"/>
      <c r="O55" s="669"/>
    </row>
    <row r="56" spans="2:15" x14ac:dyDescent="0.2">
      <c r="B56" s="676"/>
      <c r="C56" s="677"/>
      <c r="D56" s="677"/>
      <c r="E56" s="677"/>
      <c r="F56" s="677"/>
      <c r="G56" s="677"/>
      <c r="H56" s="677"/>
      <c r="I56" s="677"/>
      <c r="J56" s="677"/>
      <c r="K56" s="677"/>
      <c r="L56" s="677"/>
      <c r="M56" s="677"/>
      <c r="N56" s="677"/>
      <c r="O56" s="678"/>
    </row>
    <row r="57" spans="2:15" x14ac:dyDescent="0.2">
      <c r="B57" s="674"/>
      <c r="C57" s="664"/>
      <c r="D57" s="664"/>
      <c r="E57" s="664"/>
      <c r="F57" s="664"/>
      <c r="G57" s="664"/>
      <c r="H57" s="664"/>
      <c r="I57" s="664"/>
      <c r="J57" s="664"/>
      <c r="K57" s="664"/>
      <c r="L57" s="664"/>
      <c r="M57" s="664"/>
      <c r="N57" s="664"/>
      <c r="O57" s="675"/>
    </row>
    <row r="58" spans="2:15" ht="15.75" thickBot="1" x14ac:dyDescent="0.3">
      <c r="B58" s="1119" t="s">
        <v>755</v>
      </c>
      <c r="C58" s="1120"/>
      <c r="D58" s="1120"/>
      <c r="E58" s="1120"/>
      <c r="F58" s="1120"/>
      <c r="G58" s="1120"/>
      <c r="H58" s="1120"/>
      <c r="I58" s="1120"/>
      <c r="J58" s="1120"/>
      <c r="K58" s="1120"/>
      <c r="L58" s="1121" t="s">
        <v>974</v>
      </c>
      <c r="M58" s="1122"/>
      <c r="N58" s="1122"/>
      <c r="O58" s="1123"/>
    </row>
    <row r="59" spans="2:15" ht="15" thickTop="1" x14ac:dyDescent="0.2">
      <c r="B59" s="1124" t="s">
        <v>795</v>
      </c>
      <c r="C59" s="1125"/>
      <c r="D59" s="1125"/>
      <c r="E59" s="1126"/>
      <c r="F59" s="1127"/>
      <c r="G59" s="1128"/>
      <c r="H59" s="1128"/>
      <c r="I59" s="1128"/>
      <c r="J59" s="1128"/>
      <c r="K59" s="1128"/>
      <c r="L59" s="1128"/>
      <c r="M59" s="1128"/>
      <c r="N59" s="1128"/>
      <c r="O59" s="1129"/>
    </row>
    <row r="60" spans="2:15" x14ac:dyDescent="0.2">
      <c r="B60" s="1134"/>
      <c r="C60" s="1135"/>
      <c r="D60" s="1136"/>
      <c r="E60" s="331" t="s">
        <v>5</v>
      </c>
      <c r="F60" s="666" t="s">
        <v>119</v>
      </c>
      <c r="G60" s="666" t="s">
        <v>120</v>
      </c>
      <c r="H60" s="666" t="s">
        <v>121</v>
      </c>
      <c r="I60" s="666" t="s">
        <v>122</v>
      </c>
      <c r="J60" s="666" t="s">
        <v>127</v>
      </c>
      <c r="K60" s="666" t="s">
        <v>128</v>
      </c>
      <c r="L60" s="1130"/>
      <c r="M60" s="1130"/>
      <c r="N60" s="1130"/>
      <c r="O60" s="1131"/>
    </row>
    <row r="61" spans="2:15" x14ac:dyDescent="0.2">
      <c r="B61" s="1137" t="s">
        <v>742</v>
      </c>
      <c r="C61" s="1138"/>
      <c r="D61" s="1139"/>
      <c r="E61" s="905"/>
      <c r="F61" s="906" t="s">
        <v>97</v>
      </c>
      <c r="G61" s="906" t="s">
        <v>98</v>
      </c>
      <c r="H61" s="906" t="s">
        <v>97</v>
      </c>
      <c r="I61" s="906" t="s">
        <v>98</v>
      </c>
      <c r="J61" s="906" t="s">
        <v>98</v>
      </c>
      <c r="K61" s="906" t="s">
        <v>98</v>
      </c>
      <c r="L61" s="1130"/>
      <c r="M61" s="1130"/>
      <c r="N61" s="1130"/>
      <c r="O61" s="1131"/>
    </row>
    <row r="62" spans="2:15" x14ac:dyDescent="0.2">
      <c r="B62" s="1116" t="s">
        <v>756</v>
      </c>
      <c r="C62" s="1117"/>
      <c r="D62" s="1118"/>
      <c r="E62" s="907"/>
      <c r="F62" s="706" t="s">
        <v>96</v>
      </c>
      <c r="G62" s="706" t="s">
        <v>94</v>
      </c>
      <c r="H62" s="706" t="s">
        <v>94</v>
      </c>
      <c r="I62" s="706" t="s">
        <v>94</v>
      </c>
      <c r="J62" s="706" t="s">
        <v>94</v>
      </c>
      <c r="K62" s="706" t="s">
        <v>94</v>
      </c>
      <c r="L62" s="1130"/>
      <c r="M62" s="1130"/>
      <c r="N62" s="1130"/>
      <c r="O62" s="1131"/>
    </row>
    <row r="63" spans="2:15" x14ac:dyDescent="0.2">
      <c r="B63" s="1116" t="s">
        <v>757</v>
      </c>
      <c r="C63" s="1117"/>
      <c r="D63" s="1118"/>
      <c r="E63" s="907"/>
      <c r="F63" s="706" t="s">
        <v>94</v>
      </c>
      <c r="G63" s="706" t="s">
        <v>95</v>
      </c>
      <c r="H63" s="706" t="s">
        <v>95</v>
      </c>
      <c r="I63" s="706" t="s">
        <v>95</v>
      </c>
      <c r="J63" s="706" t="s">
        <v>95</v>
      </c>
      <c r="K63" s="706" t="s">
        <v>95</v>
      </c>
      <c r="L63" s="1130"/>
      <c r="M63" s="1130"/>
      <c r="N63" s="1130"/>
      <c r="O63" s="1131"/>
    </row>
    <row r="64" spans="2:15" x14ac:dyDescent="0.2">
      <c r="B64" s="1116" t="s">
        <v>777</v>
      </c>
      <c r="C64" s="1117"/>
      <c r="D64" s="1118"/>
      <c r="E64" s="907" t="s">
        <v>216</v>
      </c>
      <c r="F64" s="706">
        <v>3</v>
      </c>
      <c r="G64" s="706">
        <v>0</v>
      </c>
      <c r="H64" s="706">
        <v>0</v>
      </c>
      <c r="I64" s="706">
        <v>0</v>
      </c>
      <c r="J64" s="706">
        <v>0</v>
      </c>
      <c r="K64" s="706">
        <v>0</v>
      </c>
      <c r="L64" s="1130"/>
      <c r="M64" s="1130"/>
      <c r="N64" s="1130"/>
      <c r="O64" s="1131"/>
    </row>
    <row r="65" spans="2:25" x14ac:dyDescent="0.2">
      <c r="B65" s="1116" t="s">
        <v>761</v>
      </c>
      <c r="C65" s="1117"/>
      <c r="D65" s="1118"/>
      <c r="E65" s="908"/>
      <c r="F65" s="705">
        <v>5</v>
      </c>
      <c r="G65" s="705">
        <v>0</v>
      </c>
      <c r="H65" s="705">
        <v>0</v>
      </c>
      <c r="I65" s="705">
        <v>0</v>
      </c>
      <c r="J65" s="705">
        <v>0</v>
      </c>
      <c r="K65" s="705">
        <v>0</v>
      </c>
      <c r="L65" s="1130"/>
      <c r="M65" s="1130"/>
      <c r="N65" s="1130"/>
      <c r="O65" s="1131"/>
    </row>
    <row r="66" spans="2:25" x14ac:dyDescent="0.2">
      <c r="B66" s="1116" t="s">
        <v>762</v>
      </c>
      <c r="C66" s="1117"/>
      <c r="D66" s="1118"/>
      <c r="E66" s="908"/>
      <c r="F66" s="705">
        <v>10</v>
      </c>
      <c r="G66" s="705">
        <v>0</v>
      </c>
      <c r="H66" s="705">
        <v>0</v>
      </c>
      <c r="I66" s="705">
        <v>0</v>
      </c>
      <c r="J66" s="705">
        <v>0</v>
      </c>
      <c r="K66" s="705">
        <v>0</v>
      </c>
      <c r="L66" s="1130"/>
      <c r="M66" s="1130"/>
      <c r="N66" s="1130"/>
      <c r="O66" s="1131"/>
    </row>
    <row r="67" spans="2:25" x14ac:dyDescent="0.2">
      <c r="B67" s="1116" t="s">
        <v>763</v>
      </c>
      <c r="C67" s="1117"/>
      <c r="D67" s="1118"/>
      <c r="E67" s="908" t="s">
        <v>78</v>
      </c>
      <c r="F67" s="723">
        <v>2</v>
      </c>
      <c r="G67" s="723">
        <v>0</v>
      </c>
      <c r="H67" s="723">
        <v>0</v>
      </c>
      <c r="I67" s="723">
        <v>0</v>
      </c>
      <c r="J67" s="723">
        <v>0</v>
      </c>
      <c r="K67" s="723">
        <v>0</v>
      </c>
      <c r="L67" s="1130"/>
      <c r="M67" s="1130"/>
      <c r="N67" s="1130"/>
      <c r="O67" s="1131"/>
    </row>
    <row r="68" spans="2:25" x14ac:dyDescent="0.2">
      <c r="B68" s="1116" t="s">
        <v>764</v>
      </c>
      <c r="C68" s="1117"/>
      <c r="D68" s="1118"/>
      <c r="E68" s="908" t="s">
        <v>78</v>
      </c>
      <c r="F68" s="723">
        <v>4</v>
      </c>
      <c r="G68" s="723">
        <v>0</v>
      </c>
      <c r="H68" s="723">
        <v>0</v>
      </c>
      <c r="I68" s="723">
        <v>0</v>
      </c>
      <c r="J68" s="723">
        <v>0</v>
      </c>
      <c r="K68" s="723">
        <v>0</v>
      </c>
      <c r="L68" s="1130"/>
      <c r="M68" s="1130"/>
      <c r="N68" s="1130"/>
      <c r="O68" s="1131"/>
    </row>
    <row r="69" spans="2:25" x14ac:dyDescent="0.2">
      <c r="B69" s="1116" t="s">
        <v>765</v>
      </c>
      <c r="C69" s="1117"/>
      <c r="D69" s="1118"/>
      <c r="E69" s="908" t="s">
        <v>216</v>
      </c>
      <c r="F69" s="705">
        <v>4</v>
      </c>
      <c r="G69" s="705">
        <v>0</v>
      </c>
      <c r="H69" s="705">
        <v>0</v>
      </c>
      <c r="I69" s="705">
        <v>0</v>
      </c>
      <c r="J69" s="705">
        <v>0</v>
      </c>
      <c r="K69" s="705">
        <v>0</v>
      </c>
      <c r="L69" s="1130"/>
      <c r="M69" s="1130"/>
      <c r="N69" s="1130"/>
      <c r="O69" s="1131"/>
    </row>
    <row r="70" spans="2:25" x14ac:dyDescent="0.2">
      <c r="B70" s="1116" t="s">
        <v>766</v>
      </c>
      <c r="C70" s="1117"/>
      <c r="D70" s="1118"/>
      <c r="E70" s="908" t="s">
        <v>216</v>
      </c>
      <c r="F70" s="705">
        <v>15</v>
      </c>
      <c r="G70" s="705">
        <v>0</v>
      </c>
      <c r="H70" s="705">
        <v>0</v>
      </c>
      <c r="I70" s="705">
        <v>0</v>
      </c>
      <c r="J70" s="705">
        <v>0</v>
      </c>
      <c r="K70" s="705">
        <v>0</v>
      </c>
      <c r="L70" s="1130"/>
      <c r="M70" s="1130"/>
      <c r="N70" s="1130"/>
      <c r="O70" s="1131"/>
    </row>
    <row r="71" spans="2:25" x14ac:dyDescent="0.2">
      <c r="B71" s="1113" t="s">
        <v>767</v>
      </c>
      <c r="C71" s="1114"/>
      <c r="D71" s="1115"/>
      <c r="E71" s="908" t="s">
        <v>216</v>
      </c>
      <c r="F71" s="705">
        <v>3</v>
      </c>
      <c r="G71" s="705">
        <v>0</v>
      </c>
      <c r="H71" s="705">
        <v>0</v>
      </c>
      <c r="I71" s="705">
        <v>0</v>
      </c>
      <c r="J71" s="705">
        <v>0</v>
      </c>
      <c r="K71" s="705">
        <v>0</v>
      </c>
      <c r="L71" s="1130"/>
      <c r="M71" s="1130"/>
      <c r="N71" s="1130"/>
      <c r="O71" s="1131"/>
    </row>
    <row r="72" spans="2:25" x14ac:dyDescent="0.2">
      <c r="B72" s="1113" t="s">
        <v>768</v>
      </c>
      <c r="C72" s="1114"/>
      <c r="D72" s="1115"/>
      <c r="E72" s="909" t="s">
        <v>216</v>
      </c>
      <c r="F72" s="705">
        <v>4</v>
      </c>
      <c r="G72" s="705">
        <v>0</v>
      </c>
      <c r="H72" s="705">
        <v>0</v>
      </c>
      <c r="I72" s="705">
        <v>0</v>
      </c>
      <c r="J72" s="705">
        <v>0</v>
      </c>
      <c r="K72" s="705">
        <v>0</v>
      </c>
      <c r="L72" s="1130"/>
      <c r="M72" s="1130"/>
      <c r="N72" s="1130"/>
      <c r="O72" s="1131"/>
    </row>
    <row r="73" spans="2:25" hidden="1" x14ac:dyDescent="0.2">
      <c r="B73" s="1104" t="s">
        <v>758</v>
      </c>
      <c r="C73" s="1105"/>
      <c r="D73" s="1106"/>
      <c r="E73" s="644" t="s">
        <v>77</v>
      </c>
      <c r="F73" s="645">
        <v>15</v>
      </c>
      <c r="G73" s="645">
        <v>15</v>
      </c>
      <c r="H73" s="645">
        <v>15</v>
      </c>
      <c r="I73" s="645">
        <v>15</v>
      </c>
      <c r="J73" s="645">
        <v>15</v>
      </c>
      <c r="K73" s="645">
        <v>15</v>
      </c>
      <c r="L73" s="1130"/>
      <c r="M73" s="1130"/>
      <c r="N73" s="1130"/>
      <c r="O73" s="1131"/>
      <c r="Y73" s="317" t="s">
        <v>94</v>
      </c>
    </row>
    <row r="74" spans="2:25" hidden="1" x14ac:dyDescent="0.2">
      <c r="B74" s="1104" t="s">
        <v>759</v>
      </c>
      <c r="C74" s="1105"/>
      <c r="D74" s="1106"/>
      <c r="E74" s="644" t="s">
        <v>77</v>
      </c>
      <c r="F74" s="645">
        <v>15</v>
      </c>
      <c r="G74" s="645">
        <v>15</v>
      </c>
      <c r="H74" s="645">
        <v>15</v>
      </c>
      <c r="I74" s="645">
        <v>15</v>
      </c>
      <c r="J74" s="645">
        <v>15</v>
      </c>
      <c r="K74" s="645">
        <v>15</v>
      </c>
      <c r="L74" s="1130"/>
      <c r="M74" s="1130"/>
      <c r="N74" s="1130"/>
      <c r="O74" s="1131"/>
      <c r="T74" s="192" t="s">
        <v>135</v>
      </c>
      <c r="V74" s="192" t="s">
        <v>97</v>
      </c>
      <c r="Y74" s="317" t="s">
        <v>95</v>
      </c>
    </row>
    <row r="75" spans="2:25" hidden="1" x14ac:dyDescent="0.2">
      <c r="B75" s="1104" t="s">
        <v>760</v>
      </c>
      <c r="C75" s="1105"/>
      <c r="D75" s="1106"/>
      <c r="E75" s="644" t="s">
        <v>77</v>
      </c>
      <c r="F75" s="644">
        <f>F64*0.3048*1000</f>
        <v>914.40000000000009</v>
      </c>
      <c r="G75" s="644">
        <f>G64*0.3048*1000</f>
        <v>0</v>
      </c>
      <c r="H75" s="644">
        <f>H64*0.3048*1000</f>
        <v>0</v>
      </c>
      <c r="I75" s="644">
        <f>I64*0.3048*1000</f>
        <v>0</v>
      </c>
      <c r="J75" s="644">
        <f t="shared" ref="J75:K75" si="16">J64*0.3048*1000</f>
        <v>0</v>
      </c>
      <c r="K75" s="644">
        <f t="shared" si="16"/>
        <v>0</v>
      </c>
      <c r="L75" s="1130"/>
      <c r="M75" s="1130"/>
      <c r="N75" s="1130"/>
      <c r="O75" s="1131"/>
      <c r="T75" s="192" t="s">
        <v>136</v>
      </c>
      <c r="V75" s="192" t="s">
        <v>98</v>
      </c>
      <c r="Y75" s="317" t="s">
        <v>96</v>
      </c>
    </row>
    <row r="76" spans="2:25" hidden="1" x14ac:dyDescent="0.2">
      <c r="B76" s="1104" t="s">
        <v>761</v>
      </c>
      <c r="C76" s="1105"/>
      <c r="D76" s="1106"/>
      <c r="E76" s="646"/>
      <c r="F76" s="648">
        <f t="shared" ref="F76:K77" si="17">F65</f>
        <v>5</v>
      </c>
      <c r="G76" s="648">
        <f t="shared" si="17"/>
        <v>0</v>
      </c>
      <c r="H76" s="648">
        <f t="shared" si="17"/>
        <v>0</v>
      </c>
      <c r="I76" s="648">
        <f t="shared" si="17"/>
        <v>0</v>
      </c>
      <c r="J76" s="648">
        <f t="shared" si="17"/>
        <v>0</v>
      </c>
      <c r="K76" s="648">
        <f t="shared" si="17"/>
        <v>0</v>
      </c>
      <c r="L76" s="1130"/>
      <c r="M76" s="1130"/>
      <c r="N76" s="1130"/>
      <c r="O76" s="1131"/>
      <c r="Y76" s="317" t="s">
        <v>739</v>
      </c>
    </row>
    <row r="77" spans="2:25" hidden="1" x14ac:dyDescent="0.2">
      <c r="B77" s="1104" t="s">
        <v>762</v>
      </c>
      <c r="C77" s="1105"/>
      <c r="D77" s="1106"/>
      <c r="E77" s="646"/>
      <c r="F77" s="648">
        <f t="shared" si="17"/>
        <v>10</v>
      </c>
      <c r="G77" s="648">
        <f t="shared" si="17"/>
        <v>0</v>
      </c>
      <c r="H77" s="648">
        <f t="shared" si="17"/>
        <v>0</v>
      </c>
      <c r="I77" s="648">
        <f t="shared" si="17"/>
        <v>0</v>
      </c>
      <c r="J77" s="648">
        <f t="shared" si="17"/>
        <v>0</v>
      </c>
      <c r="K77" s="648">
        <f t="shared" si="17"/>
        <v>0</v>
      </c>
      <c r="L77" s="1130"/>
      <c r="M77" s="1130"/>
      <c r="N77" s="1130"/>
      <c r="O77" s="1131"/>
    </row>
    <row r="78" spans="2:25" hidden="1" x14ac:dyDescent="0.2">
      <c r="B78" s="1104" t="s">
        <v>763</v>
      </c>
      <c r="C78" s="1105"/>
      <c r="D78" s="1106"/>
      <c r="E78" s="646" t="s">
        <v>13</v>
      </c>
      <c r="F78" s="649">
        <f t="shared" ref="F78:K79" si="18">F67*0.08333*0.3048</f>
        <v>5.0797968000000006E-2</v>
      </c>
      <c r="G78" s="649">
        <f t="shared" si="18"/>
        <v>0</v>
      </c>
      <c r="H78" s="649">
        <f t="shared" si="18"/>
        <v>0</v>
      </c>
      <c r="I78" s="649">
        <f t="shared" si="18"/>
        <v>0</v>
      </c>
      <c r="J78" s="649">
        <f t="shared" si="18"/>
        <v>0</v>
      </c>
      <c r="K78" s="649">
        <f t="shared" si="18"/>
        <v>0</v>
      </c>
      <c r="L78" s="1130"/>
      <c r="M78" s="1130"/>
      <c r="N78" s="1130"/>
      <c r="O78" s="1131"/>
      <c r="T78" s="192" t="s">
        <v>97</v>
      </c>
      <c r="U78" s="192" t="s">
        <v>98</v>
      </c>
    </row>
    <row r="79" spans="2:25" hidden="1" x14ac:dyDescent="0.2">
      <c r="B79" s="1104" t="s">
        <v>764</v>
      </c>
      <c r="C79" s="1105"/>
      <c r="D79" s="1106"/>
      <c r="E79" s="646" t="s">
        <v>13</v>
      </c>
      <c r="F79" s="649">
        <f t="shared" si="18"/>
        <v>0.10159593600000001</v>
      </c>
      <c r="G79" s="649">
        <f t="shared" si="18"/>
        <v>0</v>
      </c>
      <c r="H79" s="649">
        <f t="shared" si="18"/>
        <v>0</v>
      </c>
      <c r="I79" s="649">
        <f t="shared" si="18"/>
        <v>0</v>
      </c>
      <c r="J79" s="649">
        <f t="shared" si="18"/>
        <v>0</v>
      </c>
      <c r="K79" s="649">
        <f t="shared" si="18"/>
        <v>0</v>
      </c>
      <c r="L79" s="1130"/>
      <c r="M79" s="1130"/>
      <c r="N79" s="1130"/>
      <c r="O79" s="1131"/>
    </row>
    <row r="80" spans="2:25" hidden="1" x14ac:dyDescent="0.2">
      <c r="B80" s="1104" t="s">
        <v>765</v>
      </c>
      <c r="C80" s="1105"/>
      <c r="D80" s="1106"/>
      <c r="E80" s="646" t="s">
        <v>13</v>
      </c>
      <c r="F80" s="648">
        <f>F69*0.3048</f>
        <v>1.2192000000000001</v>
      </c>
      <c r="G80" s="648">
        <f>G69*0.3048</f>
        <v>0</v>
      </c>
      <c r="H80" s="648">
        <f>H69*0.3048</f>
        <v>0</v>
      </c>
      <c r="I80" s="648">
        <f>I69*0.3048</f>
        <v>0</v>
      </c>
      <c r="J80" s="648">
        <f t="shared" ref="J80:K83" si="19">J69*0.3048</f>
        <v>0</v>
      </c>
      <c r="K80" s="648">
        <f t="shared" si="19"/>
        <v>0</v>
      </c>
      <c r="L80" s="1130"/>
      <c r="M80" s="1130"/>
      <c r="N80" s="1130"/>
      <c r="O80" s="1131"/>
    </row>
    <row r="81" spans="2:15" hidden="1" x14ac:dyDescent="0.2">
      <c r="B81" s="1104" t="s">
        <v>766</v>
      </c>
      <c r="C81" s="1105"/>
      <c r="D81" s="1106"/>
      <c r="E81" s="646" t="s">
        <v>13</v>
      </c>
      <c r="F81" s="648">
        <f t="shared" ref="F81:I83" si="20">F70*0.3048</f>
        <v>4.5720000000000001</v>
      </c>
      <c r="G81" s="648">
        <f t="shared" si="20"/>
        <v>0</v>
      </c>
      <c r="H81" s="648">
        <f t="shared" si="20"/>
        <v>0</v>
      </c>
      <c r="I81" s="648">
        <f t="shared" si="20"/>
        <v>0</v>
      </c>
      <c r="J81" s="648">
        <f t="shared" si="19"/>
        <v>0</v>
      </c>
      <c r="K81" s="648">
        <f t="shared" si="19"/>
        <v>0</v>
      </c>
      <c r="L81" s="1130"/>
      <c r="M81" s="1130"/>
      <c r="N81" s="1130"/>
      <c r="O81" s="1131"/>
    </row>
    <row r="82" spans="2:15" hidden="1" x14ac:dyDescent="0.2">
      <c r="B82" s="1107" t="s">
        <v>767</v>
      </c>
      <c r="C82" s="1108"/>
      <c r="D82" s="1109"/>
      <c r="E82" s="646" t="s">
        <v>13</v>
      </c>
      <c r="F82" s="648">
        <f t="shared" si="20"/>
        <v>0.9144000000000001</v>
      </c>
      <c r="G82" s="648">
        <f t="shared" si="20"/>
        <v>0</v>
      </c>
      <c r="H82" s="648">
        <f t="shared" si="20"/>
        <v>0</v>
      </c>
      <c r="I82" s="648">
        <f t="shared" si="20"/>
        <v>0</v>
      </c>
      <c r="J82" s="648">
        <f t="shared" si="19"/>
        <v>0</v>
      </c>
      <c r="K82" s="648">
        <f t="shared" si="19"/>
        <v>0</v>
      </c>
      <c r="L82" s="1130"/>
      <c r="M82" s="1130"/>
      <c r="N82" s="1130"/>
      <c r="O82" s="1131"/>
    </row>
    <row r="83" spans="2:15" hidden="1" x14ac:dyDescent="0.2">
      <c r="B83" s="1107" t="s">
        <v>768</v>
      </c>
      <c r="C83" s="1108"/>
      <c r="D83" s="1109"/>
      <c r="E83" s="647" t="s">
        <v>13</v>
      </c>
      <c r="F83" s="648">
        <f t="shared" si="20"/>
        <v>1.2192000000000001</v>
      </c>
      <c r="G83" s="648">
        <f t="shared" si="20"/>
        <v>0</v>
      </c>
      <c r="H83" s="648">
        <f t="shared" si="20"/>
        <v>0</v>
      </c>
      <c r="I83" s="648">
        <f t="shared" si="20"/>
        <v>0</v>
      </c>
      <c r="J83" s="648">
        <f t="shared" si="19"/>
        <v>0</v>
      </c>
      <c r="K83" s="648">
        <f t="shared" si="19"/>
        <v>0</v>
      </c>
      <c r="L83" s="1130"/>
      <c r="M83" s="1130"/>
      <c r="N83" s="1130"/>
      <c r="O83" s="1131"/>
    </row>
    <row r="84" spans="2:15" hidden="1" x14ac:dyDescent="0.2">
      <c r="B84" s="1107" t="s">
        <v>747</v>
      </c>
      <c r="C84" s="1108"/>
      <c r="D84" s="1109"/>
      <c r="E84" s="647" t="s">
        <v>13</v>
      </c>
      <c r="F84" s="650">
        <v>0.05</v>
      </c>
      <c r="G84" s="650">
        <v>0.05</v>
      </c>
      <c r="H84" s="650">
        <v>0.05</v>
      </c>
      <c r="I84" s="650">
        <v>0.05</v>
      </c>
      <c r="J84" s="650">
        <v>1.05</v>
      </c>
      <c r="K84" s="650">
        <v>2.0499999999999998</v>
      </c>
      <c r="L84" s="1130"/>
      <c r="M84" s="1130"/>
      <c r="N84" s="1130"/>
      <c r="O84" s="1131"/>
    </row>
    <row r="85" spans="2:15" ht="16.5" hidden="1" x14ac:dyDescent="0.2">
      <c r="B85" s="1107" t="s">
        <v>746</v>
      </c>
      <c r="C85" s="1108"/>
      <c r="D85" s="1109"/>
      <c r="E85" s="647" t="s">
        <v>728</v>
      </c>
      <c r="F85" s="665">
        <f>IF(F62=$Y$73,0.05*F82^3+1.65*F73/1000*F82^2,IF(F62=$Y$74,0.0809*F82^3,IF(F62=$Y$75,PI()/24*F82^3,PI()/12*F82^3)))</f>
        <v>0.10007999687953845</v>
      </c>
      <c r="G85" s="665">
        <f>IF(G62=$Y$73,0.05*G82^3+1.65*G73/1000*G82^2,IF(G62=$Y$74,0.0809*G82^3,IF(G62=$Y$75,PI()/24*G82^3,PI()/12*G82^3)))</f>
        <v>0</v>
      </c>
      <c r="H85" s="665">
        <f>IF(H62=$Y$73,0.05*H82^3+1.65*H73/1000*H82^2,IF(H62=$Y$74,0.0809*H82^3,IF(H62=$Y$75,PI()/24*H82^3,PI()/12*H82^3)))</f>
        <v>0</v>
      </c>
      <c r="I85" s="665">
        <f>IF(I62=$Y$73,0.05*I82^3+1.65*I73/1000*I82^2,IF(I62=$Y$74,0.0809*I82^3,IF(I62=$Y$75,PI()/24*I82^3,PI()/12*I82^3)))</f>
        <v>0</v>
      </c>
      <c r="J85" s="665">
        <f t="shared" ref="J85:K85" si="21">IF(J62=$Y$73,0.05*J82^3+1.65*J73/1000*J82^2,IF(J62=$Y$74,0.0809*J82^3,IF(J62=$Y$75,PI()/24*J82^3,PI()/12*J82^3)))</f>
        <v>0</v>
      </c>
      <c r="K85" s="665">
        <f t="shared" si="21"/>
        <v>0</v>
      </c>
      <c r="L85" s="1130"/>
      <c r="M85" s="1130"/>
      <c r="N85" s="1130"/>
      <c r="O85" s="1131"/>
    </row>
    <row r="86" spans="2:15" ht="16.5" hidden="1" x14ac:dyDescent="0.2">
      <c r="B86" s="1107" t="s">
        <v>769</v>
      </c>
      <c r="C86" s="1108"/>
      <c r="D86" s="1109"/>
      <c r="E86" s="647" t="s">
        <v>728</v>
      </c>
      <c r="F86" s="649">
        <f>(PI()/4)*F82^2*F80</f>
        <v>0.80063997503630757</v>
      </c>
      <c r="G86" s="649">
        <f>(PI()/4)*G82^2*G80</f>
        <v>0</v>
      </c>
      <c r="H86" s="649">
        <f>(PI()/4)*H82^2*H80</f>
        <v>0</v>
      </c>
      <c r="I86" s="649">
        <f>(PI()/4)*I82^2*I80</f>
        <v>0</v>
      </c>
      <c r="J86" s="649">
        <f t="shared" ref="J86:K86" si="22">(PI()/4)*J82^2*J80</f>
        <v>0</v>
      </c>
      <c r="K86" s="649">
        <f t="shared" si="22"/>
        <v>0</v>
      </c>
      <c r="L86" s="1130"/>
      <c r="M86" s="1130"/>
      <c r="N86" s="1130"/>
      <c r="O86" s="1131"/>
    </row>
    <row r="87" spans="2:15" ht="16.5" hidden="1" x14ac:dyDescent="0.2">
      <c r="B87" s="1107" t="s">
        <v>778</v>
      </c>
      <c r="C87" s="1108"/>
      <c r="D87" s="1109"/>
      <c r="E87" s="647" t="s">
        <v>728</v>
      </c>
      <c r="F87" s="649">
        <f>F76*((PI()/4)*(F82^2)*(F78+F84))</f>
        <v>0.33096654602702813</v>
      </c>
      <c r="G87" s="649">
        <f>G76*((PI()/4)*(G82^2)*(G78+G84))</f>
        <v>0</v>
      </c>
      <c r="H87" s="649">
        <f>H76*((PI()/4)*(H82^2)*(H78+H84))</f>
        <v>0</v>
      </c>
      <c r="I87" s="649">
        <f>I76*((PI()/4)*(I82^2)*(I78+I84))</f>
        <v>0</v>
      </c>
      <c r="J87" s="649">
        <f t="shared" ref="J87:K87" si="23">J76*((PI()/4)*(J82^2)*(J78+J84))</f>
        <v>0</v>
      </c>
      <c r="K87" s="649">
        <f t="shared" si="23"/>
        <v>0</v>
      </c>
      <c r="L87" s="1130"/>
      <c r="M87" s="1130"/>
      <c r="N87" s="1130"/>
      <c r="O87" s="1131"/>
    </row>
    <row r="88" spans="2:15" ht="16.5" hidden="1" x14ac:dyDescent="0.2">
      <c r="B88" s="1107" t="s">
        <v>779</v>
      </c>
      <c r="C88" s="1108"/>
      <c r="D88" s="1109"/>
      <c r="E88" s="647" t="s">
        <v>728</v>
      </c>
      <c r="F88" s="649">
        <f>F86-F87</f>
        <v>0.46967342900927944</v>
      </c>
      <c r="G88" s="649">
        <f>G86-G87</f>
        <v>0</v>
      </c>
      <c r="H88" s="649">
        <f>H86-H87</f>
        <v>0</v>
      </c>
      <c r="I88" s="649">
        <f>I86-I87</f>
        <v>0</v>
      </c>
      <c r="J88" s="649">
        <f t="shared" ref="J88:K88" si="24">J86-J87</f>
        <v>0</v>
      </c>
      <c r="K88" s="649">
        <f t="shared" si="24"/>
        <v>0</v>
      </c>
      <c r="L88" s="1130"/>
      <c r="M88" s="1130"/>
      <c r="N88" s="1130"/>
      <c r="O88" s="1131"/>
    </row>
    <row r="89" spans="2:15" ht="16.5" hidden="1" x14ac:dyDescent="0.2">
      <c r="B89" s="1107" t="s">
        <v>780</v>
      </c>
      <c r="C89" s="1108"/>
      <c r="D89" s="1109"/>
      <c r="E89" s="647" t="s">
        <v>728</v>
      </c>
      <c r="F89" s="646">
        <f>(PI()/4)*F83^2*F81</f>
        <v>5.337599833575382</v>
      </c>
      <c r="G89" s="646">
        <f>(PI()/4)*G83^2*G81</f>
        <v>0</v>
      </c>
      <c r="H89" s="646">
        <f>(PI()/4)*H83^2*H81</f>
        <v>0</v>
      </c>
      <c r="I89" s="646">
        <f>(PI()/4)*I83^2*I81</f>
        <v>0</v>
      </c>
      <c r="J89" s="646">
        <f t="shared" ref="J89:K89" si="25">(PI()/4)*J83^2*J81</f>
        <v>0</v>
      </c>
      <c r="K89" s="646">
        <f t="shared" si="25"/>
        <v>0</v>
      </c>
      <c r="L89" s="1130"/>
      <c r="M89" s="1130"/>
      <c r="N89" s="1130"/>
      <c r="O89" s="1131"/>
    </row>
    <row r="90" spans="2:15" ht="16.5" hidden="1" x14ac:dyDescent="0.2">
      <c r="B90" s="1107" t="s">
        <v>781</v>
      </c>
      <c r="C90" s="1108"/>
      <c r="D90" s="1109"/>
      <c r="E90" s="647" t="s">
        <v>728</v>
      </c>
      <c r="F90" s="648">
        <f>F91+F77*((PI()/4)*F83^2*(F79+F84))</f>
        <v>2.8373328336536252</v>
      </c>
      <c r="G90" s="648">
        <f>G91+G77*((PI()/4)*G83^2*(G79+G84))</f>
        <v>0</v>
      </c>
      <c r="H90" s="648">
        <f>H91+H77*((PI()/4)*H83^2*(H79+H84))</f>
        <v>0</v>
      </c>
      <c r="I90" s="648">
        <f>I91+I77*((PI()/4)*I83^2*(I79+I84))</f>
        <v>0</v>
      </c>
      <c r="J90" s="648">
        <f t="shared" ref="J90:K90" si="26">J91+J77*((PI()/4)*J83^2*(J79+J84))</f>
        <v>0</v>
      </c>
      <c r="K90" s="648">
        <f t="shared" si="26"/>
        <v>0</v>
      </c>
      <c r="L90" s="1130"/>
      <c r="M90" s="1130"/>
      <c r="N90" s="1130"/>
      <c r="O90" s="1131"/>
    </row>
    <row r="91" spans="2:15" ht="16.5" hidden="1" x14ac:dyDescent="0.2">
      <c r="B91" s="1107" t="s">
        <v>749</v>
      </c>
      <c r="C91" s="1108"/>
      <c r="D91" s="1109"/>
      <c r="E91" s="647" t="s">
        <v>728</v>
      </c>
      <c r="F91" s="648">
        <f>(PI()/4)*F83^2/1000*F75</f>
        <v>1.0675199667150765</v>
      </c>
      <c r="G91" s="648">
        <f>(PI()/4)*G83^2/1000*G75</f>
        <v>0</v>
      </c>
      <c r="H91" s="648">
        <f>(PI()/4)*H83^2/1000*H75</f>
        <v>0</v>
      </c>
      <c r="I91" s="648">
        <f>(PI()/4)*I83^2/1000*I75</f>
        <v>0</v>
      </c>
      <c r="J91" s="648">
        <f t="shared" ref="J91:K91" si="27">(PI()/4)*J83^2/1000*J75</f>
        <v>0</v>
      </c>
      <c r="K91" s="648">
        <f t="shared" si="27"/>
        <v>0</v>
      </c>
      <c r="L91" s="1130"/>
      <c r="M91" s="1130"/>
      <c r="N91" s="1130"/>
      <c r="O91" s="1131"/>
    </row>
    <row r="92" spans="2:15" ht="16.5" hidden="1" x14ac:dyDescent="0.2">
      <c r="B92" s="1107" t="s">
        <v>782</v>
      </c>
      <c r="C92" s="1108"/>
      <c r="D92" s="1109"/>
      <c r="E92" s="647" t="s">
        <v>728</v>
      </c>
      <c r="F92" s="648">
        <f>F89-F90</f>
        <v>2.5002669999217568</v>
      </c>
      <c r="G92" s="648">
        <f>G89-G90</f>
        <v>0</v>
      </c>
      <c r="H92" s="648">
        <f>H89-H90</f>
        <v>0</v>
      </c>
      <c r="I92" s="648">
        <f>I89-I90</f>
        <v>0</v>
      </c>
      <c r="J92" s="648">
        <f t="shared" ref="J92:K92" si="28">J89-J90</f>
        <v>0</v>
      </c>
      <c r="K92" s="648">
        <f t="shared" si="28"/>
        <v>0</v>
      </c>
      <c r="L92" s="1130"/>
      <c r="M92" s="1130"/>
      <c r="N92" s="1130"/>
      <c r="O92" s="1131"/>
    </row>
    <row r="93" spans="2:15" ht="16.5" hidden="1" x14ac:dyDescent="0.2">
      <c r="B93" s="1107" t="s">
        <v>750</v>
      </c>
      <c r="C93" s="1108"/>
      <c r="D93" s="1109"/>
      <c r="E93" s="647" t="s">
        <v>728</v>
      </c>
      <c r="F93" s="665">
        <f>IF(F63=$Y$73,0.05*F83^3+1.65*F74/1000*F83^2,IF(F63=$Y$74,0.0809*F83^3,IF(F63=$Y$75,PI()/24*F83^3,PI()/12*F83^3)))</f>
        <v>0.12740351293440003</v>
      </c>
      <c r="G93" s="665">
        <f>IF(G63=$Y$73,0.05*G83^3+1.65*G74/1000*G83^2,IF(G63=$Y$74,0.0809*G83^3,IF(G63=$Y$75,PI()/24*G83^3,PI()/12*G83^3)))</f>
        <v>0</v>
      </c>
      <c r="H93" s="665">
        <f>IF(H63=$Y$73,0.05*H83^3+1.65*H74/1000*H83^2,IF(H63=$Y$74,0.0809*H83^3,IF(H63=$Y$75,PI()/24*H83^3,PI()/12*H83^3)))</f>
        <v>0</v>
      </c>
      <c r="I93" s="665">
        <f>IF(I63=$Y$73,0.05*I83^3+1.65*I74/1000*I83^2,IF(I63=$Y$74,0.0809*I83^3,IF(I63=$Y$75,PI()/24*I83^3,PI()/12*I83^3)))</f>
        <v>0</v>
      </c>
      <c r="J93" s="665">
        <f t="shared" ref="J93:K93" si="29">IF(J63=$Y$73,0.05*J83^3+1.65*J74/1000*J83^2,IF(J63=$Y$74,0.0809*J83^3,IF(J63=$Y$75,PI()/24*J83^3,PI()/12*J83^3)))</f>
        <v>0</v>
      </c>
      <c r="K93" s="665">
        <f t="shared" si="29"/>
        <v>0</v>
      </c>
      <c r="L93" s="1130"/>
      <c r="M93" s="1130"/>
      <c r="N93" s="1130"/>
      <c r="O93" s="1131"/>
    </row>
    <row r="94" spans="2:15" ht="16.5" hidden="1" x14ac:dyDescent="0.2">
      <c r="B94" s="1104" t="s">
        <v>770</v>
      </c>
      <c r="C94" s="1105"/>
      <c r="D94" s="1106"/>
      <c r="E94" s="648" t="s">
        <v>728</v>
      </c>
      <c r="F94" s="648">
        <f>F85+F86+F89+F93</f>
        <v>6.3657233184256281</v>
      </c>
      <c r="G94" s="648">
        <f>G85+G86+G89+G93</f>
        <v>0</v>
      </c>
      <c r="H94" s="648">
        <f>H85+H86+H89+H93</f>
        <v>0</v>
      </c>
      <c r="I94" s="648">
        <f>I85+I86+I89+I93</f>
        <v>0</v>
      </c>
      <c r="J94" s="648">
        <f t="shared" ref="J94:K94" si="30">J85+J86+J89+J93</f>
        <v>0</v>
      </c>
      <c r="K94" s="648">
        <f t="shared" si="30"/>
        <v>0</v>
      </c>
      <c r="L94" s="1130"/>
      <c r="M94" s="1130"/>
      <c r="N94" s="1130"/>
      <c r="O94" s="1131"/>
    </row>
    <row r="95" spans="2:15" ht="16.5" hidden="1" x14ac:dyDescent="0.2">
      <c r="B95" s="1104" t="s">
        <v>771</v>
      </c>
      <c r="C95" s="1105"/>
      <c r="D95" s="1106"/>
      <c r="E95" s="648" t="s">
        <v>728</v>
      </c>
      <c r="F95" s="648">
        <f>F85+F88+F92</f>
        <v>3.0700204258105748</v>
      </c>
      <c r="G95" s="648">
        <f>G85+G88+G92</f>
        <v>0</v>
      </c>
      <c r="H95" s="648">
        <f>H85+H88+H92</f>
        <v>0</v>
      </c>
      <c r="I95" s="648">
        <f>I85+I88+I92</f>
        <v>0</v>
      </c>
      <c r="J95" s="648">
        <f t="shared" ref="J95:K95" si="31">J85+J88+J92</f>
        <v>0</v>
      </c>
      <c r="K95" s="648">
        <f t="shared" si="31"/>
        <v>0</v>
      </c>
      <c r="L95" s="1130"/>
      <c r="M95" s="1130"/>
      <c r="N95" s="1130"/>
      <c r="O95" s="1131"/>
    </row>
    <row r="96" spans="2:15" ht="16.5" hidden="1" x14ac:dyDescent="0.2">
      <c r="B96" s="1104" t="s">
        <v>772</v>
      </c>
      <c r="C96" s="1105"/>
      <c r="D96" s="1106"/>
      <c r="E96" s="648" t="s">
        <v>728</v>
      </c>
      <c r="F96" s="648">
        <f>F86+F89</f>
        <v>6.1382398086116901</v>
      </c>
      <c r="G96" s="648">
        <f>G86+G89</f>
        <v>0</v>
      </c>
      <c r="H96" s="648">
        <f>H86+H89</f>
        <v>0</v>
      </c>
      <c r="I96" s="648">
        <f>I86+I89</f>
        <v>0</v>
      </c>
      <c r="J96" s="648">
        <f t="shared" ref="J96:K96" si="32">J86+J89</f>
        <v>0</v>
      </c>
      <c r="K96" s="648">
        <f t="shared" si="32"/>
        <v>0</v>
      </c>
      <c r="L96" s="1130"/>
      <c r="M96" s="1130"/>
      <c r="N96" s="1130"/>
      <c r="O96" s="1131"/>
    </row>
    <row r="97" spans="2:15" ht="16.5" hidden="1" x14ac:dyDescent="0.2">
      <c r="B97" s="1104" t="s">
        <v>773</v>
      </c>
      <c r="C97" s="1105"/>
      <c r="D97" s="1106"/>
      <c r="E97" s="648" t="s">
        <v>728</v>
      </c>
      <c r="F97" s="648">
        <f>F88+F92</f>
        <v>2.9699404289310363</v>
      </c>
      <c r="G97" s="648">
        <f>G88+G92</f>
        <v>0</v>
      </c>
      <c r="H97" s="648">
        <f>H88+H92</f>
        <v>0</v>
      </c>
      <c r="I97" s="648">
        <f>I88+I92</f>
        <v>0</v>
      </c>
      <c r="J97" s="648">
        <f t="shared" ref="J97:K97" si="33">J88+J92</f>
        <v>0</v>
      </c>
      <c r="K97" s="648">
        <f t="shared" si="33"/>
        <v>0</v>
      </c>
      <c r="L97" s="1130"/>
      <c r="M97" s="1130"/>
      <c r="N97" s="1130"/>
      <c r="O97" s="1131"/>
    </row>
    <row r="98" spans="2:15" ht="16.5" x14ac:dyDescent="0.2">
      <c r="B98" s="1104" t="s">
        <v>787</v>
      </c>
      <c r="C98" s="1105"/>
      <c r="D98" s="1106"/>
      <c r="E98" s="648" t="s">
        <v>217</v>
      </c>
      <c r="F98" s="648">
        <f>F94*35.315</f>
        <v>224.80551899020105</v>
      </c>
      <c r="G98" s="648">
        <f>G94*35.315</f>
        <v>0</v>
      </c>
      <c r="H98" s="648">
        <f>H94*35.315</f>
        <v>0</v>
      </c>
      <c r="I98" s="648">
        <f>I94*35.315</f>
        <v>0</v>
      </c>
      <c r="J98" s="648">
        <f t="shared" ref="J98:K101" si="34">J94*35.315</f>
        <v>0</v>
      </c>
      <c r="K98" s="648">
        <f t="shared" si="34"/>
        <v>0</v>
      </c>
      <c r="L98" s="1130"/>
      <c r="M98" s="1130"/>
      <c r="N98" s="1130"/>
      <c r="O98" s="1131"/>
    </row>
    <row r="99" spans="2:15" ht="16.5" x14ac:dyDescent="0.2">
      <c r="B99" s="1104" t="s">
        <v>788</v>
      </c>
      <c r="C99" s="1105"/>
      <c r="D99" s="1106"/>
      <c r="E99" s="648" t="s">
        <v>217</v>
      </c>
      <c r="F99" s="648">
        <f t="shared" ref="F99:I101" si="35">F95*35.315</f>
        <v>108.41777133750044</v>
      </c>
      <c r="G99" s="648">
        <f t="shared" si="35"/>
        <v>0</v>
      </c>
      <c r="H99" s="648">
        <f t="shared" si="35"/>
        <v>0</v>
      </c>
      <c r="I99" s="648">
        <f t="shared" si="35"/>
        <v>0</v>
      </c>
      <c r="J99" s="648">
        <f t="shared" si="34"/>
        <v>0</v>
      </c>
      <c r="K99" s="648">
        <f t="shared" si="34"/>
        <v>0</v>
      </c>
      <c r="L99" s="1130"/>
      <c r="M99" s="1130"/>
      <c r="N99" s="1130"/>
      <c r="O99" s="1131"/>
    </row>
    <row r="100" spans="2:15" ht="16.5" x14ac:dyDescent="0.2">
      <c r="B100" s="1104" t="s">
        <v>789</v>
      </c>
      <c r="C100" s="1105"/>
      <c r="D100" s="1106"/>
      <c r="E100" s="648" t="s">
        <v>217</v>
      </c>
      <c r="F100" s="648">
        <f t="shared" si="35"/>
        <v>216.77193884112182</v>
      </c>
      <c r="G100" s="648">
        <f t="shared" si="35"/>
        <v>0</v>
      </c>
      <c r="H100" s="648">
        <f t="shared" si="35"/>
        <v>0</v>
      </c>
      <c r="I100" s="648">
        <f t="shared" si="35"/>
        <v>0</v>
      </c>
      <c r="J100" s="648">
        <f t="shared" si="34"/>
        <v>0</v>
      </c>
      <c r="K100" s="648">
        <f t="shared" si="34"/>
        <v>0</v>
      </c>
      <c r="L100" s="1130"/>
      <c r="M100" s="1130"/>
      <c r="N100" s="1130"/>
      <c r="O100" s="1131"/>
    </row>
    <row r="101" spans="2:15" ht="16.5" x14ac:dyDescent="0.2">
      <c r="B101" s="1104" t="s">
        <v>790</v>
      </c>
      <c r="C101" s="1105"/>
      <c r="D101" s="1106"/>
      <c r="E101" s="648" t="s">
        <v>217</v>
      </c>
      <c r="F101" s="648">
        <f t="shared" si="35"/>
        <v>104.88344624769954</v>
      </c>
      <c r="G101" s="648">
        <f t="shared" si="35"/>
        <v>0</v>
      </c>
      <c r="H101" s="648">
        <f t="shared" si="35"/>
        <v>0</v>
      </c>
      <c r="I101" s="648">
        <f t="shared" si="35"/>
        <v>0</v>
      </c>
      <c r="J101" s="648">
        <f t="shared" si="34"/>
        <v>0</v>
      </c>
      <c r="K101" s="648">
        <f t="shared" si="34"/>
        <v>0</v>
      </c>
      <c r="L101" s="1130"/>
      <c r="M101" s="1130"/>
      <c r="N101" s="1130"/>
      <c r="O101" s="1131"/>
    </row>
    <row r="102" spans="2:15" x14ac:dyDescent="0.2">
      <c r="B102" s="1107"/>
      <c r="C102" s="1108"/>
      <c r="D102" s="1109"/>
      <c r="E102" s="931"/>
      <c r="F102" s="931"/>
      <c r="G102" s="931"/>
      <c r="H102" s="931"/>
      <c r="I102" s="931"/>
      <c r="J102" s="931"/>
      <c r="K102" s="931"/>
      <c r="L102" s="1130"/>
      <c r="M102" s="1130"/>
      <c r="N102" s="1130"/>
      <c r="O102" s="1131"/>
    </row>
    <row r="103" spans="2:15" ht="18" customHeight="1" thickBot="1" x14ac:dyDescent="0.25">
      <c r="B103" s="1110"/>
      <c r="C103" s="1111"/>
      <c r="D103" s="1112"/>
      <c r="E103" s="673"/>
      <c r="F103" s="673"/>
      <c r="G103" s="673"/>
      <c r="H103" s="673"/>
      <c r="I103" s="673"/>
      <c r="J103" s="673"/>
      <c r="K103" s="673"/>
      <c r="L103" s="1132"/>
      <c r="M103" s="1132"/>
      <c r="N103" s="1132"/>
      <c r="O103" s="1133"/>
    </row>
    <row r="104" spans="2:15" ht="18" customHeight="1" x14ac:dyDescent="0.2">
      <c r="B104" s="312"/>
      <c r="C104" s="312"/>
      <c r="D104" s="312"/>
      <c r="E104" s="930"/>
      <c r="F104" s="306"/>
      <c r="G104" s="306"/>
      <c r="H104" s="306"/>
      <c r="I104" s="306"/>
      <c r="J104" s="191"/>
      <c r="K104" s="191"/>
      <c r="L104" s="191"/>
      <c r="M104" s="191"/>
      <c r="N104" s="191"/>
    </row>
    <row r="105" spans="2:15" ht="18" customHeight="1" x14ac:dyDescent="0.2">
      <c r="B105" s="312"/>
      <c r="C105" s="312"/>
      <c r="D105" s="312"/>
      <c r="E105" s="930"/>
      <c r="F105" s="306"/>
      <c r="G105" s="306"/>
      <c r="H105" s="306"/>
      <c r="I105" s="306"/>
      <c r="J105" s="191"/>
      <c r="K105" s="191"/>
      <c r="L105" s="191"/>
      <c r="M105" s="191"/>
      <c r="N105" s="191"/>
    </row>
    <row r="106" spans="2:15" ht="18" customHeight="1" x14ac:dyDescent="0.2">
      <c r="B106" s="312"/>
      <c r="C106" s="312"/>
      <c r="D106" s="312"/>
      <c r="E106" s="930"/>
      <c r="F106" s="306"/>
      <c r="G106" s="306"/>
      <c r="H106" s="306"/>
      <c r="I106" s="306"/>
      <c r="J106" s="191"/>
      <c r="K106" s="191"/>
      <c r="L106" s="191"/>
      <c r="M106" s="191"/>
      <c r="N106" s="191"/>
    </row>
    <row r="107" spans="2:15" x14ac:dyDescent="0.2">
      <c r="B107" s="312"/>
      <c r="C107" s="312"/>
      <c r="D107" s="312"/>
      <c r="E107" s="930"/>
      <c r="F107" s="308"/>
      <c r="G107" s="308"/>
      <c r="H107" s="308"/>
      <c r="I107" s="308"/>
      <c r="J107" s="191"/>
      <c r="K107" s="191"/>
      <c r="L107" s="191"/>
      <c r="M107" s="191"/>
      <c r="N107" s="191"/>
    </row>
    <row r="108" spans="2:15" x14ac:dyDescent="0.2">
      <c r="B108" s="312"/>
      <c r="C108" s="312"/>
      <c r="D108" s="312"/>
      <c r="E108" s="313"/>
      <c r="F108" s="308"/>
      <c r="G108" s="308"/>
      <c r="H108" s="308"/>
      <c r="I108" s="308"/>
      <c r="J108" s="191"/>
      <c r="K108" s="191"/>
      <c r="L108" s="191"/>
      <c r="M108" s="191"/>
      <c r="N108" s="191"/>
    </row>
    <row r="109" spans="2:15" x14ac:dyDescent="0.2">
      <c r="B109" s="312"/>
      <c r="C109" s="312"/>
      <c r="D109" s="312"/>
      <c r="E109" s="313"/>
      <c r="F109" s="308"/>
      <c r="G109" s="308"/>
      <c r="H109" s="308"/>
      <c r="I109" s="308"/>
      <c r="J109" s="191"/>
      <c r="K109" s="191"/>
      <c r="L109" s="191"/>
      <c r="M109" s="191"/>
      <c r="N109" s="191"/>
    </row>
    <row r="110" spans="2:15" x14ac:dyDescent="0.2">
      <c r="B110" s="191"/>
      <c r="C110" s="191"/>
      <c r="D110" s="191"/>
      <c r="E110" s="932"/>
      <c r="F110" s="308"/>
      <c r="G110" s="308"/>
      <c r="H110" s="308"/>
      <c r="I110" s="308"/>
      <c r="J110" s="191"/>
      <c r="K110" s="191"/>
      <c r="L110" s="191"/>
      <c r="M110" s="191"/>
      <c r="N110" s="191"/>
    </row>
    <row r="111" spans="2:15" x14ac:dyDescent="0.2">
      <c r="B111" s="314"/>
      <c r="C111" s="314"/>
      <c r="D111" s="314"/>
      <c r="E111" s="309"/>
      <c r="F111" s="313"/>
      <c r="G111" s="313"/>
      <c r="H111" s="313"/>
      <c r="I111" s="313"/>
      <c r="J111" s="191"/>
      <c r="K111" s="191"/>
      <c r="L111" s="191"/>
      <c r="M111" s="191"/>
      <c r="N111" s="191"/>
    </row>
    <row r="112" spans="2:15" x14ac:dyDescent="0.2">
      <c r="B112" s="312"/>
      <c r="C112" s="312"/>
      <c r="D112" s="312"/>
      <c r="E112" s="309"/>
      <c r="F112" s="313"/>
      <c r="G112" s="313"/>
      <c r="H112" s="313"/>
      <c r="I112" s="313"/>
      <c r="J112" s="191"/>
      <c r="K112" s="191"/>
      <c r="L112" s="191"/>
      <c r="M112" s="191"/>
      <c r="N112" s="191"/>
    </row>
    <row r="113" spans="2:14" x14ac:dyDescent="0.2">
      <c r="B113" s="314"/>
      <c r="C113" s="314"/>
      <c r="D113" s="314"/>
      <c r="E113" s="309"/>
      <c r="F113" s="309"/>
      <c r="G113" s="309"/>
      <c r="H113" s="309"/>
      <c r="I113" s="309"/>
      <c r="J113" s="191"/>
      <c r="K113" s="191"/>
      <c r="L113" s="191"/>
      <c r="M113" s="191"/>
      <c r="N113" s="191"/>
    </row>
    <row r="114" spans="2:14" x14ac:dyDescent="0.2">
      <c r="B114" s="191"/>
      <c r="C114" s="191"/>
      <c r="D114" s="191"/>
      <c r="E114" s="309"/>
      <c r="F114" s="313"/>
      <c r="G114" s="313"/>
      <c r="H114" s="313"/>
      <c r="I114" s="313"/>
      <c r="J114" s="191"/>
      <c r="K114" s="191"/>
      <c r="L114" s="191"/>
      <c r="M114" s="191"/>
      <c r="N114" s="191"/>
    </row>
    <row r="115" spans="2:14" x14ac:dyDescent="0.2">
      <c r="B115" s="314"/>
      <c r="C115" s="314"/>
      <c r="D115" s="314"/>
      <c r="E115" s="309"/>
      <c r="F115" s="309"/>
      <c r="G115" s="309"/>
      <c r="H115" s="309"/>
      <c r="I115" s="309"/>
      <c r="J115" s="191"/>
      <c r="K115" s="191"/>
      <c r="L115" s="191"/>
      <c r="M115" s="191"/>
      <c r="N115" s="191"/>
    </row>
    <row r="116" spans="2:14" x14ac:dyDescent="0.2">
      <c r="B116" s="312"/>
      <c r="C116" s="312"/>
      <c r="D116" s="312"/>
      <c r="E116" s="309"/>
      <c r="F116" s="309"/>
      <c r="G116" s="309"/>
      <c r="H116" s="309"/>
      <c r="I116" s="309"/>
      <c r="J116" s="191"/>
      <c r="K116" s="191"/>
      <c r="L116" s="191"/>
      <c r="M116" s="191"/>
      <c r="N116" s="191"/>
    </row>
    <row r="117" spans="2:14" x14ac:dyDescent="0.2">
      <c r="B117" s="312"/>
      <c r="C117" s="312"/>
      <c r="D117" s="312"/>
      <c r="E117" s="309"/>
      <c r="F117" s="309"/>
      <c r="G117" s="309"/>
      <c r="H117" s="309"/>
      <c r="I117" s="309"/>
      <c r="J117" s="191"/>
      <c r="K117" s="191"/>
      <c r="L117" s="191"/>
      <c r="M117" s="191"/>
      <c r="N117" s="191"/>
    </row>
    <row r="118" spans="2:14" x14ac:dyDescent="0.2">
      <c r="B118" s="312"/>
      <c r="C118" s="312"/>
      <c r="D118" s="312"/>
      <c r="E118" s="309"/>
      <c r="F118" s="309"/>
      <c r="G118" s="309"/>
      <c r="H118" s="309"/>
      <c r="I118" s="309"/>
      <c r="J118" s="191"/>
      <c r="K118" s="191"/>
      <c r="L118" s="191"/>
      <c r="M118" s="191"/>
      <c r="N118" s="191"/>
    </row>
    <row r="119" spans="2:14" x14ac:dyDescent="0.2">
      <c r="B119" s="312"/>
      <c r="C119" s="312"/>
      <c r="D119" s="312"/>
      <c r="E119" s="309"/>
      <c r="F119" s="311"/>
      <c r="G119" s="311"/>
      <c r="H119" s="311"/>
      <c r="I119" s="311"/>
      <c r="J119" s="191"/>
      <c r="K119" s="191"/>
      <c r="L119" s="191"/>
      <c r="M119" s="191"/>
      <c r="N119" s="191"/>
    </row>
    <row r="120" spans="2:14" x14ac:dyDescent="0.2">
      <c r="B120" s="312"/>
      <c r="C120" s="312"/>
      <c r="D120" s="312"/>
      <c r="E120" s="309"/>
      <c r="F120" s="309"/>
      <c r="G120" s="309"/>
      <c r="H120" s="309"/>
      <c r="I120" s="309"/>
      <c r="J120" s="191"/>
      <c r="K120" s="191"/>
      <c r="L120" s="191"/>
      <c r="M120" s="191"/>
      <c r="N120" s="191"/>
    </row>
    <row r="121" spans="2:14" x14ac:dyDescent="0.2">
      <c r="B121" s="312"/>
      <c r="C121" s="312"/>
      <c r="D121" s="312"/>
      <c r="E121" s="309"/>
      <c r="F121" s="309"/>
      <c r="G121" s="309"/>
      <c r="H121" s="309"/>
      <c r="I121" s="309"/>
      <c r="J121" s="191"/>
      <c r="K121" s="191"/>
      <c r="L121" s="191"/>
      <c r="M121" s="191"/>
      <c r="N121" s="191"/>
    </row>
    <row r="122" spans="2:14" x14ac:dyDescent="0.2">
      <c r="B122" s="312"/>
      <c r="C122" s="312"/>
      <c r="D122" s="312"/>
      <c r="E122" s="309"/>
      <c r="F122" s="309"/>
      <c r="G122" s="309"/>
      <c r="H122" s="309"/>
      <c r="I122" s="309"/>
      <c r="J122" s="191"/>
      <c r="K122" s="191"/>
      <c r="L122" s="191"/>
      <c r="M122" s="191"/>
      <c r="N122" s="191"/>
    </row>
    <row r="123" spans="2:14" x14ac:dyDescent="0.2">
      <c r="B123" s="312"/>
      <c r="C123" s="312"/>
      <c r="D123" s="312"/>
      <c r="E123" s="309"/>
      <c r="F123" s="309"/>
      <c r="G123" s="309"/>
      <c r="H123" s="309"/>
      <c r="I123" s="309"/>
      <c r="J123" s="191"/>
      <c r="K123" s="191"/>
      <c r="L123" s="191"/>
      <c r="M123" s="191"/>
      <c r="N123" s="191"/>
    </row>
    <row r="124" spans="2:14" x14ac:dyDescent="0.2">
      <c r="B124" s="312"/>
      <c r="C124" s="312"/>
      <c r="D124" s="312"/>
      <c r="E124" s="309"/>
      <c r="F124" s="309"/>
      <c r="G124" s="309"/>
      <c r="H124" s="309"/>
      <c r="I124" s="309"/>
      <c r="J124" s="191"/>
      <c r="K124" s="191"/>
      <c r="L124" s="191"/>
      <c r="M124" s="191"/>
      <c r="N124" s="191"/>
    </row>
    <row r="125" spans="2:14" x14ac:dyDescent="0.2">
      <c r="B125" s="191"/>
      <c r="C125" s="191"/>
      <c r="D125" s="191"/>
      <c r="E125" s="191"/>
      <c r="F125" s="191"/>
      <c r="G125" s="191"/>
      <c r="H125" s="191"/>
      <c r="I125" s="191"/>
      <c r="J125" s="191"/>
      <c r="K125" s="191"/>
      <c r="L125" s="191"/>
      <c r="M125" s="191"/>
      <c r="N125" s="191"/>
    </row>
    <row r="126" spans="2:14" x14ac:dyDescent="0.2">
      <c r="B126" s="191"/>
      <c r="C126" s="191"/>
      <c r="D126" s="191"/>
      <c r="E126" s="191"/>
      <c r="F126" s="191"/>
      <c r="G126" s="191"/>
      <c r="H126" s="191"/>
      <c r="I126" s="191"/>
      <c r="J126" s="191"/>
      <c r="K126" s="191"/>
      <c r="L126" s="191"/>
      <c r="M126" s="191"/>
      <c r="N126" s="191"/>
    </row>
    <row r="127" spans="2:14" x14ac:dyDescent="0.2">
      <c r="B127" s="191"/>
      <c r="C127" s="191"/>
      <c r="D127" s="191"/>
      <c r="E127" s="191"/>
      <c r="F127" s="191"/>
      <c r="G127" s="191"/>
      <c r="H127" s="191"/>
      <c r="I127" s="191"/>
      <c r="J127" s="191"/>
      <c r="K127" s="191"/>
      <c r="L127" s="191"/>
      <c r="M127" s="191"/>
      <c r="N127" s="191"/>
    </row>
    <row r="128" spans="2:14" x14ac:dyDescent="0.2">
      <c r="B128" s="191"/>
      <c r="C128" s="191"/>
      <c r="D128" s="191"/>
      <c r="E128" s="191"/>
      <c r="F128" s="191"/>
      <c r="G128" s="191"/>
      <c r="H128" s="191"/>
      <c r="I128" s="191"/>
      <c r="J128" s="191"/>
      <c r="K128" s="191"/>
      <c r="L128" s="191"/>
      <c r="M128" s="191"/>
      <c r="N128" s="191"/>
    </row>
    <row r="129" spans="2:14" x14ac:dyDescent="0.2">
      <c r="B129" s="191"/>
      <c r="C129" s="191"/>
      <c r="D129" s="191"/>
      <c r="E129" s="191"/>
      <c r="F129" s="191"/>
      <c r="G129" s="191"/>
      <c r="H129" s="191"/>
      <c r="I129" s="191"/>
      <c r="J129" s="191"/>
      <c r="K129" s="191"/>
      <c r="L129" s="191"/>
      <c r="M129" s="191"/>
      <c r="N129" s="191"/>
    </row>
    <row r="130" spans="2:14" x14ac:dyDescent="0.2">
      <c r="B130" s="191"/>
      <c r="C130" s="191"/>
      <c r="D130" s="191"/>
      <c r="E130" s="191"/>
      <c r="F130" s="191"/>
      <c r="G130" s="191"/>
      <c r="H130" s="191"/>
      <c r="I130" s="191"/>
      <c r="J130" s="191"/>
      <c r="K130" s="191"/>
      <c r="L130" s="191"/>
      <c r="M130" s="191"/>
      <c r="N130" s="191"/>
    </row>
    <row r="131" spans="2:14" x14ac:dyDescent="0.2">
      <c r="B131" s="191"/>
      <c r="C131" s="191"/>
      <c r="D131" s="191"/>
      <c r="E131" s="191"/>
      <c r="F131" s="191"/>
      <c r="G131" s="191"/>
      <c r="H131" s="191"/>
      <c r="I131" s="191"/>
      <c r="J131" s="191"/>
      <c r="K131" s="191"/>
      <c r="L131" s="191"/>
      <c r="M131" s="191"/>
      <c r="N131" s="191"/>
    </row>
    <row r="132" spans="2:14" x14ac:dyDescent="0.2">
      <c r="B132" s="191"/>
      <c r="C132" s="191"/>
      <c r="D132" s="191"/>
      <c r="E132" s="191"/>
      <c r="F132" s="191"/>
      <c r="G132" s="191"/>
      <c r="H132" s="191"/>
      <c r="I132" s="191"/>
      <c r="L132" s="191"/>
      <c r="M132" s="191"/>
      <c r="N132" s="191"/>
    </row>
    <row r="146" spans="1:15" x14ac:dyDescent="0.2">
      <c r="J146" s="318"/>
      <c r="K146" s="318"/>
    </row>
    <row r="147" spans="1:15" x14ac:dyDescent="0.2">
      <c r="A147" s="316"/>
      <c r="B147" s="316"/>
      <c r="C147" s="316"/>
      <c r="D147" s="316"/>
      <c r="E147" s="316"/>
      <c r="F147" s="316"/>
      <c r="G147" s="318"/>
      <c r="H147" s="318"/>
      <c r="I147" s="318"/>
      <c r="L147" s="318"/>
      <c r="M147" s="318"/>
      <c r="N147" s="318"/>
      <c r="O147" s="318"/>
    </row>
    <row r="150" spans="1:15" x14ac:dyDescent="0.2">
      <c r="G150" s="317"/>
    </row>
    <row r="151" spans="1:15" x14ac:dyDescent="0.2">
      <c r="J151" s="330"/>
      <c r="K151" s="330"/>
    </row>
    <row r="152" spans="1:15" x14ac:dyDescent="0.2">
      <c r="G152" s="330"/>
      <c r="H152" s="330"/>
      <c r="I152" s="330"/>
      <c r="J152" s="321"/>
      <c r="K152" s="321"/>
    </row>
    <row r="153" spans="1:15" x14ac:dyDescent="0.2">
      <c r="G153" s="320"/>
      <c r="H153" s="321"/>
      <c r="I153" s="321"/>
      <c r="J153" s="323"/>
      <c r="K153" s="323"/>
      <c r="L153" s="321"/>
      <c r="M153" s="321"/>
      <c r="N153" s="321"/>
      <c r="O153" s="321"/>
    </row>
    <row r="154" spans="1:15" x14ac:dyDescent="0.2">
      <c r="G154" s="322"/>
      <c r="H154" s="323"/>
      <c r="I154" s="323"/>
      <c r="J154" s="324"/>
      <c r="K154" s="324"/>
      <c r="L154" s="323"/>
      <c r="M154" s="323"/>
      <c r="N154" s="323"/>
      <c r="O154" s="323"/>
    </row>
    <row r="155" spans="1:15" x14ac:dyDescent="0.2">
      <c r="G155" s="322"/>
      <c r="H155" s="324"/>
      <c r="I155" s="324"/>
      <c r="L155" s="324"/>
      <c r="M155" s="324"/>
      <c r="N155" s="324"/>
      <c r="O155" s="324"/>
    </row>
    <row r="156" spans="1:15" x14ac:dyDescent="0.2">
      <c r="G156" s="322"/>
      <c r="J156" s="323"/>
      <c r="K156" s="323"/>
    </row>
    <row r="157" spans="1:15" x14ac:dyDescent="0.2">
      <c r="G157" s="322"/>
      <c r="H157" s="323"/>
      <c r="I157" s="323"/>
      <c r="J157" s="323"/>
      <c r="K157" s="323"/>
      <c r="L157" s="323"/>
      <c r="M157" s="323"/>
      <c r="N157" s="323"/>
      <c r="O157" s="323"/>
    </row>
    <row r="158" spans="1:15" x14ac:dyDescent="0.2">
      <c r="G158" s="322"/>
      <c r="H158" s="323"/>
      <c r="I158" s="323"/>
      <c r="L158" s="323"/>
      <c r="M158" s="323"/>
      <c r="N158" s="323"/>
      <c r="O158" s="323"/>
    </row>
    <row r="159" spans="1:15" x14ac:dyDescent="0.2">
      <c r="G159" s="322"/>
      <c r="J159" s="325"/>
      <c r="K159" s="325"/>
    </row>
    <row r="160" spans="1:15" x14ac:dyDescent="0.2">
      <c r="G160" s="322"/>
      <c r="H160" s="325"/>
      <c r="I160" s="325"/>
      <c r="J160" s="324"/>
      <c r="K160" s="324"/>
      <c r="L160" s="325"/>
      <c r="M160" s="325"/>
      <c r="N160" s="325"/>
      <c r="O160" s="325"/>
    </row>
    <row r="161" spans="1:25" x14ac:dyDescent="0.2">
      <c r="G161" s="322"/>
      <c r="H161" s="324"/>
      <c r="I161" s="324"/>
      <c r="L161" s="324"/>
      <c r="M161" s="324"/>
      <c r="N161" s="324"/>
      <c r="O161" s="324"/>
    </row>
    <row r="162" spans="1:25" x14ac:dyDescent="0.2">
      <c r="G162" s="322"/>
      <c r="J162" s="325"/>
      <c r="K162" s="325"/>
    </row>
    <row r="163" spans="1:25" x14ac:dyDescent="0.2">
      <c r="G163" s="322"/>
      <c r="H163" s="325"/>
      <c r="I163" s="325"/>
      <c r="J163" s="323"/>
      <c r="K163" s="323"/>
      <c r="L163" s="325"/>
      <c r="M163" s="325"/>
      <c r="N163" s="325"/>
      <c r="O163" s="325"/>
    </row>
    <row r="164" spans="1:25" x14ac:dyDescent="0.2">
      <c r="G164" s="322"/>
      <c r="H164" s="323"/>
      <c r="I164" s="323"/>
      <c r="L164" s="323"/>
      <c r="M164" s="323"/>
      <c r="N164" s="323"/>
      <c r="O164" s="323"/>
    </row>
    <row r="165" spans="1:25" x14ac:dyDescent="0.2">
      <c r="G165" s="322"/>
      <c r="J165" s="324"/>
      <c r="K165" s="326"/>
    </row>
    <row r="166" spans="1:25" s="316" customFormat="1" x14ac:dyDescent="0.2">
      <c r="A166" s="192"/>
      <c r="B166" s="192"/>
      <c r="C166" s="192"/>
      <c r="D166" s="192"/>
      <c r="E166" s="192"/>
      <c r="F166" s="192"/>
      <c r="G166" s="322"/>
      <c r="H166" s="324"/>
      <c r="I166" s="326"/>
      <c r="J166" s="325"/>
      <c r="K166" s="325"/>
      <c r="L166" s="324"/>
      <c r="M166" s="324"/>
      <c r="N166" s="324"/>
      <c r="O166" s="324"/>
      <c r="P166" s="318"/>
      <c r="Q166" s="318"/>
      <c r="R166" s="318"/>
      <c r="S166" s="318"/>
      <c r="T166" s="318"/>
      <c r="U166" s="318"/>
      <c r="V166" s="318"/>
      <c r="W166" s="318"/>
      <c r="X166" s="318"/>
      <c r="Y166" s="318"/>
    </row>
    <row r="167" spans="1:25" x14ac:dyDescent="0.2">
      <c r="G167" s="322"/>
      <c r="H167" s="325"/>
      <c r="I167" s="325"/>
      <c r="L167" s="325"/>
      <c r="M167" s="325"/>
      <c r="N167" s="325"/>
      <c r="O167" s="325"/>
    </row>
    <row r="168" spans="1:25" x14ac:dyDescent="0.2">
      <c r="G168" s="322"/>
      <c r="J168" s="327"/>
      <c r="K168" s="327"/>
    </row>
    <row r="169" spans="1:25" x14ac:dyDescent="0.2">
      <c r="G169" s="322"/>
      <c r="H169" s="327"/>
      <c r="I169" s="327"/>
      <c r="J169" s="323"/>
      <c r="K169" s="323"/>
      <c r="L169" s="327"/>
      <c r="M169" s="327"/>
      <c r="N169" s="327"/>
      <c r="O169" s="327"/>
    </row>
    <row r="170" spans="1:25" x14ac:dyDescent="0.2">
      <c r="G170" s="322"/>
      <c r="H170" s="323"/>
      <c r="I170" s="323"/>
      <c r="L170" s="323"/>
      <c r="M170" s="323"/>
      <c r="N170" s="323"/>
      <c r="O170" s="323"/>
    </row>
    <row r="171" spans="1:25" x14ac:dyDescent="0.2">
      <c r="G171" s="322"/>
      <c r="J171" s="321"/>
      <c r="K171" s="321"/>
    </row>
    <row r="172" spans="1:25" x14ac:dyDescent="0.2">
      <c r="G172" s="322"/>
      <c r="H172" s="321"/>
      <c r="I172" s="321"/>
      <c r="J172" s="323"/>
      <c r="K172" s="323"/>
      <c r="L172" s="321"/>
      <c r="M172" s="321"/>
      <c r="N172" s="321"/>
      <c r="O172" s="321"/>
      <c r="P172" s="321"/>
      <c r="Q172" s="321"/>
      <c r="R172" s="321"/>
      <c r="S172" s="321"/>
      <c r="T172" s="321"/>
      <c r="U172" s="321"/>
      <c r="V172" s="321"/>
      <c r="W172" s="321"/>
      <c r="X172" s="321"/>
      <c r="Y172" s="321"/>
    </row>
    <row r="173" spans="1:25" x14ac:dyDescent="0.2">
      <c r="G173" s="322"/>
      <c r="H173" s="323"/>
      <c r="I173" s="323"/>
      <c r="L173" s="323"/>
      <c r="M173" s="323"/>
      <c r="N173" s="323"/>
      <c r="O173" s="323"/>
      <c r="P173" s="323"/>
      <c r="Q173" s="323"/>
      <c r="R173" s="323"/>
      <c r="S173" s="323"/>
      <c r="T173" s="323"/>
      <c r="U173" s="323"/>
      <c r="V173" s="323"/>
      <c r="W173" s="323"/>
      <c r="X173" s="323"/>
      <c r="Y173" s="323"/>
    </row>
    <row r="174" spans="1:25" x14ac:dyDescent="0.2">
      <c r="G174" s="322"/>
      <c r="P174" s="324"/>
      <c r="Q174" s="324"/>
      <c r="R174" s="324"/>
      <c r="S174" s="324"/>
      <c r="T174" s="324"/>
      <c r="U174" s="324"/>
      <c r="V174" s="324"/>
      <c r="W174" s="324"/>
      <c r="X174" s="324"/>
      <c r="Y174" s="324"/>
    </row>
    <row r="175" spans="1:25" x14ac:dyDescent="0.2">
      <c r="J175" s="321"/>
      <c r="K175" s="321"/>
    </row>
    <row r="176" spans="1:25" x14ac:dyDescent="0.2">
      <c r="H176" s="321"/>
      <c r="I176" s="321"/>
      <c r="J176" s="321"/>
      <c r="K176" s="321"/>
      <c r="L176" s="321"/>
      <c r="M176" s="321"/>
      <c r="N176" s="321"/>
      <c r="O176" s="321"/>
      <c r="P176" s="323"/>
      <c r="Q176" s="323"/>
      <c r="R176" s="323"/>
      <c r="S176" s="323"/>
      <c r="T176" s="323"/>
      <c r="U176" s="323"/>
      <c r="V176" s="323"/>
      <c r="W176" s="323"/>
      <c r="X176" s="323"/>
      <c r="Y176" s="323"/>
    </row>
    <row r="177" spans="7:25" x14ac:dyDescent="0.2">
      <c r="G177" s="322"/>
      <c r="H177" s="321"/>
      <c r="I177" s="321"/>
      <c r="J177" s="321"/>
      <c r="K177" s="321"/>
      <c r="L177" s="321"/>
      <c r="M177" s="321"/>
      <c r="N177" s="321"/>
      <c r="O177" s="321"/>
      <c r="P177" s="323"/>
      <c r="Q177" s="323"/>
      <c r="R177" s="323"/>
      <c r="S177" s="323"/>
      <c r="T177" s="323"/>
      <c r="U177" s="323"/>
      <c r="V177" s="323"/>
      <c r="W177" s="323"/>
      <c r="X177" s="323"/>
      <c r="Y177" s="323"/>
    </row>
    <row r="178" spans="7:25" x14ac:dyDescent="0.2">
      <c r="G178" s="322"/>
      <c r="H178" s="321"/>
      <c r="I178" s="321"/>
      <c r="J178" s="321"/>
      <c r="K178" s="321"/>
      <c r="L178" s="321"/>
      <c r="M178" s="321"/>
      <c r="N178" s="321"/>
      <c r="O178" s="321"/>
    </row>
    <row r="179" spans="7:25" x14ac:dyDescent="0.2">
      <c r="G179" s="322"/>
      <c r="H179" s="321"/>
      <c r="I179" s="321"/>
      <c r="L179" s="321"/>
      <c r="M179" s="321"/>
      <c r="N179" s="321"/>
      <c r="O179" s="321"/>
      <c r="P179" s="325"/>
      <c r="Q179" s="325"/>
      <c r="R179" s="325"/>
      <c r="S179" s="325"/>
      <c r="T179" s="325"/>
      <c r="U179" s="325"/>
      <c r="V179" s="325"/>
      <c r="W179" s="325"/>
      <c r="X179" s="325"/>
      <c r="Y179" s="325"/>
    </row>
    <row r="180" spans="7:25" x14ac:dyDescent="0.2">
      <c r="P180" s="324"/>
      <c r="Q180" s="324"/>
      <c r="R180" s="324"/>
      <c r="S180" s="324"/>
      <c r="T180" s="324"/>
      <c r="U180" s="324"/>
      <c r="V180" s="324"/>
      <c r="W180" s="324"/>
      <c r="X180" s="324"/>
      <c r="Y180" s="324"/>
    </row>
    <row r="182" spans="7:25" x14ac:dyDescent="0.2">
      <c r="P182" s="325"/>
      <c r="Q182" s="325"/>
      <c r="R182" s="325"/>
      <c r="S182" s="325"/>
      <c r="T182" s="325"/>
      <c r="U182" s="325"/>
      <c r="V182" s="325"/>
      <c r="W182" s="325"/>
      <c r="X182" s="325"/>
      <c r="Y182" s="325"/>
    </row>
    <row r="183" spans="7:25" x14ac:dyDescent="0.2">
      <c r="P183" s="323"/>
      <c r="Q183" s="323"/>
      <c r="R183" s="323"/>
      <c r="S183" s="323"/>
      <c r="T183" s="323"/>
      <c r="U183" s="323"/>
      <c r="V183" s="323"/>
      <c r="W183" s="323"/>
      <c r="X183" s="323"/>
      <c r="Y183" s="323"/>
    </row>
    <row r="185" spans="7:25" x14ac:dyDescent="0.2">
      <c r="P185" s="324"/>
      <c r="Q185" s="324"/>
      <c r="R185" s="324"/>
      <c r="S185" s="324"/>
      <c r="T185" s="324"/>
      <c r="U185" s="324"/>
      <c r="V185" s="324"/>
      <c r="W185" s="324"/>
      <c r="X185" s="324"/>
      <c r="Y185" s="324"/>
    </row>
    <row r="186" spans="7:25" x14ac:dyDescent="0.2">
      <c r="P186" s="325"/>
      <c r="Q186" s="325"/>
      <c r="R186" s="325"/>
      <c r="S186" s="325"/>
      <c r="T186" s="325"/>
      <c r="U186" s="325"/>
      <c r="V186" s="325"/>
      <c r="W186" s="325"/>
      <c r="X186" s="325"/>
      <c r="Y186" s="325"/>
    </row>
    <row r="188" spans="7:25" x14ac:dyDescent="0.2">
      <c r="P188" s="327"/>
      <c r="Q188" s="327"/>
      <c r="R188" s="327"/>
      <c r="S188" s="327"/>
      <c r="T188" s="327"/>
      <c r="U188" s="327"/>
      <c r="V188" s="327"/>
      <c r="W188" s="327"/>
      <c r="X188" s="327"/>
      <c r="Y188" s="327"/>
    </row>
    <row r="189" spans="7:25" x14ac:dyDescent="0.2">
      <c r="P189" s="323"/>
      <c r="Q189" s="323"/>
      <c r="R189" s="323"/>
      <c r="S189" s="323"/>
      <c r="T189" s="323"/>
      <c r="U189" s="323"/>
      <c r="V189" s="323"/>
      <c r="W189" s="323"/>
      <c r="X189" s="323"/>
      <c r="Y189" s="323"/>
    </row>
    <row r="191" spans="7:25" x14ac:dyDescent="0.2">
      <c r="P191" s="321"/>
      <c r="Q191" s="321"/>
      <c r="R191" s="321"/>
      <c r="S191" s="321"/>
      <c r="T191" s="321"/>
      <c r="U191" s="321"/>
      <c r="V191" s="321"/>
      <c r="W191" s="321"/>
      <c r="X191" s="321"/>
      <c r="Y191" s="321"/>
    </row>
    <row r="192" spans="7:25" x14ac:dyDescent="0.2">
      <c r="P192" s="323"/>
      <c r="Q192" s="323"/>
      <c r="R192" s="323"/>
      <c r="S192" s="323"/>
      <c r="T192" s="323"/>
      <c r="U192" s="323"/>
      <c r="V192" s="323"/>
      <c r="W192" s="323"/>
      <c r="X192" s="323"/>
      <c r="Y192" s="323"/>
    </row>
    <row r="195" spans="16:25" x14ac:dyDescent="0.2">
      <c r="P195" s="321"/>
      <c r="Q195" s="321"/>
      <c r="R195" s="321"/>
      <c r="S195" s="321"/>
      <c r="T195" s="321"/>
      <c r="U195" s="321"/>
      <c r="V195" s="321"/>
      <c r="W195" s="321"/>
      <c r="X195" s="321"/>
      <c r="Y195" s="321"/>
    </row>
    <row r="196" spans="16:25" x14ac:dyDescent="0.2">
      <c r="P196" s="321"/>
      <c r="Q196" s="321"/>
      <c r="R196" s="321"/>
      <c r="S196" s="321"/>
      <c r="T196" s="321"/>
      <c r="U196" s="321"/>
      <c r="V196" s="321"/>
      <c r="W196" s="321"/>
      <c r="X196" s="321"/>
      <c r="Y196" s="321"/>
    </row>
    <row r="197" spans="16:25" x14ac:dyDescent="0.2">
      <c r="P197" s="321"/>
      <c r="Q197" s="321"/>
      <c r="R197" s="321"/>
      <c r="S197" s="321"/>
      <c r="T197" s="321"/>
      <c r="U197" s="321"/>
      <c r="V197" s="321"/>
      <c r="W197" s="321"/>
      <c r="X197" s="321"/>
      <c r="Y197" s="321"/>
    </row>
    <row r="198" spans="16:25" x14ac:dyDescent="0.2">
      <c r="P198" s="321"/>
      <c r="Q198" s="321"/>
      <c r="R198" s="321"/>
      <c r="S198" s="321"/>
      <c r="T198" s="321"/>
      <c r="U198" s="321"/>
      <c r="V198" s="321"/>
      <c r="W198" s="321"/>
      <c r="X198" s="321"/>
      <c r="Y198" s="321"/>
    </row>
    <row r="212" spans="1:15" x14ac:dyDescent="0.2">
      <c r="J212" s="318"/>
      <c r="K212" s="318"/>
    </row>
    <row r="213" spans="1:15" x14ac:dyDescent="0.2">
      <c r="A213" s="316"/>
      <c r="B213" s="316"/>
      <c r="C213" s="316"/>
      <c r="D213" s="316"/>
      <c r="E213" s="316"/>
      <c r="F213" s="316"/>
      <c r="G213" s="318"/>
      <c r="H213" s="318"/>
      <c r="I213" s="318"/>
      <c r="L213" s="318"/>
      <c r="M213" s="318"/>
      <c r="N213" s="318"/>
      <c r="O213" s="318"/>
    </row>
    <row r="216" spans="1:15" x14ac:dyDescent="0.2">
      <c r="G216" s="317"/>
    </row>
    <row r="217" spans="1:15" x14ac:dyDescent="0.2">
      <c r="J217" s="330"/>
      <c r="K217" s="330"/>
    </row>
    <row r="218" spans="1:15" x14ac:dyDescent="0.2">
      <c r="G218" s="330"/>
      <c r="H218" s="330"/>
      <c r="I218" s="330"/>
      <c r="J218" s="321"/>
      <c r="K218" s="321"/>
    </row>
    <row r="219" spans="1:15" x14ac:dyDescent="0.2">
      <c r="G219" s="320"/>
      <c r="H219" s="321"/>
      <c r="I219" s="321"/>
      <c r="J219" s="323"/>
      <c r="K219" s="323"/>
      <c r="L219" s="321"/>
      <c r="M219" s="321"/>
      <c r="N219" s="321"/>
      <c r="O219" s="321"/>
    </row>
    <row r="220" spans="1:15" x14ac:dyDescent="0.2">
      <c r="G220" s="322"/>
      <c r="H220" s="323"/>
      <c r="I220" s="323"/>
      <c r="J220" s="324"/>
      <c r="K220" s="324"/>
      <c r="L220" s="323"/>
      <c r="M220" s="323"/>
      <c r="N220" s="323"/>
      <c r="O220" s="323"/>
    </row>
    <row r="221" spans="1:15" x14ac:dyDescent="0.2">
      <c r="G221" s="322"/>
      <c r="H221" s="324"/>
      <c r="I221" s="324"/>
      <c r="L221" s="324"/>
      <c r="M221" s="324"/>
      <c r="N221" s="324"/>
      <c r="O221" s="324"/>
    </row>
    <row r="222" spans="1:15" x14ac:dyDescent="0.2">
      <c r="G222" s="322"/>
      <c r="J222" s="323"/>
      <c r="K222" s="323"/>
    </row>
    <row r="223" spans="1:15" x14ac:dyDescent="0.2">
      <c r="G223" s="322"/>
      <c r="H223" s="323"/>
      <c r="I223" s="323"/>
      <c r="J223" s="323"/>
      <c r="K223" s="323"/>
      <c r="L223" s="323"/>
      <c r="M223" s="323"/>
      <c r="N223" s="323"/>
      <c r="O223" s="323"/>
    </row>
    <row r="224" spans="1:15" x14ac:dyDescent="0.2">
      <c r="G224" s="322"/>
      <c r="H224" s="323"/>
      <c r="I224" s="323"/>
      <c r="L224" s="323"/>
      <c r="M224" s="323"/>
      <c r="N224" s="323"/>
      <c r="O224" s="323"/>
    </row>
    <row r="225" spans="1:23" x14ac:dyDescent="0.2">
      <c r="G225" s="322"/>
      <c r="J225" s="325"/>
      <c r="K225" s="325"/>
    </row>
    <row r="226" spans="1:23" x14ac:dyDescent="0.2">
      <c r="G226" s="322"/>
      <c r="H226" s="325"/>
      <c r="I226" s="325"/>
      <c r="J226" s="324"/>
      <c r="K226" s="324"/>
      <c r="L226" s="325"/>
      <c r="M226" s="325"/>
      <c r="N226" s="325"/>
      <c r="O226" s="325"/>
    </row>
    <row r="227" spans="1:23" x14ac:dyDescent="0.2">
      <c r="G227" s="322"/>
      <c r="H227" s="324"/>
      <c r="I227" s="324"/>
      <c r="L227" s="324"/>
      <c r="M227" s="324"/>
      <c r="N227" s="324"/>
      <c r="O227" s="324"/>
    </row>
    <row r="228" spans="1:23" x14ac:dyDescent="0.2">
      <c r="G228" s="322"/>
      <c r="J228" s="325"/>
      <c r="K228" s="325"/>
    </row>
    <row r="229" spans="1:23" x14ac:dyDescent="0.2">
      <c r="G229" s="322"/>
      <c r="H229" s="325"/>
      <c r="I229" s="325"/>
      <c r="J229" s="323"/>
      <c r="K229" s="323"/>
      <c r="L229" s="325"/>
      <c r="M229" s="325"/>
      <c r="N229" s="325"/>
      <c r="O229" s="325"/>
    </row>
    <row r="230" spans="1:23" x14ac:dyDescent="0.2">
      <c r="G230" s="322"/>
      <c r="H230" s="323"/>
      <c r="I230" s="323"/>
      <c r="L230" s="323"/>
      <c r="M230" s="323"/>
      <c r="N230" s="323"/>
      <c r="O230" s="323"/>
    </row>
    <row r="231" spans="1:23" x14ac:dyDescent="0.2">
      <c r="G231" s="322"/>
      <c r="J231" s="324"/>
      <c r="K231" s="326"/>
    </row>
    <row r="232" spans="1:23" s="316" customFormat="1" x14ac:dyDescent="0.2">
      <c r="A232" s="192"/>
      <c r="B232" s="192"/>
      <c r="C232" s="192"/>
      <c r="D232" s="192"/>
      <c r="E232" s="192"/>
      <c r="F232" s="192"/>
      <c r="G232" s="322"/>
      <c r="H232" s="324"/>
      <c r="I232" s="326"/>
      <c r="J232" s="325"/>
      <c r="K232" s="325"/>
      <c r="L232" s="326"/>
      <c r="M232" s="326"/>
      <c r="N232" s="326"/>
      <c r="O232" s="326"/>
      <c r="P232" s="318"/>
      <c r="Q232" s="318"/>
      <c r="R232" s="318"/>
      <c r="S232" s="318"/>
      <c r="T232" s="318"/>
      <c r="U232" s="318"/>
      <c r="V232" s="318"/>
      <c r="W232" s="318"/>
    </row>
    <row r="233" spans="1:23" x14ac:dyDescent="0.2">
      <c r="G233" s="322"/>
      <c r="H233" s="325"/>
      <c r="I233" s="325"/>
      <c r="L233" s="325"/>
      <c r="M233" s="325"/>
      <c r="N233" s="325"/>
      <c r="O233" s="325"/>
    </row>
    <row r="234" spans="1:23" x14ac:dyDescent="0.2">
      <c r="G234" s="322"/>
      <c r="J234" s="327"/>
      <c r="K234" s="327"/>
    </row>
    <row r="235" spans="1:23" x14ac:dyDescent="0.2">
      <c r="G235" s="322"/>
      <c r="H235" s="327"/>
      <c r="I235" s="327"/>
      <c r="J235" s="323"/>
      <c r="K235" s="323"/>
      <c r="L235" s="327"/>
      <c r="M235" s="327"/>
      <c r="N235" s="327"/>
      <c r="O235" s="327"/>
    </row>
    <row r="236" spans="1:23" x14ac:dyDescent="0.2">
      <c r="G236" s="322"/>
      <c r="H236" s="323"/>
      <c r="I236" s="323"/>
      <c r="L236" s="323"/>
      <c r="M236" s="323"/>
      <c r="N236" s="323"/>
      <c r="O236" s="323"/>
    </row>
    <row r="237" spans="1:23" x14ac:dyDescent="0.2">
      <c r="G237" s="322"/>
      <c r="J237" s="321"/>
      <c r="K237" s="321"/>
    </row>
    <row r="238" spans="1:23" x14ac:dyDescent="0.2">
      <c r="G238" s="322"/>
      <c r="H238" s="321"/>
      <c r="I238" s="321"/>
      <c r="J238" s="323"/>
      <c r="K238" s="323"/>
      <c r="L238" s="321"/>
      <c r="M238" s="321"/>
      <c r="N238" s="321"/>
      <c r="O238" s="321"/>
      <c r="P238" s="321"/>
      <c r="Q238" s="321"/>
      <c r="R238" s="321"/>
      <c r="S238" s="321"/>
      <c r="T238" s="321"/>
      <c r="U238" s="321"/>
      <c r="V238" s="321"/>
      <c r="W238" s="321"/>
    </row>
    <row r="239" spans="1:23" x14ac:dyDescent="0.2">
      <c r="G239" s="322"/>
      <c r="H239" s="323"/>
      <c r="I239" s="323"/>
      <c r="L239" s="323"/>
      <c r="M239" s="323"/>
      <c r="N239" s="323"/>
      <c r="O239" s="323"/>
      <c r="P239" s="323"/>
      <c r="Q239" s="323"/>
      <c r="R239" s="323"/>
      <c r="S239" s="323"/>
      <c r="T239" s="323"/>
      <c r="U239" s="323"/>
      <c r="V239" s="323"/>
      <c r="W239" s="323"/>
    </row>
    <row r="240" spans="1:23" x14ac:dyDescent="0.2">
      <c r="G240" s="322"/>
      <c r="P240" s="324"/>
      <c r="Q240" s="324"/>
      <c r="R240" s="324"/>
      <c r="S240" s="324"/>
      <c r="T240" s="324"/>
      <c r="U240" s="324"/>
      <c r="V240" s="324"/>
      <c r="W240" s="324"/>
    </row>
    <row r="241" spans="7:23" x14ac:dyDescent="0.2">
      <c r="J241" s="321"/>
      <c r="K241" s="321"/>
    </row>
    <row r="242" spans="7:23" x14ac:dyDescent="0.2">
      <c r="H242" s="321"/>
      <c r="I242" s="321"/>
      <c r="J242" s="321"/>
      <c r="K242" s="321"/>
      <c r="L242" s="321"/>
      <c r="M242" s="321"/>
      <c r="N242" s="321"/>
      <c r="O242" s="321"/>
      <c r="P242" s="323"/>
      <c r="Q242" s="323"/>
      <c r="R242" s="323"/>
      <c r="S242" s="323"/>
      <c r="T242" s="323"/>
      <c r="U242" s="323"/>
      <c r="V242" s="323"/>
      <c r="W242" s="323"/>
    </row>
    <row r="243" spans="7:23" x14ac:dyDescent="0.2">
      <c r="G243" s="322"/>
      <c r="H243" s="321"/>
      <c r="I243" s="321"/>
      <c r="J243" s="321"/>
      <c r="K243" s="321"/>
      <c r="L243" s="321"/>
      <c r="M243" s="321"/>
      <c r="N243" s="321"/>
      <c r="O243" s="321"/>
      <c r="P243" s="323"/>
      <c r="Q243" s="323"/>
      <c r="R243" s="323"/>
      <c r="S243" s="323"/>
      <c r="T243" s="323"/>
      <c r="U243" s="323"/>
      <c r="V243" s="323"/>
      <c r="W243" s="323"/>
    </row>
    <row r="244" spans="7:23" x14ac:dyDescent="0.2">
      <c r="G244" s="322"/>
      <c r="H244" s="321"/>
      <c r="I244" s="321"/>
      <c r="J244" s="321"/>
      <c r="K244" s="321"/>
      <c r="L244" s="321"/>
      <c r="M244" s="321"/>
      <c r="N244" s="321"/>
      <c r="O244" s="321"/>
    </row>
    <row r="245" spans="7:23" x14ac:dyDescent="0.2">
      <c r="G245" s="322"/>
      <c r="H245" s="321"/>
      <c r="I245" s="321"/>
      <c r="L245" s="321"/>
      <c r="M245" s="321"/>
      <c r="N245" s="321"/>
      <c r="O245" s="321"/>
      <c r="P245" s="325"/>
      <c r="Q245" s="325"/>
      <c r="R245" s="325"/>
      <c r="S245" s="325"/>
      <c r="T245" s="325"/>
      <c r="U245" s="325"/>
      <c r="V245" s="325"/>
      <c r="W245" s="325"/>
    </row>
    <row r="246" spans="7:23" x14ac:dyDescent="0.2">
      <c r="P246" s="324"/>
      <c r="Q246" s="324"/>
      <c r="R246" s="324"/>
      <c r="S246" s="324"/>
      <c r="T246" s="324"/>
      <c r="U246" s="324"/>
      <c r="V246" s="324"/>
      <c r="W246" s="324"/>
    </row>
    <row r="248" spans="7:23" x14ac:dyDescent="0.2">
      <c r="P248" s="325"/>
      <c r="Q248" s="325"/>
      <c r="R248" s="325"/>
      <c r="S248" s="325"/>
      <c r="T248" s="325"/>
      <c r="U248" s="325"/>
      <c r="V248" s="325"/>
      <c r="W248" s="325"/>
    </row>
    <row r="249" spans="7:23" x14ac:dyDescent="0.2">
      <c r="P249" s="323"/>
      <c r="Q249" s="323"/>
      <c r="R249" s="323"/>
      <c r="S249" s="323"/>
      <c r="T249" s="323"/>
      <c r="U249" s="323"/>
      <c r="V249" s="323"/>
      <c r="W249" s="323"/>
    </row>
    <row r="251" spans="7:23" x14ac:dyDescent="0.2">
      <c r="P251" s="326"/>
      <c r="Q251" s="326"/>
      <c r="R251" s="326"/>
      <c r="S251" s="326"/>
      <c r="T251" s="326"/>
      <c r="U251" s="326"/>
      <c r="V251" s="326"/>
      <c r="W251" s="326"/>
    </row>
    <row r="252" spans="7:23" x14ac:dyDescent="0.2">
      <c r="P252" s="325"/>
      <c r="Q252" s="325"/>
      <c r="R252" s="325"/>
      <c r="S252" s="325"/>
      <c r="T252" s="325"/>
      <c r="U252" s="325"/>
      <c r="V252" s="325"/>
      <c r="W252" s="325"/>
    </row>
    <row r="254" spans="7:23" x14ac:dyDescent="0.2">
      <c r="P254" s="327"/>
      <c r="Q254" s="327"/>
      <c r="R254" s="327"/>
      <c r="S254" s="327"/>
      <c r="T254" s="327"/>
      <c r="U254" s="327"/>
      <c r="V254" s="327"/>
      <c r="W254" s="327"/>
    </row>
    <row r="255" spans="7:23" x14ac:dyDescent="0.2">
      <c r="P255" s="323"/>
      <c r="Q255" s="323"/>
      <c r="R255" s="323"/>
      <c r="S255" s="323"/>
      <c r="T255" s="323"/>
      <c r="U255" s="323"/>
      <c r="V255" s="323"/>
      <c r="W255" s="323"/>
    </row>
    <row r="257" spans="16:23" x14ac:dyDescent="0.2">
      <c r="P257" s="321"/>
      <c r="Q257" s="321"/>
      <c r="R257" s="321"/>
      <c r="S257" s="321"/>
      <c r="T257" s="321"/>
      <c r="U257" s="321"/>
      <c r="V257" s="321"/>
      <c r="W257" s="321"/>
    </row>
    <row r="258" spans="16:23" x14ac:dyDescent="0.2">
      <c r="P258" s="323"/>
      <c r="Q258" s="323"/>
      <c r="R258" s="323"/>
      <c r="S258" s="323"/>
      <c r="T258" s="323"/>
      <c r="U258" s="323"/>
      <c r="V258" s="323"/>
      <c r="W258" s="323"/>
    </row>
    <row r="261" spans="16:23" x14ac:dyDescent="0.2">
      <c r="P261" s="321"/>
      <c r="Q261" s="321"/>
      <c r="R261" s="321"/>
      <c r="S261" s="321"/>
      <c r="T261" s="321"/>
      <c r="U261" s="321"/>
      <c r="V261" s="321"/>
      <c r="W261" s="321"/>
    </row>
    <row r="262" spans="16:23" x14ac:dyDescent="0.2">
      <c r="P262" s="321"/>
      <c r="Q262" s="321"/>
      <c r="R262" s="321"/>
      <c r="S262" s="321"/>
      <c r="T262" s="321"/>
      <c r="U262" s="321"/>
      <c r="V262" s="321"/>
      <c r="W262" s="321"/>
    </row>
    <row r="263" spans="16:23" x14ac:dyDescent="0.2">
      <c r="P263" s="321"/>
      <c r="Q263" s="321"/>
      <c r="R263" s="321"/>
      <c r="S263" s="321"/>
      <c r="T263" s="321"/>
      <c r="U263" s="321"/>
      <c r="V263" s="321"/>
      <c r="W263" s="321"/>
    </row>
    <row r="264" spans="16:23" x14ac:dyDescent="0.2">
      <c r="P264" s="321"/>
      <c r="Q264" s="321"/>
      <c r="R264" s="321"/>
      <c r="S264" s="321"/>
      <c r="T264" s="321"/>
      <c r="U264" s="321"/>
      <c r="V264" s="321"/>
      <c r="W264" s="321"/>
    </row>
  </sheetData>
  <mergeCells count="100">
    <mergeCell ref="B6:C6"/>
    <mergeCell ref="D6:F6"/>
    <mergeCell ref="G6:H6"/>
    <mergeCell ref="I6:O6"/>
    <mergeCell ref="D2:J5"/>
    <mergeCell ref="M2:N2"/>
    <mergeCell ref="M3:N3"/>
    <mergeCell ref="M4:N4"/>
    <mergeCell ref="M5:N5"/>
    <mergeCell ref="B7:C7"/>
    <mergeCell ref="D7:F7"/>
    <mergeCell ref="G7:H7"/>
    <mergeCell ref="I7:O7"/>
    <mergeCell ref="B8:C8"/>
    <mergeCell ref="D8:F8"/>
    <mergeCell ref="G8:H8"/>
    <mergeCell ref="I8:O8"/>
    <mergeCell ref="B9:O9"/>
    <mergeCell ref="B11:K11"/>
    <mergeCell ref="L11:O11"/>
    <mergeCell ref="B12:E12"/>
    <mergeCell ref="F12:K12"/>
    <mergeCell ref="L12:O40"/>
    <mergeCell ref="B13:D13"/>
    <mergeCell ref="B14:D14"/>
    <mergeCell ref="B15:D15"/>
    <mergeCell ref="B16:D16"/>
    <mergeCell ref="B28:D28"/>
    <mergeCell ref="B17:D17"/>
    <mergeCell ref="B18:D18"/>
    <mergeCell ref="B19:D19"/>
    <mergeCell ref="B20:D20"/>
    <mergeCell ref="B21:D21"/>
    <mergeCell ref="B22:D22"/>
    <mergeCell ref="B23:D23"/>
    <mergeCell ref="B24:D24"/>
    <mergeCell ref="B25:D25"/>
    <mergeCell ref="B26:D26"/>
    <mergeCell ref="B27:D27"/>
    <mergeCell ref="B40:D40"/>
    <mergeCell ref="B29:D29"/>
    <mergeCell ref="B30:D30"/>
    <mergeCell ref="B31:D31"/>
    <mergeCell ref="B32:D32"/>
    <mergeCell ref="B33:D33"/>
    <mergeCell ref="B34:D34"/>
    <mergeCell ref="B35:D35"/>
    <mergeCell ref="B36:D36"/>
    <mergeCell ref="B37:D37"/>
    <mergeCell ref="B38:D38"/>
    <mergeCell ref="B39:D39"/>
    <mergeCell ref="B70:D70"/>
    <mergeCell ref="B58:K58"/>
    <mergeCell ref="L58:O58"/>
    <mergeCell ref="B59:E59"/>
    <mergeCell ref="F59:K59"/>
    <mergeCell ref="L59:O103"/>
    <mergeCell ref="B60:D60"/>
    <mergeCell ref="B61:D61"/>
    <mergeCell ref="B62:D62"/>
    <mergeCell ref="B63:D63"/>
    <mergeCell ref="B64:D64"/>
    <mergeCell ref="B65:D65"/>
    <mergeCell ref="B66:D66"/>
    <mergeCell ref="B67:D67"/>
    <mergeCell ref="B68:D68"/>
    <mergeCell ref="B69:D69"/>
    <mergeCell ref="B82:D82"/>
    <mergeCell ref="B71:D71"/>
    <mergeCell ref="B72:D72"/>
    <mergeCell ref="B73:D73"/>
    <mergeCell ref="B74:D74"/>
    <mergeCell ref="B75:D75"/>
    <mergeCell ref="B76:D76"/>
    <mergeCell ref="B77:D77"/>
    <mergeCell ref="B78:D78"/>
    <mergeCell ref="B79:D79"/>
    <mergeCell ref="B80:D80"/>
    <mergeCell ref="B81:D81"/>
    <mergeCell ref="B94:D94"/>
    <mergeCell ref="B83:D83"/>
    <mergeCell ref="B84:D84"/>
    <mergeCell ref="B85:D85"/>
    <mergeCell ref="B86:D86"/>
    <mergeCell ref="B87:D87"/>
    <mergeCell ref="B88:D88"/>
    <mergeCell ref="B89:D89"/>
    <mergeCell ref="B90:D90"/>
    <mergeCell ref="B91:D91"/>
    <mergeCell ref="B92:D92"/>
    <mergeCell ref="B93:D93"/>
    <mergeCell ref="B101:D101"/>
    <mergeCell ref="B102:D102"/>
    <mergeCell ref="B103:D103"/>
    <mergeCell ref="B95:D95"/>
    <mergeCell ref="B96:D96"/>
    <mergeCell ref="B97:D97"/>
    <mergeCell ref="B98:D98"/>
    <mergeCell ref="B99:D99"/>
    <mergeCell ref="B100:D100"/>
  </mergeCells>
  <conditionalFormatting sqref="B104:I105 B116:I116 B121:I121 B123:I123 J104:K104 J115:K115 J120:K120 J122:K122 P123:Z124 L104:O105 P135:Z135 L116:O116 P140:Z140 L121:O121 P142:Z142 L123:O123">
    <cfRule type="expression" dxfId="85" priority="34" stopIfTrue="1">
      <formula>#REF!=$T$21</formula>
    </cfRule>
  </conditionalFormatting>
  <conditionalFormatting sqref="B117:I117 B122:I122 B124:I124 J116:K116 J121:K121 J123:K123 P136:Z136 L117:O117 P141:Z141 L122:O122 P143:Z143 L124:O124">
    <cfRule type="expression" dxfId="84" priority="35" stopIfTrue="1">
      <formula>#REF!=$T$20</formula>
    </cfRule>
  </conditionalFormatting>
  <conditionalFormatting sqref="F96:F97">
    <cfRule type="expression" dxfId="83" priority="36" stopIfTrue="1">
      <formula>$F$61=$V$74</formula>
    </cfRule>
  </conditionalFormatting>
  <conditionalFormatting sqref="F29 F91 P110:Z110">
    <cfRule type="expression" dxfId="82" priority="37" stopIfTrue="1">
      <formula>#REF!=$T$21</formula>
    </cfRule>
  </conditionalFormatting>
  <conditionalFormatting sqref="F92 P111:Z111">
    <cfRule type="expression" dxfId="81" priority="38" stopIfTrue="1">
      <formula>#REF!=$T$20</formula>
    </cfRule>
  </conditionalFormatting>
  <conditionalFormatting sqref="F94:F95 F62:F63">
    <cfRule type="expression" dxfId="80" priority="39" stopIfTrue="1">
      <formula>$F$61=$V$75</formula>
    </cfRule>
  </conditionalFormatting>
  <conditionalFormatting sqref="G62:G63">
    <cfRule type="expression" dxfId="79" priority="40" stopIfTrue="1">
      <formula>$G$61=$V$75</formula>
    </cfRule>
  </conditionalFormatting>
  <conditionalFormatting sqref="H62:H63">
    <cfRule type="expression" dxfId="78" priority="41" stopIfTrue="1">
      <formula>$H$61=$V$75</formula>
    </cfRule>
  </conditionalFormatting>
  <conditionalFormatting sqref="I62:K63">
    <cfRule type="expression" dxfId="77" priority="42" stopIfTrue="1">
      <formula>$I$61=$V$75</formula>
    </cfRule>
  </conditionalFormatting>
  <conditionalFormatting sqref="F35:F36">
    <cfRule type="expression" dxfId="76" priority="43" stopIfTrue="1">
      <formula>$F$16=$V$20</formula>
    </cfRule>
  </conditionalFormatting>
  <conditionalFormatting sqref="F33:F34">
    <cfRule type="expression" dxfId="75" priority="44" stopIfTrue="1">
      <formula>$F$16=$V$21</formula>
    </cfRule>
  </conditionalFormatting>
  <conditionalFormatting sqref="F21">
    <cfRule type="expression" dxfId="74" priority="45" stopIfTrue="1">
      <formula>$F$16=$V$21</formula>
    </cfRule>
    <cfRule type="expression" dxfId="73" priority="46" stopIfTrue="1">
      <formula>$F$17=$Y$19</formula>
    </cfRule>
  </conditionalFormatting>
  <conditionalFormatting sqref="G29:K29">
    <cfRule type="expression" dxfId="72" priority="29" stopIfTrue="1">
      <formula>#REF!=$T$21</formula>
    </cfRule>
  </conditionalFormatting>
  <conditionalFormatting sqref="G35:K36">
    <cfRule type="expression" dxfId="71" priority="30" stopIfTrue="1">
      <formula>$F$16=$V$20</formula>
    </cfRule>
  </conditionalFormatting>
  <conditionalFormatting sqref="G33:K34">
    <cfRule type="expression" dxfId="70" priority="31" stopIfTrue="1">
      <formula>$F$16=$V$21</formula>
    </cfRule>
  </conditionalFormatting>
  <conditionalFormatting sqref="G21:K21">
    <cfRule type="expression" dxfId="69" priority="32" stopIfTrue="1">
      <formula>$F$16=$V$21</formula>
    </cfRule>
    <cfRule type="expression" dxfId="68" priority="33" stopIfTrue="1">
      <formula>$F$17=$Y$19</formula>
    </cfRule>
  </conditionalFormatting>
  <conditionalFormatting sqref="F73">
    <cfRule type="expression" dxfId="67" priority="25" stopIfTrue="1">
      <formula>$G$61=$V$75</formula>
    </cfRule>
    <cfRule type="expression" dxfId="66" priority="26" stopIfTrue="1">
      <formula>$G$62=$Y$73</formula>
    </cfRule>
  </conditionalFormatting>
  <conditionalFormatting sqref="F74">
    <cfRule type="expression" dxfId="65" priority="27" stopIfTrue="1">
      <formula>$G$61=$V$75</formula>
    </cfRule>
    <cfRule type="expression" dxfId="64" priority="28" stopIfTrue="1">
      <formula>$G$63=$Y$73</formula>
    </cfRule>
  </conditionalFormatting>
  <conditionalFormatting sqref="G96:G97">
    <cfRule type="expression" dxfId="63" priority="21" stopIfTrue="1">
      <formula>$F$61=$V$74</formula>
    </cfRule>
  </conditionalFormatting>
  <conditionalFormatting sqref="G91">
    <cfRule type="expression" dxfId="62" priority="22" stopIfTrue="1">
      <formula>#REF!=$T$21</formula>
    </cfRule>
  </conditionalFormatting>
  <conditionalFormatting sqref="G92">
    <cfRule type="expression" dxfId="61" priority="23" stopIfTrue="1">
      <formula>#REF!=$T$20</formula>
    </cfRule>
  </conditionalFormatting>
  <conditionalFormatting sqref="G94:G95">
    <cfRule type="expression" dxfId="60" priority="24" stopIfTrue="1">
      <formula>$F$61=$V$75</formula>
    </cfRule>
  </conditionalFormatting>
  <conditionalFormatting sqref="G73">
    <cfRule type="expression" dxfId="59" priority="17" stopIfTrue="1">
      <formula>$G$61=$V$75</formula>
    </cfRule>
    <cfRule type="expression" dxfId="58" priority="18" stopIfTrue="1">
      <formula>$G$62=$Y$73</formula>
    </cfRule>
  </conditionalFormatting>
  <conditionalFormatting sqref="G74">
    <cfRule type="expression" dxfId="57" priority="19" stopIfTrue="1">
      <formula>$G$61=$V$75</formula>
    </cfRule>
    <cfRule type="expression" dxfId="56" priority="20" stopIfTrue="1">
      <formula>$G$63=$Y$73</formula>
    </cfRule>
  </conditionalFormatting>
  <conditionalFormatting sqref="H96:H97">
    <cfRule type="expression" dxfId="55" priority="13" stopIfTrue="1">
      <formula>$F$61=$V$74</formula>
    </cfRule>
  </conditionalFormatting>
  <conditionalFormatting sqref="H91">
    <cfRule type="expression" dxfId="54" priority="14" stopIfTrue="1">
      <formula>#REF!=$T$21</formula>
    </cfRule>
  </conditionalFormatting>
  <conditionalFormatting sqref="H92">
    <cfRule type="expression" dxfId="53" priority="15" stopIfTrue="1">
      <formula>#REF!=$T$20</formula>
    </cfRule>
  </conditionalFormatting>
  <conditionalFormatting sqref="H94:H95">
    <cfRule type="expression" dxfId="52" priority="16" stopIfTrue="1">
      <formula>$F$61=$V$75</formula>
    </cfRule>
  </conditionalFormatting>
  <conditionalFormatting sqref="H73">
    <cfRule type="expression" dxfId="51" priority="9" stopIfTrue="1">
      <formula>$G$61=$V$75</formula>
    </cfRule>
    <cfRule type="expression" dxfId="50" priority="10" stopIfTrue="1">
      <formula>$G$62=$Y$73</formula>
    </cfRule>
  </conditionalFormatting>
  <conditionalFormatting sqref="H74">
    <cfRule type="expression" dxfId="49" priority="11" stopIfTrue="1">
      <formula>$G$61=$V$75</formula>
    </cfRule>
    <cfRule type="expression" dxfId="48" priority="12" stopIfTrue="1">
      <formula>$G$63=$Y$73</formula>
    </cfRule>
  </conditionalFormatting>
  <conditionalFormatting sqref="I96:K97">
    <cfRule type="expression" dxfId="47" priority="5" stopIfTrue="1">
      <formula>$F$61=$V$74</formula>
    </cfRule>
  </conditionalFormatting>
  <conditionalFormatting sqref="I91:K91">
    <cfRule type="expression" dxfId="46" priority="6" stopIfTrue="1">
      <formula>#REF!=$T$21</formula>
    </cfRule>
  </conditionalFormatting>
  <conditionalFormatting sqref="I92:K92">
    <cfRule type="expression" dxfId="45" priority="7" stopIfTrue="1">
      <formula>#REF!=$T$20</formula>
    </cfRule>
  </conditionalFormatting>
  <conditionalFormatting sqref="I94:K95">
    <cfRule type="expression" dxfId="44" priority="8" stopIfTrue="1">
      <formula>$F$61=$V$75</formula>
    </cfRule>
  </conditionalFormatting>
  <conditionalFormatting sqref="I73:K73">
    <cfRule type="expression" dxfId="43" priority="1" stopIfTrue="1">
      <formula>$G$61=$V$75</formula>
    </cfRule>
    <cfRule type="expression" dxfId="42" priority="2" stopIfTrue="1">
      <formula>$G$62=$Y$73</formula>
    </cfRule>
  </conditionalFormatting>
  <conditionalFormatting sqref="I74:K74">
    <cfRule type="expression" dxfId="41" priority="3" stopIfTrue="1">
      <formula>$G$61=$V$75</formula>
    </cfRule>
    <cfRule type="expression" dxfId="40" priority="4" stopIfTrue="1">
      <formula>$G$63=$Y$73</formula>
    </cfRule>
  </conditionalFormatting>
  <conditionalFormatting sqref="P115:IY116 B96:B97 E96:E97 B100:B101">
    <cfRule type="expression" dxfId="39" priority="47" stopIfTrue="1">
      <formula>#REF!=$T$74</formula>
    </cfRule>
  </conditionalFormatting>
  <conditionalFormatting sqref="B52:K52 AC124:AG124 AK124:AN124 AC126:AG126 AK118:AN118 AC120:AG120 AA118 AA120 AK111:AN111 AA107 AC112:AG112 CG78:IY78 AO78:AU78 CG66:IY67 AB66:AU67 P66:AA66 L51:O51">
    <cfRule type="expression" dxfId="38" priority="48" stopIfTrue="1">
      <formula>$B$51=$T$21</formula>
    </cfRule>
  </conditionalFormatting>
  <conditionalFormatting sqref="AC95:AG99 F55 AC74:AJ74 AA75 AB71:AN71 AA78 B53:E54 AK74:AN75 AC77:AG77 CG51:IY51 G53:K53 B56:K56 AC84:AG88 P51:AU51 P67:AA67 L52:O52 P70:AA70 L55:O55">
    <cfRule type="expression" dxfId="37" priority="49" stopIfTrue="1">
      <formula>#REF!=$T$20</formula>
    </cfRule>
  </conditionalFormatting>
  <conditionalFormatting sqref="AA74 AB72:AN73 AA76:AA77 AB70:AN70 E26">
    <cfRule type="expression" dxfId="36" priority="50" stopIfTrue="1">
      <formula>#REF!=$T$21</formula>
    </cfRule>
  </conditionalFormatting>
  <conditionalFormatting sqref="AK123:AN123 AC125:AG125 AK125:AN125 AC127:AG127 AK119:AN119 AC121:AG121 AA119 AA121 CG95:IY99 AO95:AU99 AO84:AU88 CG84:IY88">
    <cfRule type="expression" dxfId="35" priority="51" stopIfTrue="1">
      <formula>$B$51=$T$20</formula>
    </cfRule>
  </conditionalFormatting>
  <dataValidations count="3">
    <dataValidation type="list" allowBlank="1" showInputMessage="1" showErrorMessage="1" sqref="F104:I104 JB123:JE123 SX123:TA123 ACT123:ACW123 AMP123:AMS123 AWL123:AWO123 BGH123:BGK123 BQD123:BQG123 BZZ123:CAC123 CJV123:CJY123 CTR123:CTU123 DDN123:DDQ123 DNJ123:DNM123 DXF123:DXI123 EHB123:EHE123 EQX123:ERA123 FAT123:FAW123 FKP123:FKS123 FUL123:FUO123 GEH123:GEK123 GOD123:GOG123 GXZ123:GYC123 HHV123:HHY123 HRR123:HRU123 IBN123:IBQ123 ILJ123:ILM123 IVF123:IVI123 JFB123:JFE123 JOX123:JPA123 JYT123:JYW123 KIP123:KIS123 KSL123:KSO123 LCH123:LCK123 LMD123:LMG123 LVZ123:LWC123 MFV123:MFY123 MPR123:MPU123 MZN123:MZQ123 NJJ123:NJM123 NTF123:NTI123 ODB123:ODE123 OMX123:ONA123 OWT123:OWW123 PGP123:PGS123 PQL123:PQO123 QAH123:QAK123 QKD123:QKG123 QTZ123:QUC123 RDV123:RDY123 RNR123:RNU123 RXN123:RXQ123 SHJ123:SHM123 SRF123:SRI123 TBB123:TBE123 TKX123:TLA123 TUT123:TUW123 UEP123:UES123 UOL123:UOO123 UYH123:UYK123 VID123:VIG123 VRZ123:VSC123 WBV123:WBY123 WLR123:WLU123 WVN123:WVQ123 F65640:I65640 JB65659:JE65659 SX65659:TA65659 ACT65659:ACW65659 AMP65659:AMS65659 AWL65659:AWO65659 BGH65659:BGK65659 BQD65659:BQG65659 BZZ65659:CAC65659 CJV65659:CJY65659 CTR65659:CTU65659 DDN65659:DDQ65659 DNJ65659:DNM65659 DXF65659:DXI65659 EHB65659:EHE65659 EQX65659:ERA65659 FAT65659:FAW65659 FKP65659:FKS65659 FUL65659:FUO65659 GEH65659:GEK65659 GOD65659:GOG65659 GXZ65659:GYC65659 HHV65659:HHY65659 HRR65659:HRU65659 IBN65659:IBQ65659 ILJ65659:ILM65659 IVF65659:IVI65659 JFB65659:JFE65659 JOX65659:JPA65659 JYT65659:JYW65659 KIP65659:KIS65659 KSL65659:KSO65659 LCH65659:LCK65659 LMD65659:LMG65659 LVZ65659:LWC65659 MFV65659:MFY65659 MPR65659:MPU65659 MZN65659:MZQ65659 NJJ65659:NJM65659 NTF65659:NTI65659 ODB65659:ODE65659 OMX65659:ONA65659 OWT65659:OWW65659 PGP65659:PGS65659 PQL65659:PQO65659 QAH65659:QAK65659 QKD65659:QKG65659 QTZ65659:QUC65659 RDV65659:RDY65659 RNR65659:RNU65659 RXN65659:RXQ65659 SHJ65659:SHM65659 SRF65659:SRI65659 TBB65659:TBE65659 TKX65659:TLA65659 TUT65659:TUW65659 UEP65659:UES65659 UOL65659:UOO65659 UYH65659:UYK65659 VID65659:VIG65659 VRZ65659:VSC65659 WBV65659:WBY65659 WLR65659:WLU65659 WVN65659:WVQ65659 F131176:I131176 JB131195:JE131195 SX131195:TA131195 ACT131195:ACW131195 AMP131195:AMS131195 AWL131195:AWO131195 BGH131195:BGK131195 BQD131195:BQG131195 BZZ131195:CAC131195 CJV131195:CJY131195 CTR131195:CTU131195 DDN131195:DDQ131195 DNJ131195:DNM131195 DXF131195:DXI131195 EHB131195:EHE131195 EQX131195:ERA131195 FAT131195:FAW131195 FKP131195:FKS131195 FUL131195:FUO131195 GEH131195:GEK131195 GOD131195:GOG131195 GXZ131195:GYC131195 HHV131195:HHY131195 HRR131195:HRU131195 IBN131195:IBQ131195 ILJ131195:ILM131195 IVF131195:IVI131195 JFB131195:JFE131195 JOX131195:JPA131195 JYT131195:JYW131195 KIP131195:KIS131195 KSL131195:KSO131195 LCH131195:LCK131195 LMD131195:LMG131195 LVZ131195:LWC131195 MFV131195:MFY131195 MPR131195:MPU131195 MZN131195:MZQ131195 NJJ131195:NJM131195 NTF131195:NTI131195 ODB131195:ODE131195 OMX131195:ONA131195 OWT131195:OWW131195 PGP131195:PGS131195 PQL131195:PQO131195 QAH131195:QAK131195 QKD131195:QKG131195 QTZ131195:QUC131195 RDV131195:RDY131195 RNR131195:RNU131195 RXN131195:RXQ131195 SHJ131195:SHM131195 SRF131195:SRI131195 TBB131195:TBE131195 TKX131195:TLA131195 TUT131195:TUW131195 UEP131195:UES131195 UOL131195:UOO131195 UYH131195:UYK131195 VID131195:VIG131195 VRZ131195:VSC131195 WBV131195:WBY131195 WLR131195:WLU131195 WVN131195:WVQ131195 F196712:I196712 JB196731:JE196731 SX196731:TA196731 ACT196731:ACW196731 AMP196731:AMS196731 AWL196731:AWO196731 BGH196731:BGK196731 BQD196731:BQG196731 BZZ196731:CAC196731 CJV196731:CJY196731 CTR196731:CTU196731 DDN196731:DDQ196731 DNJ196731:DNM196731 DXF196731:DXI196731 EHB196731:EHE196731 EQX196731:ERA196731 FAT196731:FAW196731 FKP196731:FKS196731 FUL196731:FUO196731 GEH196731:GEK196731 GOD196731:GOG196731 GXZ196731:GYC196731 HHV196731:HHY196731 HRR196731:HRU196731 IBN196731:IBQ196731 ILJ196731:ILM196731 IVF196731:IVI196731 JFB196731:JFE196731 JOX196731:JPA196731 JYT196731:JYW196731 KIP196731:KIS196731 KSL196731:KSO196731 LCH196731:LCK196731 LMD196731:LMG196731 LVZ196731:LWC196731 MFV196731:MFY196731 MPR196731:MPU196731 MZN196731:MZQ196731 NJJ196731:NJM196731 NTF196731:NTI196731 ODB196731:ODE196731 OMX196731:ONA196731 OWT196731:OWW196731 PGP196731:PGS196731 PQL196731:PQO196731 QAH196731:QAK196731 QKD196731:QKG196731 QTZ196731:QUC196731 RDV196731:RDY196731 RNR196731:RNU196731 RXN196731:RXQ196731 SHJ196731:SHM196731 SRF196731:SRI196731 TBB196731:TBE196731 TKX196731:TLA196731 TUT196731:TUW196731 UEP196731:UES196731 UOL196731:UOO196731 UYH196731:UYK196731 VID196731:VIG196731 VRZ196731:VSC196731 WBV196731:WBY196731 WLR196731:WLU196731 WVN196731:WVQ196731 F262248:I262248 JB262267:JE262267 SX262267:TA262267 ACT262267:ACW262267 AMP262267:AMS262267 AWL262267:AWO262267 BGH262267:BGK262267 BQD262267:BQG262267 BZZ262267:CAC262267 CJV262267:CJY262267 CTR262267:CTU262267 DDN262267:DDQ262267 DNJ262267:DNM262267 DXF262267:DXI262267 EHB262267:EHE262267 EQX262267:ERA262267 FAT262267:FAW262267 FKP262267:FKS262267 FUL262267:FUO262267 GEH262267:GEK262267 GOD262267:GOG262267 GXZ262267:GYC262267 HHV262267:HHY262267 HRR262267:HRU262267 IBN262267:IBQ262267 ILJ262267:ILM262267 IVF262267:IVI262267 JFB262267:JFE262267 JOX262267:JPA262267 JYT262267:JYW262267 KIP262267:KIS262267 KSL262267:KSO262267 LCH262267:LCK262267 LMD262267:LMG262267 LVZ262267:LWC262267 MFV262267:MFY262267 MPR262267:MPU262267 MZN262267:MZQ262267 NJJ262267:NJM262267 NTF262267:NTI262267 ODB262267:ODE262267 OMX262267:ONA262267 OWT262267:OWW262267 PGP262267:PGS262267 PQL262267:PQO262267 QAH262267:QAK262267 QKD262267:QKG262267 QTZ262267:QUC262267 RDV262267:RDY262267 RNR262267:RNU262267 RXN262267:RXQ262267 SHJ262267:SHM262267 SRF262267:SRI262267 TBB262267:TBE262267 TKX262267:TLA262267 TUT262267:TUW262267 UEP262267:UES262267 UOL262267:UOO262267 UYH262267:UYK262267 VID262267:VIG262267 VRZ262267:VSC262267 WBV262267:WBY262267 WLR262267:WLU262267 WVN262267:WVQ262267 F327784:I327784 JB327803:JE327803 SX327803:TA327803 ACT327803:ACW327803 AMP327803:AMS327803 AWL327803:AWO327803 BGH327803:BGK327803 BQD327803:BQG327803 BZZ327803:CAC327803 CJV327803:CJY327803 CTR327803:CTU327803 DDN327803:DDQ327803 DNJ327803:DNM327803 DXF327803:DXI327803 EHB327803:EHE327803 EQX327803:ERA327803 FAT327803:FAW327803 FKP327803:FKS327803 FUL327803:FUO327803 GEH327803:GEK327803 GOD327803:GOG327803 GXZ327803:GYC327803 HHV327803:HHY327803 HRR327803:HRU327803 IBN327803:IBQ327803 ILJ327803:ILM327803 IVF327803:IVI327803 JFB327803:JFE327803 JOX327803:JPA327803 JYT327803:JYW327803 KIP327803:KIS327803 KSL327803:KSO327803 LCH327803:LCK327803 LMD327803:LMG327803 LVZ327803:LWC327803 MFV327803:MFY327803 MPR327803:MPU327803 MZN327803:MZQ327803 NJJ327803:NJM327803 NTF327803:NTI327803 ODB327803:ODE327803 OMX327803:ONA327803 OWT327803:OWW327803 PGP327803:PGS327803 PQL327803:PQO327803 QAH327803:QAK327803 QKD327803:QKG327803 QTZ327803:QUC327803 RDV327803:RDY327803 RNR327803:RNU327803 RXN327803:RXQ327803 SHJ327803:SHM327803 SRF327803:SRI327803 TBB327803:TBE327803 TKX327803:TLA327803 TUT327803:TUW327803 UEP327803:UES327803 UOL327803:UOO327803 UYH327803:UYK327803 VID327803:VIG327803 VRZ327803:VSC327803 WBV327803:WBY327803 WLR327803:WLU327803 WVN327803:WVQ327803 F393320:I393320 JB393339:JE393339 SX393339:TA393339 ACT393339:ACW393339 AMP393339:AMS393339 AWL393339:AWO393339 BGH393339:BGK393339 BQD393339:BQG393339 BZZ393339:CAC393339 CJV393339:CJY393339 CTR393339:CTU393339 DDN393339:DDQ393339 DNJ393339:DNM393339 DXF393339:DXI393339 EHB393339:EHE393339 EQX393339:ERA393339 FAT393339:FAW393339 FKP393339:FKS393339 FUL393339:FUO393339 GEH393339:GEK393339 GOD393339:GOG393339 GXZ393339:GYC393339 HHV393339:HHY393339 HRR393339:HRU393339 IBN393339:IBQ393339 ILJ393339:ILM393339 IVF393339:IVI393339 JFB393339:JFE393339 JOX393339:JPA393339 JYT393339:JYW393339 KIP393339:KIS393339 KSL393339:KSO393339 LCH393339:LCK393339 LMD393339:LMG393339 LVZ393339:LWC393339 MFV393339:MFY393339 MPR393339:MPU393339 MZN393339:MZQ393339 NJJ393339:NJM393339 NTF393339:NTI393339 ODB393339:ODE393339 OMX393339:ONA393339 OWT393339:OWW393339 PGP393339:PGS393339 PQL393339:PQO393339 QAH393339:QAK393339 QKD393339:QKG393339 QTZ393339:QUC393339 RDV393339:RDY393339 RNR393339:RNU393339 RXN393339:RXQ393339 SHJ393339:SHM393339 SRF393339:SRI393339 TBB393339:TBE393339 TKX393339:TLA393339 TUT393339:TUW393339 UEP393339:UES393339 UOL393339:UOO393339 UYH393339:UYK393339 VID393339:VIG393339 VRZ393339:VSC393339 WBV393339:WBY393339 WLR393339:WLU393339 WVN393339:WVQ393339 F458856:I458856 JB458875:JE458875 SX458875:TA458875 ACT458875:ACW458875 AMP458875:AMS458875 AWL458875:AWO458875 BGH458875:BGK458875 BQD458875:BQG458875 BZZ458875:CAC458875 CJV458875:CJY458875 CTR458875:CTU458875 DDN458875:DDQ458875 DNJ458875:DNM458875 DXF458875:DXI458875 EHB458875:EHE458875 EQX458875:ERA458875 FAT458875:FAW458875 FKP458875:FKS458875 FUL458875:FUO458875 GEH458875:GEK458875 GOD458875:GOG458875 GXZ458875:GYC458875 HHV458875:HHY458875 HRR458875:HRU458875 IBN458875:IBQ458875 ILJ458875:ILM458875 IVF458875:IVI458875 JFB458875:JFE458875 JOX458875:JPA458875 JYT458875:JYW458875 KIP458875:KIS458875 KSL458875:KSO458875 LCH458875:LCK458875 LMD458875:LMG458875 LVZ458875:LWC458875 MFV458875:MFY458875 MPR458875:MPU458875 MZN458875:MZQ458875 NJJ458875:NJM458875 NTF458875:NTI458875 ODB458875:ODE458875 OMX458875:ONA458875 OWT458875:OWW458875 PGP458875:PGS458875 PQL458875:PQO458875 QAH458875:QAK458875 QKD458875:QKG458875 QTZ458875:QUC458875 RDV458875:RDY458875 RNR458875:RNU458875 RXN458875:RXQ458875 SHJ458875:SHM458875 SRF458875:SRI458875 TBB458875:TBE458875 TKX458875:TLA458875 TUT458875:TUW458875 UEP458875:UES458875 UOL458875:UOO458875 UYH458875:UYK458875 VID458875:VIG458875 VRZ458875:VSC458875 WBV458875:WBY458875 WLR458875:WLU458875 WVN458875:WVQ458875 F524392:I524392 JB524411:JE524411 SX524411:TA524411 ACT524411:ACW524411 AMP524411:AMS524411 AWL524411:AWO524411 BGH524411:BGK524411 BQD524411:BQG524411 BZZ524411:CAC524411 CJV524411:CJY524411 CTR524411:CTU524411 DDN524411:DDQ524411 DNJ524411:DNM524411 DXF524411:DXI524411 EHB524411:EHE524411 EQX524411:ERA524411 FAT524411:FAW524411 FKP524411:FKS524411 FUL524411:FUO524411 GEH524411:GEK524411 GOD524411:GOG524411 GXZ524411:GYC524411 HHV524411:HHY524411 HRR524411:HRU524411 IBN524411:IBQ524411 ILJ524411:ILM524411 IVF524411:IVI524411 JFB524411:JFE524411 JOX524411:JPA524411 JYT524411:JYW524411 KIP524411:KIS524411 KSL524411:KSO524411 LCH524411:LCK524411 LMD524411:LMG524411 LVZ524411:LWC524411 MFV524411:MFY524411 MPR524411:MPU524411 MZN524411:MZQ524411 NJJ524411:NJM524411 NTF524411:NTI524411 ODB524411:ODE524411 OMX524411:ONA524411 OWT524411:OWW524411 PGP524411:PGS524411 PQL524411:PQO524411 QAH524411:QAK524411 QKD524411:QKG524411 QTZ524411:QUC524411 RDV524411:RDY524411 RNR524411:RNU524411 RXN524411:RXQ524411 SHJ524411:SHM524411 SRF524411:SRI524411 TBB524411:TBE524411 TKX524411:TLA524411 TUT524411:TUW524411 UEP524411:UES524411 UOL524411:UOO524411 UYH524411:UYK524411 VID524411:VIG524411 VRZ524411:VSC524411 WBV524411:WBY524411 WLR524411:WLU524411 WVN524411:WVQ524411 F589928:I589928 JB589947:JE589947 SX589947:TA589947 ACT589947:ACW589947 AMP589947:AMS589947 AWL589947:AWO589947 BGH589947:BGK589947 BQD589947:BQG589947 BZZ589947:CAC589947 CJV589947:CJY589947 CTR589947:CTU589947 DDN589947:DDQ589947 DNJ589947:DNM589947 DXF589947:DXI589947 EHB589947:EHE589947 EQX589947:ERA589947 FAT589947:FAW589947 FKP589947:FKS589947 FUL589947:FUO589947 GEH589947:GEK589947 GOD589947:GOG589947 GXZ589947:GYC589947 HHV589947:HHY589947 HRR589947:HRU589947 IBN589947:IBQ589947 ILJ589947:ILM589947 IVF589947:IVI589947 JFB589947:JFE589947 JOX589947:JPA589947 JYT589947:JYW589947 KIP589947:KIS589947 KSL589947:KSO589947 LCH589947:LCK589947 LMD589947:LMG589947 LVZ589947:LWC589947 MFV589947:MFY589947 MPR589947:MPU589947 MZN589947:MZQ589947 NJJ589947:NJM589947 NTF589947:NTI589947 ODB589947:ODE589947 OMX589947:ONA589947 OWT589947:OWW589947 PGP589947:PGS589947 PQL589947:PQO589947 QAH589947:QAK589947 QKD589947:QKG589947 QTZ589947:QUC589947 RDV589947:RDY589947 RNR589947:RNU589947 RXN589947:RXQ589947 SHJ589947:SHM589947 SRF589947:SRI589947 TBB589947:TBE589947 TKX589947:TLA589947 TUT589947:TUW589947 UEP589947:UES589947 UOL589947:UOO589947 UYH589947:UYK589947 VID589947:VIG589947 VRZ589947:VSC589947 WBV589947:WBY589947 WLR589947:WLU589947 WVN589947:WVQ589947 F655464:I655464 JB655483:JE655483 SX655483:TA655483 ACT655483:ACW655483 AMP655483:AMS655483 AWL655483:AWO655483 BGH655483:BGK655483 BQD655483:BQG655483 BZZ655483:CAC655483 CJV655483:CJY655483 CTR655483:CTU655483 DDN655483:DDQ655483 DNJ655483:DNM655483 DXF655483:DXI655483 EHB655483:EHE655483 EQX655483:ERA655483 FAT655483:FAW655483 FKP655483:FKS655483 FUL655483:FUO655483 GEH655483:GEK655483 GOD655483:GOG655483 GXZ655483:GYC655483 HHV655483:HHY655483 HRR655483:HRU655483 IBN655483:IBQ655483 ILJ655483:ILM655483 IVF655483:IVI655483 JFB655483:JFE655483 JOX655483:JPA655483 JYT655483:JYW655483 KIP655483:KIS655483 KSL655483:KSO655483 LCH655483:LCK655483 LMD655483:LMG655483 LVZ655483:LWC655483 MFV655483:MFY655483 MPR655483:MPU655483 MZN655483:MZQ655483 NJJ655483:NJM655483 NTF655483:NTI655483 ODB655483:ODE655483 OMX655483:ONA655483 OWT655483:OWW655483 PGP655483:PGS655483 PQL655483:PQO655483 QAH655483:QAK655483 QKD655483:QKG655483 QTZ655483:QUC655483 RDV655483:RDY655483 RNR655483:RNU655483 RXN655483:RXQ655483 SHJ655483:SHM655483 SRF655483:SRI655483 TBB655483:TBE655483 TKX655483:TLA655483 TUT655483:TUW655483 UEP655483:UES655483 UOL655483:UOO655483 UYH655483:UYK655483 VID655483:VIG655483 VRZ655483:VSC655483 WBV655483:WBY655483 WLR655483:WLU655483 WVN655483:WVQ655483 F721000:I721000 JB721019:JE721019 SX721019:TA721019 ACT721019:ACW721019 AMP721019:AMS721019 AWL721019:AWO721019 BGH721019:BGK721019 BQD721019:BQG721019 BZZ721019:CAC721019 CJV721019:CJY721019 CTR721019:CTU721019 DDN721019:DDQ721019 DNJ721019:DNM721019 DXF721019:DXI721019 EHB721019:EHE721019 EQX721019:ERA721019 FAT721019:FAW721019 FKP721019:FKS721019 FUL721019:FUO721019 GEH721019:GEK721019 GOD721019:GOG721019 GXZ721019:GYC721019 HHV721019:HHY721019 HRR721019:HRU721019 IBN721019:IBQ721019 ILJ721019:ILM721019 IVF721019:IVI721019 JFB721019:JFE721019 JOX721019:JPA721019 JYT721019:JYW721019 KIP721019:KIS721019 KSL721019:KSO721019 LCH721019:LCK721019 LMD721019:LMG721019 LVZ721019:LWC721019 MFV721019:MFY721019 MPR721019:MPU721019 MZN721019:MZQ721019 NJJ721019:NJM721019 NTF721019:NTI721019 ODB721019:ODE721019 OMX721019:ONA721019 OWT721019:OWW721019 PGP721019:PGS721019 PQL721019:PQO721019 QAH721019:QAK721019 QKD721019:QKG721019 QTZ721019:QUC721019 RDV721019:RDY721019 RNR721019:RNU721019 RXN721019:RXQ721019 SHJ721019:SHM721019 SRF721019:SRI721019 TBB721019:TBE721019 TKX721019:TLA721019 TUT721019:TUW721019 UEP721019:UES721019 UOL721019:UOO721019 UYH721019:UYK721019 VID721019:VIG721019 VRZ721019:VSC721019 WBV721019:WBY721019 WLR721019:WLU721019 WVN721019:WVQ721019 F786536:I786536 JB786555:JE786555 SX786555:TA786555 ACT786555:ACW786555 AMP786555:AMS786555 AWL786555:AWO786555 BGH786555:BGK786555 BQD786555:BQG786555 BZZ786555:CAC786555 CJV786555:CJY786555 CTR786555:CTU786555 DDN786555:DDQ786555 DNJ786555:DNM786555 DXF786555:DXI786555 EHB786555:EHE786555 EQX786555:ERA786555 FAT786555:FAW786555 FKP786555:FKS786555 FUL786555:FUO786555 GEH786555:GEK786555 GOD786555:GOG786555 GXZ786555:GYC786555 HHV786555:HHY786555 HRR786555:HRU786555 IBN786555:IBQ786555 ILJ786555:ILM786555 IVF786555:IVI786555 JFB786555:JFE786555 JOX786555:JPA786555 JYT786555:JYW786555 KIP786555:KIS786555 KSL786555:KSO786555 LCH786555:LCK786555 LMD786555:LMG786555 LVZ786555:LWC786555 MFV786555:MFY786555 MPR786555:MPU786555 MZN786555:MZQ786555 NJJ786555:NJM786555 NTF786555:NTI786555 ODB786555:ODE786555 OMX786555:ONA786555 OWT786555:OWW786555 PGP786555:PGS786555 PQL786555:PQO786555 QAH786555:QAK786555 QKD786555:QKG786555 QTZ786555:QUC786555 RDV786555:RDY786555 RNR786555:RNU786555 RXN786555:RXQ786555 SHJ786555:SHM786555 SRF786555:SRI786555 TBB786555:TBE786555 TKX786555:TLA786555 TUT786555:TUW786555 UEP786555:UES786555 UOL786555:UOO786555 UYH786555:UYK786555 VID786555:VIG786555 VRZ786555:VSC786555 WBV786555:WBY786555 WLR786555:WLU786555 WVN786555:WVQ786555 F852072:I852072 JB852091:JE852091 SX852091:TA852091 ACT852091:ACW852091 AMP852091:AMS852091 AWL852091:AWO852091 BGH852091:BGK852091 BQD852091:BQG852091 BZZ852091:CAC852091 CJV852091:CJY852091 CTR852091:CTU852091 DDN852091:DDQ852091 DNJ852091:DNM852091 DXF852091:DXI852091 EHB852091:EHE852091 EQX852091:ERA852091 FAT852091:FAW852091 FKP852091:FKS852091 FUL852091:FUO852091 GEH852091:GEK852091 GOD852091:GOG852091 GXZ852091:GYC852091 HHV852091:HHY852091 HRR852091:HRU852091 IBN852091:IBQ852091 ILJ852091:ILM852091 IVF852091:IVI852091 JFB852091:JFE852091 JOX852091:JPA852091 JYT852091:JYW852091 KIP852091:KIS852091 KSL852091:KSO852091 LCH852091:LCK852091 LMD852091:LMG852091 LVZ852091:LWC852091 MFV852091:MFY852091 MPR852091:MPU852091 MZN852091:MZQ852091 NJJ852091:NJM852091 NTF852091:NTI852091 ODB852091:ODE852091 OMX852091:ONA852091 OWT852091:OWW852091 PGP852091:PGS852091 PQL852091:PQO852091 QAH852091:QAK852091 QKD852091:QKG852091 QTZ852091:QUC852091 RDV852091:RDY852091 RNR852091:RNU852091 RXN852091:RXQ852091 SHJ852091:SHM852091 SRF852091:SRI852091 TBB852091:TBE852091 TKX852091:TLA852091 TUT852091:TUW852091 UEP852091:UES852091 UOL852091:UOO852091 UYH852091:UYK852091 VID852091:VIG852091 VRZ852091:VSC852091 WBV852091:WBY852091 WLR852091:WLU852091 WVN852091:WVQ852091 F917608:I917608 JB917627:JE917627 SX917627:TA917627 ACT917627:ACW917627 AMP917627:AMS917627 AWL917627:AWO917627 BGH917627:BGK917627 BQD917627:BQG917627 BZZ917627:CAC917627 CJV917627:CJY917627 CTR917627:CTU917627 DDN917627:DDQ917627 DNJ917627:DNM917627 DXF917627:DXI917627 EHB917627:EHE917627 EQX917627:ERA917627 FAT917627:FAW917627 FKP917627:FKS917627 FUL917627:FUO917627 GEH917627:GEK917627 GOD917627:GOG917627 GXZ917627:GYC917627 HHV917627:HHY917627 HRR917627:HRU917627 IBN917627:IBQ917627 ILJ917627:ILM917627 IVF917627:IVI917627 JFB917627:JFE917627 JOX917627:JPA917627 JYT917627:JYW917627 KIP917627:KIS917627 KSL917627:KSO917627 LCH917627:LCK917627 LMD917627:LMG917627 LVZ917627:LWC917627 MFV917627:MFY917627 MPR917627:MPU917627 MZN917627:MZQ917627 NJJ917627:NJM917627 NTF917627:NTI917627 ODB917627:ODE917627 OMX917627:ONA917627 OWT917627:OWW917627 PGP917627:PGS917627 PQL917627:PQO917627 QAH917627:QAK917627 QKD917627:QKG917627 QTZ917627:QUC917627 RDV917627:RDY917627 RNR917627:RNU917627 RXN917627:RXQ917627 SHJ917627:SHM917627 SRF917627:SRI917627 TBB917627:TBE917627 TKX917627:TLA917627 TUT917627:TUW917627 UEP917627:UES917627 UOL917627:UOO917627 UYH917627:UYK917627 VID917627:VIG917627 VRZ917627:VSC917627 WBV917627:WBY917627 WLR917627:WLU917627 WVN917627:WVQ917627 F983144:I983144 JB983163:JE983163 SX983163:TA983163 ACT983163:ACW983163 AMP983163:AMS983163 AWL983163:AWO983163 BGH983163:BGK983163 BQD983163:BQG983163 BZZ983163:CAC983163 CJV983163:CJY983163 CTR983163:CTU983163 DDN983163:DDQ983163 DNJ983163:DNM983163 DXF983163:DXI983163 EHB983163:EHE983163 EQX983163:ERA983163 FAT983163:FAW983163 FKP983163:FKS983163 FUL983163:FUO983163 GEH983163:GEK983163 GOD983163:GOG983163 GXZ983163:GYC983163 HHV983163:HHY983163 HRR983163:HRU983163 IBN983163:IBQ983163 ILJ983163:ILM983163 IVF983163:IVI983163 JFB983163:JFE983163 JOX983163:JPA983163 JYT983163:JYW983163 KIP983163:KIS983163 KSL983163:KSO983163 LCH983163:LCK983163 LMD983163:LMG983163 LVZ983163:LWC983163 MFV983163:MFY983163 MPR983163:MPU983163 MZN983163:MZQ983163 NJJ983163:NJM983163 NTF983163:NTI983163 ODB983163:ODE983163 OMX983163:ONA983163 OWT983163:OWW983163 PGP983163:PGS983163 PQL983163:PQO983163 QAH983163:QAK983163 QKD983163:QKG983163 QTZ983163:QUC983163 RDV983163:RDY983163 RNR983163:RNU983163 RXN983163:RXQ983163 SHJ983163:SHM983163 SRF983163:SRI983163 TBB983163:TBE983163 TKX983163:TLA983163 TUT983163:TUW983163 UEP983163:UES983163 UOL983163:UOO983163 UYH983163:UYK983163 VID983163:VIG983163 VRZ983163:VSC983163 WBV983163:WBY983163 WLR983163:WLU983163 WVN983163:WVQ983163 JB81:JE82 SX81:TA82 ACT81:ACW82 AMP81:AMS82 AWL81:AWO82 BGH81:BGK82 BQD81:BQG82 BZZ81:CAC82 CJV81:CJY82 CTR81:CTU82 DDN81:DDQ82 DNJ81:DNM82 DXF81:DXI82 EHB81:EHE82 EQX81:ERA82 FAT81:FAW82 FKP81:FKS82 FUL81:FUO82 GEH81:GEK82 GOD81:GOG82 GXZ81:GYC82 HHV81:HHY82 HRR81:HRU82 IBN81:IBQ82 ILJ81:ILM82 IVF81:IVI82 JFB81:JFE82 JOX81:JPA82 JYT81:JYW82 KIP81:KIS82 KSL81:KSO82 LCH81:LCK82 LMD81:LMG82 LVZ81:LWC82 MFV81:MFY82 MPR81:MPU82 MZN81:MZQ82 NJJ81:NJM82 NTF81:NTI82 ODB81:ODE82 OMX81:ONA82 OWT81:OWW82 PGP81:PGS82 PQL81:PQO82 QAH81:QAK82 QKD81:QKG82 QTZ81:QUC82 RDV81:RDY82 RNR81:RNU82 RXN81:RXQ82 SHJ81:SHM82 SRF81:SRI82 TBB81:TBE82 TKX81:TLA82 TUT81:TUW82 UEP81:UES82 UOL81:UOO82 UYH81:UYK82 VID81:VIG82 VRZ81:VSC82 WBV81:WBY82 WLR81:WLU82 WVN81:WVQ82 F17:K17 F65603:I65604 JB65622:JE65623 SX65622:TA65623 ACT65622:ACW65623 AMP65622:AMS65623 AWL65622:AWO65623 BGH65622:BGK65623 BQD65622:BQG65623 BZZ65622:CAC65623 CJV65622:CJY65623 CTR65622:CTU65623 DDN65622:DDQ65623 DNJ65622:DNM65623 DXF65622:DXI65623 EHB65622:EHE65623 EQX65622:ERA65623 FAT65622:FAW65623 FKP65622:FKS65623 FUL65622:FUO65623 GEH65622:GEK65623 GOD65622:GOG65623 GXZ65622:GYC65623 HHV65622:HHY65623 HRR65622:HRU65623 IBN65622:IBQ65623 ILJ65622:ILM65623 IVF65622:IVI65623 JFB65622:JFE65623 JOX65622:JPA65623 JYT65622:JYW65623 KIP65622:KIS65623 KSL65622:KSO65623 LCH65622:LCK65623 LMD65622:LMG65623 LVZ65622:LWC65623 MFV65622:MFY65623 MPR65622:MPU65623 MZN65622:MZQ65623 NJJ65622:NJM65623 NTF65622:NTI65623 ODB65622:ODE65623 OMX65622:ONA65623 OWT65622:OWW65623 PGP65622:PGS65623 PQL65622:PQO65623 QAH65622:QAK65623 QKD65622:QKG65623 QTZ65622:QUC65623 RDV65622:RDY65623 RNR65622:RNU65623 RXN65622:RXQ65623 SHJ65622:SHM65623 SRF65622:SRI65623 TBB65622:TBE65623 TKX65622:TLA65623 TUT65622:TUW65623 UEP65622:UES65623 UOL65622:UOO65623 UYH65622:UYK65623 VID65622:VIG65623 VRZ65622:VSC65623 WBV65622:WBY65623 WLR65622:WLU65623 WVN65622:WVQ65623 F131139:I131140 JB131158:JE131159 SX131158:TA131159 ACT131158:ACW131159 AMP131158:AMS131159 AWL131158:AWO131159 BGH131158:BGK131159 BQD131158:BQG131159 BZZ131158:CAC131159 CJV131158:CJY131159 CTR131158:CTU131159 DDN131158:DDQ131159 DNJ131158:DNM131159 DXF131158:DXI131159 EHB131158:EHE131159 EQX131158:ERA131159 FAT131158:FAW131159 FKP131158:FKS131159 FUL131158:FUO131159 GEH131158:GEK131159 GOD131158:GOG131159 GXZ131158:GYC131159 HHV131158:HHY131159 HRR131158:HRU131159 IBN131158:IBQ131159 ILJ131158:ILM131159 IVF131158:IVI131159 JFB131158:JFE131159 JOX131158:JPA131159 JYT131158:JYW131159 KIP131158:KIS131159 KSL131158:KSO131159 LCH131158:LCK131159 LMD131158:LMG131159 LVZ131158:LWC131159 MFV131158:MFY131159 MPR131158:MPU131159 MZN131158:MZQ131159 NJJ131158:NJM131159 NTF131158:NTI131159 ODB131158:ODE131159 OMX131158:ONA131159 OWT131158:OWW131159 PGP131158:PGS131159 PQL131158:PQO131159 QAH131158:QAK131159 QKD131158:QKG131159 QTZ131158:QUC131159 RDV131158:RDY131159 RNR131158:RNU131159 RXN131158:RXQ131159 SHJ131158:SHM131159 SRF131158:SRI131159 TBB131158:TBE131159 TKX131158:TLA131159 TUT131158:TUW131159 UEP131158:UES131159 UOL131158:UOO131159 UYH131158:UYK131159 VID131158:VIG131159 VRZ131158:VSC131159 WBV131158:WBY131159 WLR131158:WLU131159 WVN131158:WVQ131159 F196675:I196676 JB196694:JE196695 SX196694:TA196695 ACT196694:ACW196695 AMP196694:AMS196695 AWL196694:AWO196695 BGH196694:BGK196695 BQD196694:BQG196695 BZZ196694:CAC196695 CJV196694:CJY196695 CTR196694:CTU196695 DDN196694:DDQ196695 DNJ196694:DNM196695 DXF196694:DXI196695 EHB196694:EHE196695 EQX196694:ERA196695 FAT196694:FAW196695 FKP196694:FKS196695 FUL196694:FUO196695 GEH196694:GEK196695 GOD196694:GOG196695 GXZ196694:GYC196695 HHV196694:HHY196695 HRR196694:HRU196695 IBN196694:IBQ196695 ILJ196694:ILM196695 IVF196694:IVI196695 JFB196694:JFE196695 JOX196694:JPA196695 JYT196694:JYW196695 KIP196694:KIS196695 KSL196694:KSO196695 LCH196694:LCK196695 LMD196694:LMG196695 LVZ196694:LWC196695 MFV196694:MFY196695 MPR196694:MPU196695 MZN196694:MZQ196695 NJJ196694:NJM196695 NTF196694:NTI196695 ODB196694:ODE196695 OMX196694:ONA196695 OWT196694:OWW196695 PGP196694:PGS196695 PQL196694:PQO196695 QAH196694:QAK196695 QKD196694:QKG196695 QTZ196694:QUC196695 RDV196694:RDY196695 RNR196694:RNU196695 RXN196694:RXQ196695 SHJ196694:SHM196695 SRF196694:SRI196695 TBB196694:TBE196695 TKX196694:TLA196695 TUT196694:TUW196695 UEP196694:UES196695 UOL196694:UOO196695 UYH196694:UYK196695 VID196694:VIG196695 VRZ196694:VSC196695 WBV196694:WBY196695 WLR196694:WLU196695 WVN196694:WVQ196695 F262211:I262212 JB262230:JE262231 SX262230:TA262231 ACT262230:ACW262231 AMP262230:AMS262231 AWL262230:AWO262231 BGH262230:BGK262231 BQD262230:BQG262231 BZZ262230:CAC262231 CJV262230:CJY262231 CTR262230:CTU262231 DDN262230:DDQ262231 DNJ262230:DNM262231 DXF262230:DXI262231 EHB262230:EHE262231 EQX262230:ERA262231 FAT262230:FAW262231 FKP262230:FKS262231 FUL262230:FUO262231 GEH262230:GEK262231 GOD262230:GOG262231 GXZ262230:GYC262231 HHV262230:HHY262231 HRR262230:HRU262231 IBN262230:IBQ262231 ILJ262230:ILM262231 IVF262230:IVI262231 JFB262230:JFE262231 JOX262230:JPA262231 JYT262230:JYW262231 KIP262230:KIS262231 KSL262230:KSO262231 LCH262230:LCK262231 LMD262230:LMG262231 LVZ262230:LWC262231 MFV262230:MFY262231 MPR262230:MPU262231 MZN262230:MZQ262231 NJJ262230:NJM262231 NTF262230:NTI262231 ODB262230:ODE262231 OMX262230:ONA262231 OWT262230:OWW262231 PGP262230:PGS262231 PQL262230:PQO262231 QAH262230:QAK262231 QKD262230:QKG262231 QTZ262230:QUC262231 RDV262230:RDY262231 RNR262230:RNU262231 RXN262230:RXQ262231 SHJ262230:SHM262231 SRF262230:SRI262231 TBB262230:TBE262231 TKX262230:TLA262231 TUT262230:TUW262231 UEP262230:UES262231 UOL262230:UOO262231 UYH262230:UYK262231 VID262230:VIG262231 VRZ262230:VSC262231 WBV262230:WBY262231 WLR262230:WLU262231 WVN262230:WVQ262231 F327747:I327748 JB327766:JE327767 SX327766:TA327767 ACT327766:ACW327767 AMP327766:AMS327767 AWL327766:AWO327767 BGH327766:BGK327767 BQD327766:BQG327767 BZZ327766:CAC327767 CJV327766:CJY327767 CTR327766:CTU327767 DDN327766:DDQ327767 DNJ327766:DNM327767 DXF327766:DXI327767 EHB327766:EHE327767 EQX327766:ERA327767 FAT327766:FAW327767 FKP327766:FKS327767 FUL327766:FUO327767 GEH327766:GEK327767 GOD327766:GOG327767 GXZ327766:GYC327767 HHV327766:HHY327767 HRR327766:HRU327767 IBN327766:IBQ327767 ILJ327766:ILM327767 IVF327766:IVI327767 JFB327766:JFE327767 JOX327766:JPA327767 JYT327766:JYW327767 KIP327766:KIS327767 KSL327766:KSO327767 LCH327766:LCK327767 LMD327766:LMG327767 LVZ327766:LWC327767 MFV327766:MFY327767 MPR327766:MPU327767 MZN327766:MZQ327767 NJJ327766:NJM327767 NTF327766:NTI327767 ODB327766:ODE327767 OMX327766:ONA327767 OWT327766:OWW327767 PGP327766:PGS327767 PQL327766:PQO327767 QAH327766:QAK327767 QKD327766:QKG327767 QTZ327766:QUC327767 RDV327766:RDY327767 RNR327766:RNU327767 RXN327766:RXQ327767 SHJ327766:SHM327767 SRF327766:SRI327767 TBB327766:TBE327767 TKX327766:TLA327767 TUT327766:TUW327767 UEP327766:UES327767 UOL327766:UOO327767 UYH327766:UYK327767 VID327766:VIG327767 VRZ327766:VSC327767 WBV327766:WBY327767 WLR327766:WLU327767 WVN327766:WVQ327767 F393283:I393284 JB393302:JE393303 SX393302:TA393303 ACT393302:ACW393303 AMP393302:AMS393303 AWL393302:AWO393303 BGH393302:BGK393303 BQD393302:BQG393303 BZZ393302:CAC393303 CJV393302:CJY393303 CTR393302:CTU393303 DDN393302:DDQ393303 DNJ393302:DNM393303 DXF393302:DXI393303 EHB393302:EHE393303 EQX393302:ERA393303 FAT393302:FAW393303 FKP393302:FKS393303 FUL393302:FUO393303 GEH393302:GEK393303 GOD393302:GOG393303 GXZ393302:GYC393303 HHV393302:HHY393303 HRR393302:HRU393303 IBN393302:IBQ393303 ILJ393302:ILM393303 IVF393302:IVI393303 JFB393302:JFE393303 JOX393302:JPA393303 JYT393302:JYW393303 KIP393302:KIS393303 KSL393302:KSO393303 LCH393302:LCK393303 LMD393302:LMG393303 LVZ393302:LWC393303 MFV393302:MFY393303 MPR393302:MPU393303 MZN393302:MZQ393303 NJJ393302:NJM393303 NTF393302:NTI393303 ODB393302:ODE393303 OMX393302:ONA393303 OWT393302:OWW393303 PGP393302:PGS393303 PQL393302:PQO393303 QAH393302:QAK393303 QKD393302:QKG393303 QTZ393302:QUC393303 RDV393302:RDY393303 RNR393302:RNU393303 RXN393302:RXQ393303 SHJ393302:SHM393303 SRF393302:SRI393303 TBB393302:TBE393303 TKX393302:TLA393303 TUT393302:TUW393303 UEP393302:UES393303 UOL393302:UOO393303 UYH393302:UYK393303 VID393302:VIG393303 VRZ393302:VSC393303 WBV393302:WBY393303 WLR393302:WLU393303 WVN393302:WVQ393303 F458819:I458820 JB458838:JE458839 SX458838:TA458839 ACT458838:ACW458839 AMP458838:AMS458839 AWL458838:AWO458839 BGH458838:BGK458839 BQD458838:BQG458839 BZZ458838:CAC458839 CJV458838:CJY458839 CTR458838:CTU458839 DDN458838:DDQ458839 DNJ458838:DNM458839 DXF458838:DXI458839 EHB458838:EHE458839 EQX458838:ERA458839 FAT458838:FAW458839 FKP458838:FKS458839 FUL458838:FUO458839 GEH458838:GEK458839 GOD458838:GOG458839 GXZ458838:GYC458839 HHV458838:HHY458839 HRR458838:HRU458839 IBN458838:IBQ458839 ILJ458838:ILM458839 IVF458838:IVI458839 JFB458838:JFE458839 JOX458838:JPA458839 JYT458838:JYW458839 KIP458838:KIS458839 KSL458838:KSO458839 LCH458838:LCK458839 LMD458838:LMG458839 LVZ458838:LWC458839 MFV458838:MFY458839 MPR458838:MPU458839 MZN458838:MZQ458839 NJJ458838:NJM458839 NTF458838:NTI458839 ODB458838:ODE458839 OMX458838:ONA458839 OWT458838:OWW458839 PGP458838:PGS458839 PQL458838:PQO458839 QAH458838:QAK458839 QKD458838:QKG458839 QTZ458838:QUC458839 RDV458838:RDY458839 RNR458838:RNU458839 RXN458838:RXQ458839 SHJ458838:SHM458839 SRF458838:SRI458839 TBB458838:TBE458839 TKX458838:TLA458839 TUT458838:TUW458839 UEP458838:UES458839 UOL458838:UOO458839 UYH458838:UYK458839 VID458838:VIG458839 VRZ458838:VSC458839 WBV458838:WBY458839 WLR458838:WLU458839 WVN458838:WVQ458839 F524355:I524356 JB524374:JE524375 SX524374:TA524375 ACT524374:ACW524375 AMP524374:AMS524375 AWL524374:AWO524375 BGH524374:BGK524375 BQD524374:BQG524375 BZZ524374:CAC524375 CJV524374:CJY524375 CTR524374:CTU524375 DDN524374:DDQ524375 DNJ524374:DNM524375 DXF524374:DXI524375 EHB524374:EHE524375 EQX524374:ERA524375 FAT524374:FAW524375 FKP524374:FKS524375 FUL524374:FUO524375 GEH524374:GEK524375 GOD524374:GOG524375 GXZ524374:GYC524375 HHV524374:HHY524375 HRR524374:HRU524375 IBN524374:IBQ524375 ILJ524374:ILM524375 IVF524374:IVI524375 JFB524374:JFE524375 JOX524374:JPA524375 JYT524374:JYW524375 KIP524374:KIS524375 KSL524374:KSO524375 LCH524374:LCK524375 LMD524374:LMG524375 LVZ524374:LWC524375 MFV524374:MFY524375 MPR524374:MPU524375 MZN524374:MZQ524375 NJJ524374:NJM524375 NTF524374:NTI524375 ODB524374:ODE524375 OMX524374:ONA524375 OWT524374:OWW524375 PGP524374:PGS524375 PQL524374:PQO524375 QAH524374:QAK524375 QKD524374:QKG524375 QTZ524374:QUC524375 RDV524374:RDY524375 RNR524374:RNU524375 RXN524374:RXQ524375 SHJ524374:SHM524375 SRF524374:SRI524375 TBB524374:TBE524375 TKX524374:TLA524375 TUT524374:TUW524375 UEP524374:UES524375 UOL524374:UOO524375 UYH524374:UYK524375 VID524374:VIG524375 VRZ524374:VSC524375 WBV524374:WBY524375 WLR524374:WLU524375 WVN524374:WVQ524375 F589891:I589892 JB589910:JE589911 SX589910:TA589911 ACT589910:ACW589911 AMP589910:AMS589911 AWL589910:AWO589911 BGH589910:BGK589911 BQD589910:BQG589911 BZZ589910:CAC589911 CJV589910:CJY589911 CTR589910:CTU589911 DDN589910:DDQ589911 DNJ589910:DNM589911 DXF589910:DXI589911 EHB589910:EHE589911 EQX589910:ERA589911 FAT589910:FAW589911 FKP589910:FKS589911 FUL589910:FUO589911 GEH589910:GEK589911 GOD589910:GOG589911 GXZ589910:GYC589911 HHV589910:HHY589911 HRR589910:HRU589911 IBN589910:IBQ589911 ILJ589910:ILM589911 IVF589910:IVI589911 JFB589910:JFE589911 JOX589910:JPA589911 JYT589910:JYW589911 KIP589910:KIS589911 KSL589910:KSO589911 LCH589910:LCK589911 LMD589910:LMG589911 LVZ589910:LWC589911 MFV589910:MFY589911 MPR589910:MPU589911 MZN589910:MZQ589911 NJJ589910:NJM589911 NTF589910:NTI589911 ODB589910:ODE589911 OMX589910:ONA589911 OWT589910:OWW589911 PGP589910:PGS589911 PQL589910:PQO589911 QAH589910:QAK589911 QKD589910:QKG589911 QTZ589910:QUC589911 RDV589910:RDY589911 RNR589910:RNU589911 RXN589910:RXQ589911 SHJ589910:SHM589911 SRF589910:SRI589911 TBB589910:TBE589911 TKX589910:TLA589911 TUT589910:TUW589911 UEP589910:UES589911 UOL589910:UOO589911 UYH589910:UYK589911 VID589910:VIG589911 VRZ589910:VSC589911 WBV589910:WBY589911 WLR589910:WLU589911 WVN589910:WVQ589911 F655427:I655428 JB655446:JE655447 SX655446:TA655447 ACT655446:ACW655447 AMP655446:AMS655447 AWL655446:AWO655447 BGH655446:BGK655447 BQD655446:BQG655447 BZZ655446:CAC655447 CJV655446:CJY655447 CTR655446:CTU655447 DDN655446:DDQ655447 DNJ655446:DNM655447 DXF655446:DXI655447 EHB655446:EHE655447 EQX655446:ERA655447 FAT655446:FAW655447 FKP655446:FKS655447 FUL655446:FUO655447 GEH655446:GEK655447 GOD655446:GOG655447 GXZ655446:GYC655447 HHV655446:HHY655447 HRR655446:HRU655447 IBN655446:IBQ655447 ILJ655446:ILM655447 IVF655446:IVI655447 JFB655446:JFE655447 JOX655446:JPA655447 JYT655446:JYW655447 KIP655446:KIS655447 KSL655446:KSO655447 LCH655446:LCK655447 LMD655446:LMG655447 LVZ655446:LWC655447 MFV655446:MFY655447 MPR655446:MPU655447 MZN655446:MZQ655447 NJJ655446:NJM655447 NTF655446:NTI655447 ODB655446:ODE655447 OMX655446:ONA655447 OWT655446:OWW655447 PGP655446:PGS655447 PQL655446:PQO655447 QAH655446:QAK655447 QKD655446:QKG655447 QTZ655446:QUC655447 RDV655446:RDY655447 RNR655446:RNU655447 RXN655446:RXQ655447 SHJ655446:SHM655447 SRF655446:SRI655447 TBB655446:TBE655447 TKX655446:TLA655447 TUT655446:TUW655447 UEP655446:UES655447 UOL655446:UOO655447 UYH655446:UYK655447 VID655446:VIG655447 VRZ655446:VSC655447 WBV655446:WBY655447 WLR655446:WLU655447 WVN655446:WVQ655447 F720963:I720964 JB720982:JE720983 SX720982:TA720983 ACT720982:ACW720983 AMP720982:AMS720983 AWL720982:AWO720983 BGH720982:BGK720983 BQD720982:BQG720983 BZZ720982:CAC720983 CJV720982:CJY720983 CTR720982:CTU720983 DDN720982:DDQ720983 DNJ720982:DNM720983 DXF720982:DXI720983 EHB720982:EHE720983 EQX720982:ERA720983 FAT720982:FAW720983 FKP720982:FKS720983 FUL720982:FUO720983 GEH720982:GEK720983 GOD720982:GOG720983 GXZ720982:GYC720983 HHV720982:HHY720983 HRR720982:HRU720983 IBN720982:IBQ720983 ILJ720982:ILM720983 IVF720982:IVI720983 JFB720982:JFE720983 JOX720982:JPA720983 JYT720982:JYW720983 KIP720982:KIS720983 KSL720982:KSO720983 LCH720982:LCK720983 LMD720982:LMG720983 LVZ720982:LWC720983 MFV720982:MFY720983 MPR720982:MPU720983 MZN720982:MZQ720983 NJJ720982:NJM720983 NTF720982:NTI720983 ODB720982:ODE720983 OMX720982:ONA720983 OWT720982:OWW720983 PGP720982:PGS720983 PQL720982:PQO720983 QAH720982:QAK720983 QKD720982:QKG720983 QTZ720982:QUC720983 RDV720982:RDY720983 RNR720982:RNU720983 RXN720982:RXQ720983 SHJ720982:SHM720983 SRF720982:SRI720983 TBB720982:TBE720983 TKX720982:TLA720983 TUT720982:TUW720983 UEP720982:UES720983 UOL720982:UOO720983 UYH720982:UYK720983 VID720982:VIG720983 VRZ720982:VSC720983 WBV720982:WBY720983 WLR720982:WLU720983 WVN720982:WVQ720983 F786499:I786500 JB786518:JE786519 SX786518:TA786519 ACT786518:ACW786519 AMP786518:AMS786519 AWL786518:AWO786519 BGH786518:BGK786519 BQD786518:BQG786519 BZZ786518:CAC786519 CJV786518:CJY786519 CTR786518:CTU786519 DDN786518:DDQ786519 DNJ786518:DNM786519 DXF786518:DXI786519 EHB786518:EHE786519 EQX786518:ERA786519 FAT786518:FAW786519 FKP786518:FKS786519 FUL786518:FUO786519 GEH786518:GEK786519 GOD786518:GOG786519 GXZ786518:GYC786519 HHV786518:HHY786519 HRR786518:HRU786519 IBN786518:IBQ786519 ILJ786518:ILM786519 IVF786518:IVI786519 JFB786518:JFE786519 JOX786518:JPA786519 JYT786518:JYW786519 KIP786518:KIS786519 KSL786518:KSO786519 LCH786518:LCK786519 LMD786518:LMG786519 LVZ786518:LWC786519 MFV786518:MFY786519 MPR786518:MPU786519 MZN786518:MZQ786519 NJJ786518:NJM786519 NTF786518:NTI786519 ODB786518:ODE786519 OMX786518:ONA786519 OWT786518:OWW786519 PGP786518:PGS786519 PQL786518:PQO786519 QAH786518:QAK786519 QKD786518:QKG786519 QTZ786518:QUC786519 RDV786518:RDY786519 RNR786518:RNU786519 RXN786518:RXQ786519 SHJ786518:SHM786519 SRF786518:SRI786519 TBB786518:TBE786519 TKX786518:TLA786519 TUT786518:TUW786519 UEP786518:UES786519 UOL786518:UOO786519 UYH786518:UYK786519 VID786518:VIG786519 VRZ786518:VSC786519 WBV786518:WBY786519 WLR786518:WLU786519 WVN786518:WVQ786519 F852035:I852036 JB852054:JE852055 SX852054:TA852055 ACT852054:ACW852055 AMP852054:AMS852055 AWL852054:AWO852055 BGH852054:BGK852055 BQD852054:BQG852055 BZZ852054:CAC852055 CJV852054:CJY852055 CTR852054:CTU852055 DDN852054:DDQ852055 DNJ852054:DNM852055 DXF852054:DXI852055 EHB852054:EHE852055 EQX852054:ERA852055 FAT852054:FAW852055 FKP852054:FKS852055 FUL852054:FUO852055 GEH852054:GEK852055 GOD852054:GOG852055 GXZ852054:GYC852055 HHV852054:HHY852055 HRR852054:HRU852055 IBN852054:IBQ852055 ILJ852054:ILM852055 IVF852054:IVI852055 JFB852054:JFE852055 JOX852054:JPA852055 JYT852054:JYW852055 KIP852054:KIS852055 KSL852054:KSO852055 LCH852054:LCK852055 LMD852054:LMG852055 LVZ852054:LWC852055 MFV852054:MFY852055 MPR852054:MPU852055 MZN852054:MZQ852055 NJJ852054:NJM852055 NTF852054:NTI852055 ODB852054:ODE852055 OMX852054:ONA852055 OWT852054:OWW852055 PGP852054:PGS852055 PQL852054:PQO852055 QAH852054:QAK852055 QKD852054:QKG852055 QTZ852054:QUC852055 RDV852054:RDY852055 RNR852054:RNU852055 RXN852054:RXQ852055 SHJ852054:SHM852055 SRF852054:SRI852055 TBB852054:TBE852055 TKX852054:TLA852055 TUT852054:TUW852055 UEP852054:UES852055 UOL852054:UOO852055 UYH852054:UYK852055 VID852054:VIG852055 VRZ852054:VSC852055 WBV852054:WBY852055 WLR852054:WLU852055 WVN852054:WVQ852055 F917571:I917572 JB917590:JE917591 SX917590:TA917591 ACT917590:ACW917591 AMP917590:AMS917591 AWL917590:AWO917591 BGH917590:BGK917591 BQD917590:BQG917591 BZZ917590:CAC917591 CJV917590:CJY917591 CTR917590:CTU917591 DDN917590:DDQ917591 DNJ917590:DNM917591 DXF917590:DXI917591 EHB917590:EHE917591 EQX917590:ERA917591 FAT917590:FAW917591 FKP917590:FKS917591 FUL917590:FUO917591 GEH917590:GEK917591 GOD917590:GOG917591 GXZ917590:GYC917591 HHV917590:HHY917591 HRR917590:HRU917591 IBN917590:IBQ917591 ILJ917590:ILM917591 IVF917590:IVI917591 JFB917590:JFE917591 JOX917590:JPA917591 JYT917590:JYW917591 KIP917590:KIS917591 KSL917590:KSO917591 LCH917590:LCK917591 LMD917590:LMG917591 LVZ917590:LWC917591 MFV917590:MFY917591 MPR917590:MPU917591 MZN917590:MZQ917591 NJJ917590:NJM917591 NTF917590:NTI917591 ODB917590:ODE917591 OMX917590:ONA917591 OWT917590:OWW917591 PGP917590:PGS917591 PQL917590:PQO917591 QAH917590:QAK917591 QKD917590:QKG917591 QTZ917590:QUC917591 RDV917590:RDY917591 RNR917590:RNU917591 RXN917590:RXQ917591 SHJ917590:SHM917591 SRF917590:SRI917591 TBB917590:TBE917591 TKX917590:TLA917591 TUT917590:TUW917591 UEP917590:UES917591 UOL917590:UOO917591 UYH917590:UYK917591 VID917590:VIG917591 VRZ917590:VSC917591 WBV917590:WBY917591 WLR917590:WLU917591 WVN917590:WVQ917591 F983107:I983108 JB983126:JE983127 SX983126:TA983127 ACT983126:ACW983127 AMP983126:AMS983127 AWL983126:AWO983127 BGH983126:BGK983127 BQD983126:BQG983127 BZZ983126:CAC983127 CJV983126:CJY983127 CTR983126:CTU983127 DDN983126:DDQ983127 DNJ983126:DNM983127 DXF983126:DXI983127 EHB983126:EHE983127 EQX983126:ERA983127 FAT983126:FAW983127 FKP983126:FKS983127 FUL983126:FUO983127 GEH983126:GEK983127 GOD983126:GOG983127 GXZ983126:GYC983127 HHV983126:HHY983127 HRR983126:HRU983127 IBN983126:IBQ983127 ILJ983126:ILM983127 IVF983126:IVI983127 JFB983126:JFE983127 JOX983126:JPA983127 JYT983126:JYW983127 KIP983126:KIS983127 KSL983126:KSO983127 LCH983126:LCK983127 LMD983126:LMG983127 LVZ983126:LWC983127 MFV983126:MFY983127 MPR983126:MPU983127 MZN983126:MZQ983127 NJJ983126:NJM983127 NTF983126:NTI983127 ODB983126:ODE983127 OMX983126:ONA983127 OWT983126:OWW983127 PGP983126:PGS983127 PQL983126:PQO983127 QAH983126:QAK983127 QKD983126:QKG983127 QTZ983126:QUC983127 RDV983126:RDY983127 RNR983126:RNU983127 RXN983126:RXQ983127 SHJ983126:SHM983127 SRF983126:SRI983127 TBB983126:TBE983127 TKX983126:TLA983127 TUT983126:TUW983127 UEP983126:UES983127 UOL983126:UOO983127 UYH983126:UYK983127 VID983126:VIG983127 VRZ983126:VSC983127 WBV983126:WBY983127 WLR983126:WLU983127 WVN983126:WVQ983127 JB31:JE31 SX31:TA31 ACT31:ACW31 AMP31:AMS31 AWL31:AWO31 BGH31:BGK31 BQD31:BQG31 BZZ31:CAC31 CJV31:CJY31 CTR31:CTU31 DDN31:DDQ31 DNJ31:DNM31 DXF31:DXI31 EHB31:EHE31 EQX31:ERA31 FAT31:FAW31 FKP31:FKS31 FUL31:FUO31 GEH31:GEK31 GOD31:GOG31 GXZ31:GYC31 HHV31:HHY31 HRR31:HRU31 IBN31:IBQ31 ILJ31:ILM31 IVF31:IVI31 JFB31:JFE31 JOX31:JPA31 JYT31:JYW31 KIP31:KIS31 KSL31:KSO31 LCH31:LCK31 LMD31:LMG31 LVZ31:LWC31 MFV31:MFY31 MPR31:MPU31 MZN31:MZQ31 NJJ31:NJM31 NTF31:NTI31 ODB31:ODE31 OMX31:ONA31 OWT31:OWW31 PGP31:PGS31 PQL31:PQO31 QAH31:QAK31 QKD31:QKG31 QTZ31:QUC31 RDV31:RDY31 RNR31:RNU31 RXN31:RXQ31 SHJ31:SHM31 SRF31:SRI31 TBB31:TBE31 TKX31:TLA31 TUT31:TUW31 UEP31:UES31 UOL31:UOO31 UYH31:UYK31 VID31:VIG31 VRZ31:VSC31 WBV31:WBY31 WLR31:WLU31 WVN31:WVQ31 WVN983083:WVQ983083 F65560:I65560 JB65579:JE65579 SX65579:TA65579 ACT65579:ACW65579 AMP65579:AMS65579 AWL65579:AWO65579 BGH65579:BGK65579 BQD65579:BQG65579 BZZ65579:CAC65579 CJV65579:CJY65579 CTR65579:CTU65579 DDN65579:DDQ65579 DNJ65579:DNM65579 DXF65579:DXI65579 EHB65579:EHE65579 EQX65579:ERA65579 FAT65579:FAW65579 FKP65579:FKS65579 FUL65579:FUO65579 GEH65579:GEK65579 GOD65579:GOG65579 GXZ65579:GYC65579 HHV65579:HHY65579 HRR65579:HRU65579 IBN65579:IBQ65579 ILJ65579:ILM65579 IVF65579:IVI65579 JFB65579:JFE65579 JOX65579:JPA65579 JYT65579:JYW65579 KIP65579:KIS65579 KSL65579:KSO65579 LCH65579:LCK65579 LMD65579:LMG65579 LVZ65579:LWC65579 MFV65579:MFY65579 MPR65579:MPU65579 MZN65579:MZQ65579 NJJ65579:NJM65579 NTF65579:NTI65579 ODB65579:ODE65579 OMX65579:ONA65579 OWT65579:OWW65579 PGP65579:PGS65579 PQL65579:PQO65579 QAH65579:QAK65579 QKD65579:QKG65579 QTZ65579:QUC65579 RDV65579:RDY65579 RNR65579:RNU65579 RXN65579:RXQ65579 SHJ65579:SHM65579 SRF65579:SRI65579 TBB65579:TBE65579 TKX65579:TLA65579 TUT65579:TUW65579 UEP65579:UES65579 UOL65579:UOO65579 UYH65579:UYK65579 VID65579:VIG65579 VRZ65579:VSC65579 WBV65579:WBY65579 WLR65579:WLU65579 WVN65579:WVQ65579 F131096:I131096 JB131115:JE131115 SX131115:TA131115 ACT131115:ACW131115 AMP131115:AMS131115 AWL131115:AWO131115 BGH131115:BGK131115 BQD131115:BQG131115 BZZ131115:CAC131115 CJV131115:CJY131115 CTR131115:CTU131115 DDN131115:DDQ131115 DNJ131115:DNM131115 DXF131115:DXI131115 EHB131115:EHE131115 EQX131115:ERA131115 FAT131115:FAW131115 FKP131115:FKS131115 FUL131115:FUO131115 GEH131115:GEK131115 GOD131115:GOG131115 GXZ131115:GYC131115 HHV131115:HHY131115 HRR131115:HRU131115 IBN131115:IBQ131115 ILJ131115:ILM131115 IVF131115:IVI131115 JFB131115:JFE131115 JOX131115:JPA131115 JYT131115:JYW131115 KIP131115:KIS131115 KSL131115:KSO131115 LCH131115:LCK131115 LMD131115:LMG131115 LVZ131115:LWC131115 MFV131115:MFY131115 MPR131115:MPU131115 MZN131115:MZQ131115 NJJ131115:NJM131115 NTF131115:NTI131115 ODB131115:ODE131115 OMX131115:ONA131115 OWT131115:OWW131115 PGP131115:PGS131115 PQL131115:PQO131115 QAH131115:QAK131115 QKD131115:QKG131115 QTZ131115:QUC131115 RDV131115:RDY131115 RNR131115:RNU131115 RXN131115:RXQ131115 SHJ131115:SHM131115 SRF131115:SRI131115 TBB131115:TBE131115 TKX131115:TLA131115 TUT131115:TUW131115 UEP131115:UES131115 UOL131115:UOO131115 UYH131115:UYK131115 VID131115:VIG131115 VRZ131115:VSC131115 WBV131115:WBY131115 WLR131115:WLU131115 WVN131115:WVQ131115 F196632:I196632 JB196651:JE196651 SX196651:TA196651 ACT196651:ACW196651 AMP196651:AMS196651 AWL196651:AWO196651 BGH196651:BGK196651 BQD196651:BQG196651 BZZ196651:CAC196651 CJV196651:CJY196651 CTR196651:CTU196651 DDN196651:DDQ196651 DNJ196651:DNM196651 DXF196651:DXI196651 EHB196651:EHE196651 EQX196651:ERA196651 FAT196651:FAW196651 FKP196651:FKS196651 FUL196651:FUO196651 GEH196651:GEK196651 GOD196651:GOG196651 GXZ196651:GYC196651 HHV196651:HHY196651 HRR196651:HRU196651 IBN196651:IBQ196651 ILJ196651:ILM196651 IVF196651:IVI196651 JFB196651:JFE196651 JOX196651:JPA196651 JYT196651:JYW196651 KIP196651:KIS196651 KSL196651:KSO196651 LCH196651:LCK196651 LMD196651:LMG196651 LVZ196651:LWC196651 MFV196651:MFY196651 MPR196651:MPU196651 MZN196651:MZQ196651 NJJ196651:NJM196651 NTF196651:NTI196651 ODB196651:ODE196651 OMX196651:ONA196651 OWT196651:OWW196651 PGP196651:PGS196651 PQL196651:PQO196651 QAH196651:QAK196651 QKD196651:QKG196651 QTZ196651:QUC196651 RDV196651:RDY196651 RNR196651:RNU196651 RXN196651:RXQ196651 SHJ196651:SHM196651 SRF196651:SRI196651 TBB196651:TBE196651 TKX196651:TLA196651 TUT196651:TUW196651 UEP196651:UES196651 UOL196651:UOO196651 UYH196651:UYK196651 VID196651:VIG196651 VRZ196651:VSC196651 WBV196651:WBY196651 WLR196651:WLU196651 WVN196651:WVQ196651 F262168:I262168 JB262187:JE262187 SX262187:TA262187 ACT262187:ACW262187 AMP262187:AMS262187 AWL262187:AWO262187 BGH262187:BGK262187 BQD262187:BQG262187 BZZ262187:CAC262187 CJV262187:CJY262187 CTR262187:CTU262187 DDN262187:DDQ262187 DNJ262187:DNM262187 DXF262187:DXI262187 EHB262187:EHE262187 EQX262187:ERA262187 FAT262187:FAW262187 FKP262187:FKS262187 FUL262187:FUO262187 GEH262187:GEK262187 GOD262187:GOG262187 GXZ262187:GYC262187 HHV262187:HHY262187 HRR262187:HRU262187 IBN262187:IBQ262187 ILJ262187:ILM262187 IVF262187:IVI262187 JFB262187:JFE262187 JOX262187:JPA262187 JYT262187:JYW262187 KIP262187:KIS262187 KSL262187:KSO262187 LCH262187:LCK262187 LMD262187:LMG262187 LVZ262187:LWC262187 MFV262187:MFY262187 MPR262187:MPU262187 MZN262187:MZQ262187 NJJ262187:NJM262187 NTF262187:NTI262187 ODB262187:ODE262187 OMX262187:ONA262187 OWT262187:OWW262187 PGP262187:PGS262187 PQL262187:PQO262187 QAH262187:QAK262187 QKD262187:QKG262187 QTZ262187:QUC262187 RDV262187:RDY262187 RNR262187:RNU262187 RXN262187:RXQ262187 SHJ262187:SHM262187 SRF262187:SRI262187 TBB262187:TBE262187 TKX262187:TLA262187 TUT262187:TUW262187 UEP262187:UES262187 UOL262187:UOO262187 UYH262187:UYK262187 VID262187:VIG262187 VRZ262187:VSC262187 WBV262187:WBY262187 WLR262187:WLU262187 WVN262187:WVQ262187 F327704:I327704 JB327723:JE327723 SX327723:TA327723 ACT327723:ACW327723 AMP327723:AMS327723 AWL327723:AWO327723 BGH327723:BGK327723 BQD327723:BQG327723 BZZ327723:CAC327723 CJV327723:CJY327723 CTR327723:CTU327723 DDN327723:DDQ327723 DNJ327723:DNM327723 DXF327723:DXI327723 EHB327723:EHE327723 EQX327723:ERA327723 FAT327723:FAW327723 FKP327723:FKS327723 FUL327723:FUO327723 GEH327723:GEK327723 GOD327723:GOG327723 GXZ327723:GYC327723 HHV327723:HHY327723 HRR327723:HRU327723 IBN327723:IBQ327723 ILJ327723:ILM327723 IVF327723:IVI327723 JFB327723:JFE327723 JOX327723:JPA327723 JYT327723:JYW327723 KIP327723:KIS327723 KSL327723:KSO327723 LCH327723:LCK327723 LMD327723:LMG327723 LVZ327723:LWC327723 MFV327723:MFY327723 MPR327723:MPU327723 MZN327723:MZQ327723 NJJ327723:NJM327723 NTF327723:NTI327723 ODB327723:ODE327723 OMX327723:ONA327723 OWT327723:OWW327723 PGP327723:PGS327723 PQL327723:PQO327723 QAH327723:QAK327723 QKD327723:QKG327723 QTZ327723:QUC327723 RDV327723:RDY327723 RNR327723:RNU327723 RXN327723:RXQ327723 SHJ327723:SHM327723 SRF327723:SRI327723 TBB327723:TBE327723 TKX327723:TLA327723 TUT327723:TUW327723 UEP327723:UES327723 UOL327723:UOO327723 UYH327723:UYK327723 VID327723:VIG327723 VRZ327723:VSC327723 WBV327723:WBY327723 WLR327723:WLU327723 WVN327723:WVQ327723 F393240:I393240 JB393259:JE393259 SX393259:TA393259 ACT393259:ACW393259 AMP393259:AMS393259 AWL393259:AWO393259 BGH393259:BGK393259 BQD393259:BQG393259 BZZ393259:CAC393259 CJV393259:CJY393259 CTR393259:CTU393259 DDN393259:DDQ393259 DNJ393259:DNM393259 DXF393259:DXI393259 EHB393259:EHE393259 EQX393259:ERA393259 FAT393259:FAW393259 FKP393259:FKS393259 FUL393259:FUO393259 GEH393259:GEK393259 GOD393259:GOG393259 GXZ393259:GYC393259 HHV393259:HHY393259 HRR393259:HRU393259 IBN393259:IBQ393259 ILJ393259:ILM393259 IVF393259:IVI393259 JFB393259:JFE393259 JOX393259:JPA393259 JYT393259:JYW393259 KIP393259:KIS393259 KSL393259:KSO393259 LCH393259:LCK393259 LMD393259:LMG393259 LVZ393259:LWC393259 MFV393259:MFY393259 MPR393259:MPU393259 MZN393259:MZQ393259 NJJ393259:NJM393259 NTF393259:NTI393259 ODB393259:ODE393259 OMX393259:ONA393259 OWT393259:OWW393259 PGP393259:PGS393259 PQL393259:PQO393259 QAH393259:QAK393259 QKD393259:QKG393259 QTZ393259:QUC393259 RDV393259:RDY393259 RNR393259:RNU393259 RXN393259:RXQ393259 SHJ393259:SHM393259 SRF393259:SRI393259 TBB393259:TBE393259 TKX393259:TLA393259 TUT393259:TUW393259 UEP393259:UES393259 UOL393259:UOO393259 UYH393259:UYK393259 VID393259:VIG393259 VRZ393259:VSC393259 WBV393259:WBY393259 WLR393259:WLU393259 WVN393259:WVQ393259 F458776:I458776 JB458795:JE458795 SX458795:TA458795 ACT458795:ACW458795 AMP458795:AMS458795 AWL458795:AWO458795 BGH458795:BGK458795 BQD458795:BQG458795 BZZ458795:CAC458795 CJV458795:CJY458795 CTR458795:CTU458795 DDN458795:DDQ458795 DNJ458795:DNM458795 DXF458795:DXI458795 EHB458795:EHE458795 EQX458795:ERA458795 FAT458795:FAW458795 FKP458795:FKS458795 FUL458795:FUO458795 GEH458795:GEK458795 GOD458795:GOG458795 GXZ458795:GYC458795 HHV458795:HHY458795 HRR458795:HRU458795 IBN458795:IBQ458795 ILJ458795:ILM458795 IVF458795:IVI458795 JFB458795:JFE458795 JOX458795:JPA458795 JYT458795:JYW458795 KIP458795:KIS458795 KSL458795:KSO458795 LCH458795:LCK458795 LMD458795:LMG458795 LVZ458795:LWC458795 MFV458795:MFY458795 MPR458795:MPU458795 MZN458795:MZQ458795 NJJ458795:NJM458795 NTF458795:NTI458795 ODB458795:ODE458795 OMX458795:ONA458795 OWT458795:OWW458795 PGP458795:PGS458795 PQL458795:PQO458795 QAH458795:QAK458795 QKD458795:QKG458795 QTZ458795:QUC458795 RDV458795:RDY458795 RNR458795:RNU458795 RXN458795:RXQ458795 SHJ458795:SHM458795 SRF458795:SRI458795 TBB458795:TBE458795 TKX458795:TLA458795 TUT458795:TUW458795 UEP458795:UES458795 UOL458795:UOO458795 UYH458795:UYK458795 VID458795:VIG458795 VRZ458795:VSC458795 WBV458795:WBY458795 WLR458795:WLU458795 WVN458795:WVQ458795 F524312:I524312 JB524331:JE524331 SX524331:TA524331 ACT524331:ACW524331 AMP524331:AMS524331 AWL524331:AWO524331 BGH524331:BGK524331 BQD524331:BQG524331 BZZ524331:CAC524331 CJV524331:CJY524331 CTR524331:CTU524331 DDN524331:DDQ524331 DNJ524331:DNM524331 DXF524331:DXI524331 EHB524331:EHE524331 EQX524331:ERA524331 FAT524331:FAW524331 FKP524331:FKS524331 FUL524331:FUO524331 GEH524331:GEK524331 GOD524331:GOG524331 GXZ524331:GYC524331 HHV524331:HHY524331 HRR524331:HRU524331 IBN524331:IBQ524331 ILJ524331:ILM524331 IVF524331:IVI524331 JFB524331:JFE524331 JOX524331:JPA524331 JYT524331:JYW524331 KIP524331:KIS524331 KSL524331:KSO524331 LCH524331:LCK524331 LMD524331:LMG524331 LVZ524331:LWC524331 MFV524331:MFY524331 MPR524331:MPU524331 MZN524331:MZQ524331 NJJ524331:NJM524331 NTF524331:NTI524331 ODB524331:ODE524331 OMX524331:ONA524331 OWT524331:OWW524331 PGP524331:PGS524331 PQL524331:PQO524331 QAH524331:QAK524331 QKD524331:QKG524331 QTZ524331:QUC524331 RDV524331:RDY524331 RNR524331:RNU524331 RXN524331:RXQ524331 SHJ524331:SHM524331 SRF524331:SRI524331 TBB524331:TBE524331 TKX524331:TLA524331 TUT524331:TUW524331 UEP524331:UES524331 UOL524331:UOO524331 UYH524331:UYK524331 VID524331:VIG524331 VRZ524331:VSC524331 WBV524331:WBY524331 WLR524331:WLU524331 WVN524331:WVQ524331 F589848:I589848 JB589867:JE589867 SX589867:TA589867 ACT589867:ACW589867 AMP589867:AMS589867 AWL589867:AWO589867 BGH589867:BGK589867 BQD589867:BQG589867 BZZ589867:CAC589867 CJV589867:CJY589867 CTR589867:CTU589867 DDN589867:DDQ589867 DNJ589867:DNM589867 DXF589867:DXI589867 EHB589867:EHE589867 EQX589867:ERA589867 FAT589867:FAW589867 FKP589867:FKS589867 FUL589867:FUO589867 GEH589867:GEK589867 GOD589867:GOG589867 GXZ589867:GYC589867 HHV589867:HHY589867 HRR589867:HRU589867 IBN589867:IBQ589867 ILJ589867:ILM589867 IVF589867:IVI589867 JFB589867:JFE589867 JOX589867:JPA589867 JYT589867:JYW589867 KIP589867:KIS589867 KSL589867:KSO589867 LCH589867:LCK589867 LMD589867:LMG589867 LVZ589867:LWC589867 MFV589867:MFY589867 MPR589867:MPU589867 MZN589867:MZQ589867 NJJ589867:NJM589867 NTF589867:NTI589867 ODB589867:ODE589867 OMX589867:ONA589867 OWT589867:OWW589867 PGP589867:PGS589867 PQL589867:PQO589867 QAH589867:QAK589867 QKD589867:QKG589867 QTZ589867:QUC589867 RDV589867:RDY589867 RNR589867:RNU589867 RXN589867:RXQ589867 SHJ589867:SHM589867 SRF589867:SRI589867 TBB589867:TBE589867 TKX589867:TLA589867 TUT589867:TUW589867 UEP589867:UES589867 UOL589867:UOO589867 UYH589867:UYK589867 VID589867:VIG589867 VRZ589867:VSC589867 WBV589867:WBY589867 WLR589867:WLU589867 WVN589867:WVQ589867 F655384:I655384 JB655403:JE655403 SX655403:TA655403 ACT655403:ACW655403 AMP655403:AMS655403 AWL655403:AWO655403 BGH655403:BGK655403 BQD655403:BQG655403 BZZ655403:CAC655403 CJV655403:CJY655403 CTR655403:CTU655403 DDN655403:DDQ655403 DNJ655403:DNM655403 DXF655403:DXI655403 EHB655403:EHE655403 EQX655403:ERA655403 FAT655403:FAW655403 FKP655403:FKS655403 FUL655403:FUO655403 GEH655403:GEK655403 GOD655403:GOG655403 GXZ655403:GYC655403 HHV655403:HHY655403 HRR655403:HRU655403 IBN655403:IBQ655403 ILJ655403:ILM655403 IVF655403:IVI655403 JFB655403:JFE655403 JOX655403:JPA655403 JYT655403:JYW655403 KIP655403:KIS655403 KSL655403:KSO655403 LCH655403:LCK655403 LMD655403:LMG655403 LVZ655403:LWC655403 MFV655403:MFY655403 MPR655403:MPU655403 MZN655403:MZQ655403 NJJ655403:NJM655403 NTF655403:NTI655403 ODB655403:ODE655403 OMX655403:ONA655403 OWT655403:OWW655403 PGP655403:PGS655403 PQL655403:PQO655403 QAH655403:QAK655403 QKD655403:QKG655403 QTZ655403:QUC655403 RDV655403:RDY655403 RNR655403:RNU655403 RXN655403:RXQ655403 SHJ655403:SHM655403 SRF655403:SRI655403 TBB655403:TBE655403 TKX655403:TLA655403 TUT655403:TUW655403 UEP655403:UES655403 UOL655403:UOO655403 UYH655403:UYK655403 VID655403:VIG655403 VRZ655403:VSC655403 WBV655403:WBY655403 WLR655403:WLU655403 WVN655403:WVQ655403 F720920:I720920 JB720939:JE720939 SX720939:TA720939 ACT720939:ACW720939 AMP720939:AMS720939 AWL720939:AWO720939 BGH720939:BGK720939 BQD720939:BQG720939 BZZ720939:CAC720939 CJV720939:CJY720939 CTR720939:CTU720939 DDN720939:DDQ720939 DNJ720939:DNM720939 DXF720939:DXI720939 EHB720939:EHE720939 EQX720939:ERA720939 FAT720939:FAW720939 FKP720939:FKS720939 FUL720939:FUO720939 GEH720939:GEK720939 GOD720939:GOG720939 GXZ720939:GYC720939 HHV720939:HHY720939 HRR720939:HRU720939 IBN720939:IBQ720939 ILJ720939:ILM720939 IVF720939:IVI720939 JFB720939:JFE720939 JOX720939:JPA720939 JYT720939:JYW720939 KIP720939:KIS720939 KSL720939:KSO720939 LCH720939:LCK720939 LMD720939:LMG720939 LVZ720939:LWC720939 MFV720939:MFY720939 MPR720939:MPU720939 MZN720939:MZQ720939 NJJ720939:NJM720939 NTF720939:NTI720939 ODB720939:ODE720939 OMX720939:ONA720939 OWT720939:OWW720939 PGP720939:PGS720939 PQL720939:PQO720939 QAH720939:QAK720939 QKD720939:QKG720939 QTZ720939:QUC720939 RDV720939:RDY720939 RNR720939:RNU720939 RXN720939:RXQ720939 SHJ720939:SHM720939 SRF720939:SRI720939 TBB720939:TBE720939 TKX720939:TLA720939 TUT720939:TUW720939 UEP720939:UES720939 UOL720939:UOO720939 UYH720939:UYK720939 VID720939:VIG720939 VRZ720939:VSC720939 WBV720939:WBY720939 WLR720939:WLU720939 WVN720939:WVQ720939 F786456:I786456 JB786475:JE786475 SX786475:TA786475 ACT786475:ACW786475 AMP786475:AMS786475 AWL786475:AWO786475 BGH786475:BGK786475 BQD786475:BQG786475 BZZ786475:CAC786475 CJV786475:CJY786475 CTR786475:CTU786475 DDN786475:DDQ786475 DNJ786475:DNM786475 DXF786475:DXI786475 EHB786475:EHE786475 EQX786475:ERA786475 FAT786475:FAW786475 FKP786475:FKS786475 FUL786475:FUO786475 GEH786475:GEK786475 GOD786475:GOG786475 GXZ786475:GYC786475 HHV786475:HHY786475 HRR786475:HRU786475 IBN786475:IBQ786475 ILJ786475:ILM786475 IVF786475:IVI786475 JFB786475:JFE786475 JOX786475:JPA786475 JYT786475:JYW786475 KIP786475:KIS786475 KSL786475:KSO786475 LCH786475:LCK786475 LMD786475:LMG786475 LVZ786475:LWC786475 MFV786475:MFY786475 MPR786475:MPU786475 MZN786475:MZQ786475 NJJ786475:NJM786475 NTF786475:NTI786475 ODB786475:ODE786475 OMX786475:ONA786475 OWT786475:OWW786475 PGP786475:PGS786475 PQL786475:PQO786475 QAH786475:QAK786475 QKD786475:QKG786475 QTZ786475:QUC786475 RDV786475:RDY786475 RNR786475:RNU786475 RXN786475:RXQ786475 SHJ786475:SHM786475 SRF786475:SRI786475 TBB786475:TBE786475 TKX786475:TLA786475 TUT786475:TUW786475 UEP786475:UES786475 UOL786475:UOO786475 UYH786475:UYK786475 VID786475:VIG786475 VRZ786475:VSC786475 WBV786475:WBY786475 WLR786475:WLU786475 WVN786475:WVQ786475 F851992:I851992 JB852011:JE852011 SX852011:TA852011 ACT852011:ACW852011 AMP852011:AMS852011 AWL852011:AWO852011 BGH852011:BGK852011 BQD852011:BQG852011 BZZ852011:CAC852011 CJV852011:CJY852011 CTR852011:CTU852011 DDN852011:DDQ852011 DNJ852011:DNM852011 DXF852011:DXI852011 EHB852011:EHE852011 EQX852011:ERA852011 FAT852011:FAW852011 FKP852011:FKS852011 FUL852011:FUO852011 GEH852011:GEK852011 GOD852011:GOG852011 GXZ852011:GYC852011 HHV852011:HHY852011 HRR852011:HRU852011 IBN852011:IBQ852011 ILJ852011:ILM852011 IVF852011:IVI852011 JFB852011:JFE852011 JOX852011:JPA852011 JYT852011:JYW852011 KIP852011:KIS852011 KSL852011:KSO852011 LCH852011:LCK852011 LMD852011:LMG852011 LVZ852011:LWC852011 MFV852011:MFY852011 MPR852011:MPU852011 MZN852011:MZQ852011 NJJ852011:NJM852011 NTF852011:NTI852011 ODB852011:ODE852011 OMX852011:ONA852011 OWT852011:OWW852011 PGP852011:PGS852011 PQL852011:PQO852011 QAH852011:QAK852011 QKD852011:QKG852011 QTZ852011:QUC852011 RDV852011:RDY852011 RNR852011:RNU852011 RXN852011:RXQ852011 SHJ852011:SHM852011 SRF852011:SRI852011 TBB852011:TBE852011 TKX852011:TLA852011 TUT852011:TUW852011 UEP852011:UES852011 UOL852011:UOO852011 UYH852011:UYK852011 VID852011:VIG852011 VRZ852011:VSC852011 WBV852011:WBY852011 WLR852011:WLU852011 WVN852011:WVQ852011 F917528:I917528 JB917547:JE917547 SX917547:TA917547 ACT917547:ACW917547 AMP917547:AMS917547 AWL917547:AWO917547 BGH917547:BGK917547 BQD917547:BQG917547 BZZ917547:CAC917547 CJV917547:CJY917547 CTR917547:CTU917547 DDN917547:DDQ917547 DNJ917547:DNM917547 DXF917547:DXI917547 EHB917547:EHE917547 EQX917547:ERA917547 FAT917547:FAW917547 FKP917547:FKS917547 FUL917547:FUO917547 GEH917547:GEK917547 GOD917547:GOG917547 GXZ917547:GYC917547 HHV917547:HHY917547 HRR917547:HRU917547 IBN917547:IBQ917547 ILJ917547:ILM917547 IVF917547:IVI917547 JFB917547:JFE917547 JOX917547:JPA917547 JYT917547:JYW917547 KIP917547:KIS917547 KSL917547:KSO917547 LCH917547:LCK917547 LMD917547:LMG917547 LVZ917547:LWC917547 MFV917547:MFY917547 MPR917547:MPU917547 MZN917547:MZQ917547 NJJ917547:NJM917547 NTF917547:NTI917547 ODB917547:ODE917547 OMX917547:ONA917547 OWT917547:OWW917547 PGP917547:PGS917547 PQL917547:PQO917547 QAH917547:QAK917547 QKD917547:QKG917547 QTZ917547:QUC917547 RDV917547:RDY917547 RNR917547:RNU917547 RXN917547:RXQ917547 SHJ917547:SHM917547 SRF917547:SRI917547 TBB917547:TBE917547 TKX917547:TLA917547 TUT917547:TUW917547 UEP917547:UES917547 UOL917547:UOO917547 UYH917547:UYK917547 VID917547:VIG917547 VRZ917547:VSC917547 WBV917547:WBY917547 WLR917547:WLU917547 WVN917547:WVQ917547 F983064:I983064 JB983083:JE983083 SX983083:TA983083 ACT983083:ACW983083 AMP983083:AMS983083 AWL983083:AWO983083 BGH983083:BGK983083 BQD983083:BQG983083 BZZ983083:CAC983083 CJV983083:CJY983083 CTR983083:CTU983083 DDN983083:DDQ983083 DNJ983083:DNM983083 DXF983083:DXI983083 EHB983083:EHE983083 EQX983083:ERA983083 FAT983083:FAW983083 FKP983083:FKS983083 FUL983083:FUO983083 GEH983083:GEK983083 GOD983083:GOG983083 GXZ983083:GYC983083 HHV983083:HHY983083 HRR983083:HRU983083 IBN983083:IBQ983083 ILJ983083:ILM983083 IVF983083:IVI983083 JFB983083:JFE983083 JOX983083:JPA983083 JYT983083:JYW983083 KIP983083:KIS983083 KSL983083:KSO983083 LCH983083:LCK983083 LMD983083:LMG983083 LVZ983083:LWC983083 MFV983083:MFY983083 MPR983083:MPU983083 MZN983083:MZQ983083 NJJ983083:NJM983083 NTF983083:NTI983083 ODB983083:ODE983083 OMX983083:ONA983083 OWT983083:OWW983083 PGP983083:PGS983083 PQL983083:PQO983083 QAH983083:QAK983083 QKD983083:QKG983083 QTZ983083:QUC983083 RDV983083:RDY983083 RNR983083:RNU983083 RXN983083:RXQ983083 SHJ983083:SHM983083 SRF983083:SRI983083 TBB983083:TBE983083 TKX983083:TLA983083 TUT983083:TUW983083 UEP983083:UES983083 UOL983083:UOO983083 UYH983083:UYK983083 VID983083:VIG983083 VRZ983083:VSC983083 WBV983083:WBY983083 WLR983083:WLU983083 F62:K63">
      <formula1>$Y$19:$Y$22</formula1>
    </dataValidation>
    <dataValidation type="list" allowBlank="1" showInputMessage="1" showErrorMessage="1" sqref="F61:K61 WVN983125:WVQ983125 WLR983125:WLU983125 WBV983125:WBY983125 VRZ983125:VSC983125 VID983125:VIG983125 UYH983125:UYK983125 UOL983125:UOO983125 UEP983125:UES983125 TUT983125:TUW983125 TKX983125:TLA983125 TBB983125:TBE983125 SRF983125:SRI983125 SHJ983125:SHM983125 RXN983125:RXQ983125 RNR983125:RNU983125 RDV983125:RDY983125 QTZ983125:QUC983125 QKD983125:QKG983125 QAH983125:QAK983125 PQL983125:PQO983125 PGP983125:PGS983125 OWT983125:OWW983125 OMX983125:ONA983125 ODB983125:ODE983125 NTF983125:NTI983125 NJJ983125:NJM983125 MZN983125:MZQ983125 MPR983125:MPU983125 MFV983125:MFY983125 LVZ983125:LWC983125 LMD983125:LMG983125 LCH983125:LCK983125 KSL983125:KSO983125 KIP983125:KIS983125 JYT983125:JYW983125 JOX983125:JPA983125 JFB983125:JFE983125 IVF983125:IVI983125 ILJ983125:ILM983125 IBN983125:IBQ983125 HRR983125:HRU983125 HHV983125:HHY983125 GXZ983125:GYC983125 GOD983125:GOG983125 GEH983125:GEK983125 FUL983125:FUO983125 FKP983125:FKS983125 FAT983125:FAW983125 EQX983125:ERA983125 EHB983125:EHE983125 DXF983125:DXI983125 DNJ983125:DNM983125 DDN983125:DDQ983125 CTR983125:CTU983125 CJV983125:CJY983125 BZZ983125:CAC983125 BQD983125:BQG983125 BGH983125:BGK983125 AWL983125:AWO983125 AMP983125:AMS983125 ACT983125:ACW983125 SX983125:TA983125 JB983125:JE983125 F983106:I983106 WVN917589:WVQ917589 WLR917589:WLU917589 WBV917589:WBY917589 VRZ917589:VSC917589 VID917589:VIG917589 UYH917589:UYK917589 UOL917589:UOO917589 UEP917589:UES917589 TUT917589:TUW917589 TKX917589:TLA917589 TBB917589:TBE917589 SRF917589:SRI917589 SHJ917589:SHM917589 RXN917589:RXQ917589 RNR917589:RNU917589 RDV917589:RDY917589 QTZ917589:QUC917589 QKD917589:QKG917589 QAH917589:QAK917589 PQL917589:PQO917589 PGP917589:PGS917589 OWT917589:OWW917589 OMX917589:ONA917589 ODB917589:ODE917589 NTF917589:NTI917589 NJJ917589:NJM917589 MZN917589:MZQ917589 MPR917589:MPU917589 MFV917589:MFY917589 LVZ917589:LWC917589 LMD917589:LMG917589 LCH917589:LCK917589 KSL917589:KSO917589 KIP917589:KIS917589 JYT917589:JYW917589 JOX917589:JPA917589 JFB917589:JFE917589 IVF917589:IVI917589 ILJ917589:ILM917589 IBN917589:IBQ917589 HRR917589:HRU917589 HHV917589:HHY917589 GXZ917589:GYC917589 GOD917589:GOG917589 GEH917589:GEK917589 FUL917589:FUO917589 FKP917589:FKS917589 FAT917589:FAW917589 EQX917589:ERA917589 EHB917589:EHE917589 DXF917589:DXI917589 DNJ917589:DNM917589 DDN917589:DDQ917589 CTR917589:CTU917589 CJV917589:CJY917589 BZZ917589:CAC917589 BQD917589:BQG917589 BGH917589:BGK917589 AWL917589:AWO917589 AMP917589:AMS917589 ACT917589:ACW917589 SX917589:TA917589 JB917589:JE917589 F917570:I917570 WVN852053:WVQ852053 WLR852053:WLU852053 WBV852053:WBY852053 VRZ852053:VSC852053 VID852053:VIG852053 UYH852053:UYK852053 UOL852053:UOO852053 UEP852053:UES852053 TUT852053:TUW852053 TKX852053:TLA852053 TBB852053:TBE852053 SRF852053:SRI852053 SHJ852053:SHM852053 RXN852053:RXQ852053 RNR852053:RNU852053 RDV852053:RDY852053 QTZ852053:QUC852053 QKD852053:QKG852053 QAH852053:QAK852053 PQL852053:PQO852053 PGP852053:PGS852053 OWT852053:OWW852053 OMX852053:ONA852053 ODB852053:ODE852053 NTF852053:NTI852053 NJJ852053:NJM852053 MZN852053:MZQ852053 MPR852053:MPU852053 MFV852053:MFY852053 LVZ852053:LWC852053 LMD852053:LMG852053 LCH852053:LCK852053 KSL852053:KSO852053 KIP852053:KIS852053 JYT852053:JYW852053 JOX852053:JPA852053 JFB852053:JFE852053 IVF852053:IVI852053 ILJ852053:ILM852053 IBN852053:IBQ852053 HRR852053:HRU852053 HHV852053:HHY852053 GXZ852053:GYC852053 GOD852053:GOG852053 GEH852053:GEK852053 FUL852053:FUO852053 FKP852053:FKS852053 FAT852053:FAW852053 EQX852053:ERA852053 EHB852053:EHE852053 DXF852053:DXI852053 DNJ852053:DNM852053 DDN852053:DDQ852053 CTR852053:CTU852053 CJV852053:CJY852053 BZZ852053:CAC852053 BQD852053:BQG852053 BGH852053:BGK852053 AWL852053:AWO852053 AMP852053:AMS852053 ACT852053:ACW852053 SX852053:TA852053 JB852053:JE852053 F852034:I852034 WVN786517:WVQ786517 WLR786517:WLU786517 WBV786517:WBY786517 VRZ786517:VSC786517 VID786517:VIG786517 UYH786517:UYK786517 UOL786517:UOO786517 UEP786517:UES786517 TUT786517:TUW786517 TKX786517:TLA786517 TBB786517:TBE786517 SRF786517:SRI786517 SHJ786517:SHM786517 RXN786517:RXQ786517 RNR786517:RNU786517 RDV786517:RDY786517 QTZ786517:QUC786517 QKD786517:QKG786517 QAH786517:QAK786517 PQL786517:PQO786517 PGP786517:PGS786517 OWT786517:OWW786517 OMX786517:ONA786517 ODB786517:ODE786517 NTF786517:NTI786517 NJJ786517:NJM786517 MZN786517:MZQ786517 MPR786517:MPU786517 MFV786517:MFY786517 LVZ786517:LWC786517 LMD786517:LMG786517 LCH786517:LCK786517 KSL786517:KSO786517 KIP786517:KIS786517 JYT786517:JYW786517 JOX786517:JPA786517 JFB786517:JFE786517 IVF786517:IVI786517 ILJ786517:ILM786517 IBN786517:IBQ786517 HRR786517:HRU786517 HHV786517:HHY786517 GXZ786517:GYC786517 GOD786517:GOG786517 GEH786517:GEK786517 FUL786517:FUO786517 FKP786517:FKS786517 FAT786517:FAW786517 EQX786517:ERA786517 EHB786517:EHE786517 DXF786517:DXI786517 DNJ786517:DNM786517 DDN786517:DDQ786517 CTR786517:CTU786517 CJV786517:CJY786517 BZZ786517:CAC786517 BQD786517:BQG786517 BGH786517:BGK786517 AWL786517:AWO786517 AMP786517:AMS786517 ACT786517:ACW786517 SX786517:TA786517 JB786517:JE786517 F786498:I786498 WVN720981:WVQ720981 WLR720981:WLU720981 WBV720981:WBY720981 VRZ720981:VSC720981 VID720981:VIG720981 UYH720981:UYK720981 UOL720981:UOO720981 UEP720981:UES720981 TUT720981:TUW720981 TKX720981:TLA720981 TBB720981:TBE720981 SRF720981:SRI720981 SHJ720981:SHM720981 RXN720981:RXQ720981 RNR720981:RNU720981 RDV720981:RDY720981 QTZ720981:QUC720981 QKD720981:QKG720981 QAH720981:QAK720981 PQL720981:PQO720981 PGP720981:PGS720981 OWT720981:OWW720981 OMX720981:ONA720981 ODB720981:ODE720981 NTF720981:NTI720981 NJJ720981:NJM720981 MZN720981:MZQ720981 MPR720981:MPU720981 MFV720981:MFY720981 LVZ720981:LWC720981 LMD720981:LMG720981 LCH720981:LCK720981 KSL720981:KSO720981 KIP720981:KIS720981 JYT720981:JYW720981 JOX720981:JPA720981 JFB720981:JFE720981 IVF720981:IVI720981 ILJ720981:ILM720981 IBN720981:IBQ720981 HRR720981:HRU720981 HHV720981:HHY720981 GXZ720981:GYC720981 GOD720981:GOG720981 GEH720981:GEK720981 FUL720981:FUO720981 FKP720981:FKS720981 FAT720981:FAW720981 EQX720981:ERA720981 EHB720981:EHE720981 DXF720981:DXI720981 DNJ720981:DNM720981 DDN720981:DDQ720981 CTR720981:CTU720981 CJV720981:CJY720981 BZZ720981:CAC720981 BQD720981:BQG720981 BGH720981:BGK720981 AWL720981:AWO720981 AMP720981:AMS720981 ACT720981:ACW720981 SX720981:TA720981 JB720981:JE720981 F720962:I720962 WVN655445:WVQ655445 WLR655445:WLU655445 WBV655445:WBY655445 VRZ655445:VSC655445 VID655445:VIG655445 UYH655445:UYK655445 UOL655445:UOO655445 UEP655445:UES655445 TUT655445:TUW655445 TKX655445:TLA655445 TBB655445:TBE655445 SRF655445:SRI655445 SHJ655445:SHM655445 RXN655445:RXQ655445 RNR655445:RNU655445 RDV655445:RDY655445 QTZ655445:QUC655445 QKD655445:QKG655445 QAH655445:QAK655445 PQL655445:PQO655445 PGP655445:PGS655445 OWT655445:OWW655445 OMX655445:ONA655445 ODB655445:ODE655445 NTF655445:NTI655445 NJJ655445:NJM655445 MZN655445:MZQ655445 MPR655445:MPU655445 MFV655445:MFY655445 LVZ655445:LWC655445 LMD655445:LMG655445 LCH655445:LCK655445 KSL655445:KSO655445 KIP655445:KIS655445 JYT655445:JYW655445 JOX655445:JPA655445 JFB655445:JFE655445 IVF655445:IVI655445 ILJ655445:ILM655445 IBN655445:IBQ655445 HRR655445:HRU655445 HHV655445:HHY655445 GXZ655445:GYC655445 GOD655445:GOG655445 GEH655445:GEK655445 FUL655445:FUO655445 FKP655445:FKS655445 FAT655445:FAW655445 EQX655445:ERA655445 EHB655445:EHE655445 DXF655445:DXI655445 DNJ655445:DNM655445 DDN655445:DDQ655445 CTR655445:CTU655445 CJV655445:CJY655445 BZZ655445:CAC655445 BQD655445:BQG655445 BGH655445:BGK655445 AWL655445:AWO655445 AMP655445:AMS655445 ACT655445:ACW655445 SX655445:TA655445 JB655445:JE655445 F655426:I655426 WVN589909:WVQ589909 WLR589909:WLU589909 WBV589909:WBY589909 VRZ589909:VSC589909 VID589909:VIG589909 UYH589909:UYK589909 UOL589909:UOO589909 UEP589909:UES589909 TUT589909:TUW589909 TKX589909:TLA589909 TBB589909:TBE589909 SRF589909:SRI589909 SHJ589909:SHM589909 RXN589909:RXQ589909 RNR589909:RNU589909 RDV589909:RDY589909 QTZ589909:QUC589909 QKD589909:QKG589909 QAH589909:QAK589909 PQL589909:PQO589909 PGP589909:PGS589909 OWT589909:OWW589909 OMX589909:ONA589909 ODB589909:ODE589909 NTF589909:NTI589909 NJJ589909:NJM589909 MZN589909:MZQ589909 MPR589909:MPU589909 MFV589909:MFY589909 LVZ589909:LWC589909 LMD589909:LMG589909 LCH589909:LCK589909 KSL589909:KSO589909 KIP589909:KIS589909 JYT589909:JYW589909 JOX589909:JPA589909 JFB589909:JFE589909 IVF589909:IVI589909 ILJ589909:ILM589909 IBN589909:IBQ589909 HRR589909:HRU589909 HHV589909:HHY589909 GXZ589909:GYC589909 GOD589909:GOG589909 GEH589909:GEK589909 FUL589909:FUO589909 FKP589909:FKS589909 FAT589909:FAW589909 EQX589909:ERA589909 EHB589909:EHE589909 DXF589909:DXI589909 DNJ589909:DNM589909 DDN589909:DDQ589909 CTR589909:CTU589909 CJV589909:CJY589909 BZZ589909:CAC589909 BQD589909:BQG589909 BGH589909:BGK589909 AWL589909:AWO589909 AMP589909:AMS589909 ACT589909:ACW589909 SX589909:TA589909 JB589909:JE589909 F589890:I589890 WVN524373:WVQ524373 WLR524373:WLU524373 WBV524373:WBY524373 VRZ524373:VSC524373 VID524373:VIG524373 UYH524373:UYK524373 UOL524373:UOO524373 UEP524373:UES524373 TUT524373:TUW524373 TKX524373:TLA524373 TBB524373:TBE524373 SRF524373:SRI524373 SHJ524373:SHM524373 RXN524373:RXQ524373 RNR524373:RNU524373 RDV524373:RDY524373 QTZ524373:QUC524373 QKD524373:QKG524373 QAH524373:QAK524373 PQL524373:PQO524373 PGP524373:PGS524373 OWT524373:OWW524373 OMX524373:ONA524373 ODB524373:ODE524373 NTF524373:NTI524373 NJJ524373:NJM524373 MZN524373:MZQ524373 MPR524373:MPU524373 MFV524373:MFY524373 LVZ524373:LWC524373 LMD524373:LMG524373 LCH524373:LCK524373 KSL524373:KSO524373 KIP524373:KIS524373 JYT524373:JYW524373 JOX524373:JPA524373 JFB524373:JFE524373 IVF524373:IVI524373 ILJ524373:ILM524373 IBN524373:IBQ524373 HRR524373:HRU524373 HHV524373:HHY524373 GXZ524373:GYC524373 GOD524373:GOG524373 GEH524373:GEK524373 FUL524373:FUO524373 FKP524373:FKS524373 FAT524373:FAW524373 EQX524373:ERA524373 EHB524373:EHE524373 DXF524373:DXI524373 DNJ524373:DNM524373 DDN524373:DDQ524373 CTR524373:CTU524373 CJV524373:CJY524373 BZZ524373:CAC524373 BQD524373:BQG524373 BGH524373:BGK524373 AWL524373:AWO524373 AMP524373:AMS524373 ACT524373:ACW524373 SX524373:TA524373 JB524373:JE524373 F524354:I524354 WVN458837:WVQ458837 WLR458837:WLU458837 WBV458837:WBY458837 VRZ458837:VSC458837 VID458837:VIG458837 UYH458837:UYK458837 UOL458837:UOO458837 UEP458837:UES458837 TUT458837:TUW458837 TKX458837:TLA458837 TBB458837:TBE458837 SRF458837:SRI458837 SHJ458837:SHM458837 RXN458837:RXQ458837 RNR458837:RNU458837 RDV458837:RDY458837 QTZ458837:QUC458837 QKD458837:QKG458837 QAH458837:QAK458837 PQL458837:PQO458837 PGP458837:PGS458837 OWT458837:OWW458837 OMX458837:ONA458837 ODB458837:ODE458837 NTF458837:NTI458837 NJJ458837:NJM458837 MZN458837:MZQ458837 MPR458837:MPU458837 MFV458837:MFY458837 LVZ458837:LWC458837 LMD458837:LMG458837 LCH458837:LCK458837 KSL458837:KSO458837 KIP458837:KIS458837 JYT458837:JYW458837 JOX458837:JPA458837 JFB458837:JFE458837 IVF458837:IVI458837 ILJ458837:ILM458837 IBN458837:IBQ458837 HRR458837:HRU458837 HHV458837:HHY458837 GXZ458837:GYC458837 GOD458837:GOG458837 GEH458837:GEK458837 FUL458837:FUO458837 FKP458837:FKS458837 FAT458837:FAW458837 EQX458837:ERA458837 EHB458837:EHE458837 DXF458837:DXI458837 DNJ458837:DNM458837 DDN458837:DDQ458837 CTR458837:CTU458837 CJV458837:CJY458837 BZZ458837:CAC458837 BQD458837:BQG458837 BGH458837:BGK458837 AWL458837:AWO458837 AMP458837:AMS458837 ACT458837:ACW458837 SX458837:TA458837 JB458837:JE458837 F458818:I458818 WVN393301:WVQ393301 WLR393301:WLU393301 WBV393301:WBY393301 VRZ393301:VSC393301 VID393301:VIG393301 UYH393301:UYK393301 UOL393301:UOO393301 UEP393301:UES393301 TUT393301:TUW393301 TKX393301:TLA393301 TBB393301:TBE393301 SRF393301:SRI393301 SHJ393301:SHM393301 RXN393301:RXQ393301 RNR393301:RNU393301 RDV393301:RDY393301 QTZ393301:QUC393301 QKD393301:QKG393301 QAH393301:QAK393301 PQL393301:PQO393301 PGP393301:PGS393301 OWT393301:OWW393301 OMX393301:ONA393301 ODB393301:ODE393301 NTF393301:NTI393301 NJJ393301:NJM393301 MZN393301:MZQ393301 MPR393301:MPU393301 MFV393301:MFY393301 LVZ393301:LWC393301 LMD393301:LMG393301 LCH393301:LCK393301 KSL393301:KSO393301 KIP393301:KIS393301 JYT393301:JYW393301 JOX393301:JPA393301 JFB393301:JFE393301 IVF393301:IVI393301 ILJ393301:ILM393301 IBN393301:IBQ393301 HRR393301:HRU393301 HHV393301:HHY393301 GXZ393301:GYC393301 GOD393301:GOG393301 GEH393301:GEK393301 FUL393301:FUO393301 FKP393301:FKS393301 FAT393301:FAW393301 EQX393301:ERA393301 EHB393301:EHE393301 DXF393301:DXI393301 DNJ393301:DNM393301 DDN393301:DDQ393301 CTR393301:CTU393301 CJV393301:CJY393301 BZZ393301:CAC393301 BQD393301:BQG393301 BGH393301:BGK393301 AWL393301:AWO393301 AMP393301:AMS393301 ACT393301:ACW393301 SX393301:TA393301 JB393301:JE393301 F393282:I393282 WVN327765:WVQ327765 WLR327765:WLU327765 WBV327765:WBY327765 VRZ327765:VSC327765 VID327765:VIG327765 UYH327765:UYK327765 UOL327765:UOO327765 UEP327765:UES327765 TUT327765:TUW327765 TKX327765:TLA327765 TBB327765:TBE327765 SRF327765:SRI327765 SHJ327765:SHM327765 RXN327765:RXQ327765 RNR327765:RNU327765 RDV327765:RDY327765 QTZ327765:QUC327765 QKD327765:QKG327765 QAH327765:QAK327765 PQL327765:PQO327765 PGP327765:PGS327765 OWT327765:OWW327765 OMX327765:ONA327765 ODB327765:ODE327765 NTF327765:NTI327765 NJJ327765:NJM327765 MZN327765:MZQ327765 MPR327765:MPU327765 MFV327765:MFY327765 LVZ327765:LWC327765 LMD327765:LMG327765 LCH327765:LCK327765 KSL327765:KSO327765 KIP327765:KIS327765 JYT327765:JYW327765 JOX327765:JPA327765 JFB327765:JFE327765 IVF327765:IVI327765 ILJ327765:ILM327765 IBN327765:IBQ327765 HRR327765:HRU327765 HHV327765:HHY327765 GXZ327765:GYC327765 GOD327765:GOG327765 GEH327765:GEK327765 FUL327765:FUO327765 FKP327765:FKS327765 FAT327765:FAW327765 EQX327765:ERA327765 EHB327765:EHE327765 DXF327765:DXI327765 DNJ327765:DNM327765 DDN327765:DDQ327765 CTR327765:CTU327765 CJV327765:CJY327765 BZZ327765:CAC327765 BQD327765:BQG327765 BGH327765:BGK327765 AWL327765:AWO327765 AMP327765:AMS327765 ACT327765:ACW327765 SX327765:TA327765 JB327765:JE327765 F327746:I327746 WVN262229:WVQ262229 WLR262229:WLU262229 WBV262229:WBY262229 VRZ262229:VSC262229 VID262229:VIG262229 UYH262229:UYK262229 UOL262229:UOO262229 UEP262229:UES262229 TUT262229:TUW262229 TKX262229:TLA262229 TBB262229:TBE262229 SRF262229:SRI262229 SHJ262229:SHM262229 RXN262229:RXQ262229 RNR262229:RNU262229 RDV262229:RDY262229 QTZ262229:QUC262229 QKD262229:QKG262229 QAH262229:QAK262229 PQL262229:PQO262229 PGP262229:PGS262229 OWT262229:OWW262229 OMX262229:ONA262229 ODB262229:ODE262229 NTF262229:NTI262229 NJJ262229:NJM262229 MZN262229:MZQ262229 MPR262229:MPU262229 MFV262229:MFY262229 LVZ262229:LWC262229 LMD262229:LMG262229 LCH262229:LCK262229 KSL262229:KSO262229 KIP262229:KIS262229 JYT262229:JYW262229 JOX262229:JPA262229 JFB262229:JFE262229 IVF262229:IVI262229 ILJ262229:ILM262229 IBN262229:IBQ262229 HRR262229:HRU262229 HHV262229:HHY262229 GXZ262229:GYC262229 GOD262229:GOG262229 GEH262229:GEK262229 FUL262229:FUO262229 FKP262229:FKS262229 FAT262229:FAW262229 EQX262229:ERA262229 EHB262229:EHE262229 DXF262229:DXI262229 DNJ262229:DNM262229 DDN262229:DDQ262229 CTR262229:CTU262229 CJV262229:CJY262229 BZZ262229:CAC262229 BQD262229:BQG262229 BGH262229:BGK262229 AWL262229:AWO262229 AMP262229:AMS262229 ACT262229:ACW262229 SX262229:TA262229 JB262229:JE262229 F262210:I262210 WVN196693:WVQ196693 WLR196693:WLU196693 WBV196693:WBY196693 VRZ196693:VSC196693 VID196693:VIG196693 UYH196693:UYK196693 UOL196693:UOO196693 UEP196693:UES196693 TUT196693:TUW196693 TKX196693:TLA196693 TBB196693:TBE196693 SRF196693:SRI196693 SHJ196693:SHM196693 RXN196693:RXQ196693 RNR196693:RNU196693 RDV196693:RDY196693 QTZ196693:QUC196693 QKD196693:QKG196693 QAH196693:QAK196693 PQL196693:PQO196693 PGP196693:PGS196693 OWT196693:OWW196693 OMX196693:ONA196693 ODB196693:ODE196693 NTF196693:NTI196693 NJJ196693:NJM196693 MZN196693:MZQ196693 MPR196693:MPU196693 MFV196693:MFY196693 LVZ196693:LWC196693 LMD196693:LMG196693 LCH196693:LCK196693 KSL196693:KSO196693 KIP196693:KIS196693 JYT196693:JYW196693 JOX196693:JPA196693 JFB196693:JFE196693 IVF196693:IVI196693 ILJ196693:ILM196693 IBN196693:IBQ196693 HRR196693:HRU196693 HHV196693:HHY196693 GXZ196693:GYC196693 GOD196693:GOG196693 GEH196693:GEK196693 FUL196693:FUO196693 FKP196693:FKS196693 FAT196693:FAW196693 EQX196693:ERA196693 EHB196693:EHE196693 DXF196693:DXI196693 DNJ196693:DNM196693 DDN196693:DDQ196693 CTR196693:CTU196693 CJV196693:CJY196693 BZZ196693:CAC196693 BQD196693:BQG196693 BGH196693:BGK196693 AWL196693:AWO196693 AMP196693:AMS196693 ACT196693:ACW196693 SX196693:TA196693 JB196693:JE196693 F196674:I196674 WVN131157:WVQ131157 WLR131157:WLU131157 WBV131157:WBY131157 VRZ131157:VSC131157 VID131157:VIG131157 UYH131157:UYK131157 UOL131157:UOO131157 UEP131157:UES131157 TUT131157:TUW131157 TKX131157:TLA131157 TBB131157:TBE131157 SRF131157:SRI131157 SHJ131157:SHM131157 RXN131157:RXQ131157 RNR131157:RNU131157 RDV131157:RDY131157 QTZ131157:QUC131157 QKD131157:QKG131157 QAH131157:QAK131157 PQL131157:PQO131157 PGP131157:PGS131157 OWT131157:OWW131157 OMX131157:ONA131157 ODB131157:ODE131157 NTF131157:NTI131157 NJJ131157:NJM131157 MZN131157:MZQ131157 MPR131157:MPU131157 MFV131157:MFY131157 LVZ131157:LWC131157 LMD131157:LMG131157 LCH131157:LCK131157 KSL131157:KSO131157 KIP131157:KIS131157 JYT131157:JYW131157 JOX131157:JPA131157 JFB131157:JFE131157 IVF131157:IVI131157 ILJ131157:ILM131157 IBN131157:IBQ131157 HRR131157:HRU131157 HHV131157:HHY131157 GXZ131157:GYC131157 GOD131157:GOG131157 GEH131157:GEK131157 FUL131157:FUO131157 FKP131157:FKS131157 FAT131157:FAW131157 EQX131157:ERA131157 EHB131157:EHE131157 DXF131157:DXI131157 DNJ131157:DNM131157 DDN131157:DDQ131157 CTR131157:CTU131157 CJV131157:CJY131157 BZZ131157:CAC131157 BQD131157:BQG131157 BGH131157:BGK131157 AWL131157:AWO131157 AMP131157:AMS131157 ACT131157:ACW131157 SX131157:TA131157 JB131157:JE131157 F131138:I131138 WVN65621:WVQ65621 WLR65621:WLU65621 WBV65621:WBY65621 VRZ65621:VSC65621 VID65621:VIG65621 UYH65621:UYK65621 UOL65621:UOO65621 UEP65621:UES65621 TUT65621:TUW65621 TKX65621:TLA65621 TBB65621:TBE65621 SRF65621:SRI65621 SHJ65621:SHM65621 RXN65621:RXQ65621 RNR65621:RNU65621 RDV65621:RDY65621 QTZ65621:QUC65621 QKD65621:QKG65621 QAH65621:QAK65621 PQL65621:PQO65621 PGP65621:PGS65621 OWT65621:OWW65621 OMX65621:ONA65621 ODB65621:ODE65621 NTF65621:NTI65621 NJJ65621:NJM65621 MZN65621:MZQ65621 MPR65621:MPU65621 MFV65621:MFY65621 LVZ65621:LWC65621 LMD65621:LMG65621 LCH65621:LCK65621 KSL65621:KSO65621 KIP65621:KIS65621 JYT65621:JYW65621 JOX65621:JPA65621 JFB65621:JFE65621 IVF65621:IVI65621 ILJ65621:ILM65621 IBN65621:IBQ65621 HRR65621:HRU65621 HHV65621:HHY65621 GXZ65621:GYC65621 GOD65621:GOG65621 GEH65621:GEK65621 FUL65621:FUO65621 FKP65621:FKS65621 FAT65621:FAW65621 EQX65621:ERA65621 EHB65621:EHE65621 DXF65621:DXI65621 DNJ65621:DNM65621 DDN65621:DDQ65621 CTR65621:CTU65621 CJV65621:CJY65621 BZZ65621:CAC65621 BQD65621:BQG65621 BGH65621:BGK65621 AWL65621:AWO65621 AMP65621:AMS65621 ACT65621:ACW65621 SX65621:TA65621 JB65621:JE65621 F65602:I65602 WVN80:WVQ80 WLR80:WLU80 WBV80:WBY80 VRZ80:VSC80 VID80:VIG80 UYH80:UYK80 UOL80:UOO80 UEP80:UES80 TUT80:TUW80 TKX80:TLA80 TBB80:TBE80 SRF80:SRI80 SHJ80:SHM80 RXN80:RXQ80 RNR80:RNU80 RDV80:RDY80 QTZ80:QUC80 QKD80:QKG80 QAH80:QAK80 PQL80:PQO80 PGP80:PGS80 OWT80:OWW80 OMX80:ONA80 ODB80:ODE80 NTF80:NTI80 NJJ80:NJM80 MZN80:MZQ80 MPR80:MPU80 MFV80:MFY80 LVZ80:LWC80 LMD80:LMG80 LCH80:LCK80 KSL80:KSO80 KIP80:KIS80 JYT80:JYW80 JOX80:JPA80 JFB80:JFE80 IVF80:IVI80 ILJ80:ILM80 IBN80:IBQ80 HRR80:HRU80 HHV80:HHY80 GXZ80:GYC80 GOD80:GOG80 GEH80:GEK80 FUL80:FUO80 FKP80:FKS80 FAT80:FAW80 EQX80:ERA80 EHB80:EHE80 DXF80:DXI80 DNJ80:DNM80 DDN80:DDQ80 CTR80:CTU80 CJV80:CJY80 BZZ80:CAC80 BQD80:BQG80 BGH80:BGK80 AWL80:AWO80 AMP80:AMS80 ACT80:ACW80 SX80:TA80 JB80:JE80">
      <formula1>$V$74:$V$75</formula1>
    </dataValidation>
    <dataValidation type="list" allowBlank="1" showInputMessage="1" showErrorMessage="1" sqref="F16:K16 JB30:JE30 SX30:TA30 ACT30:ACW30 AMP30:AMS30 AWL30:AWO30 BGH30:BGK30 BQD30:BQG30 BZZ30:CAC30 CJV30:CJY30 CTR30:CTU30 DDN30:DDQ30 DNJ30:DNM30 DXF30:DXI30 EHB30:EHE30 EQX30:ERA30 FAT30:FAW30 FKP30:FKS30 FUL30:FUO30 GEH30:GEK30 GOD30:GOG30 GXZ30:GYC30 HHV30:HHY30 HRR30:HRU30 IBN30:IBQ30 ILJ30:ILM30 IVF30:IVI30 JFB30:JFE30 JOX30:JPA30 JYT30:JYW30 KIP30:KIS30 KSL30:KSO30 LCH30:LCK30 LMD30:LMG30 LVZ30:LWC30 MFV30:MFY30 MPR30:MPU30 MZN30:MZQ30 NJJ30:NJM30 NTF30:NTI30 ODB30:ODE30 OMX30:ONA30 OWT30:OWW30 PGP30:PGS30 PQL30:PQO30 QAH30:QAK30 QKD30:QKG30 QTZ30:QUC30 RDV30:RDY30 RNR30:RNU30 RXN30:RXQ30 SHJ30:SHM30 SRF30:SRI30 TBB30:TBE30 TKX30:TLA30 TUT30:TUW30 UEP30:UES30 UOL30:UOO30 UYH30:UYK30 VID30:VIG30 VRZ30:VSC30 WBV30:WBY30 WLR30:WLU30 WVN30:WVQ30 F65559:I65559 JB65578:JE65578 SX65578:TA65578 ACT65578:ACW65578 AMP65578:AMS65578 AWL65578:AWO65578 BGH65578:BGK65578 BQD65578:BQG65578 BZZ65578:CAC65578 CJV65578:CJY65578 CTR65578:CTU65578 DDN65578:DDQ65578 DNJ65578:DNM65578 DXF65578:DXI65578 EHB65578:EHE65578 EQX65578:ERA65578 FAT65578:FAW65578 FKP65578:FKS65578 FUL65578:FUO65578 GEH65578:GEK65578 GOD65578:GOG65578 GXZ65578:GYC65578 HHV65578:HHY65578 HRR65578:HRU65578 IBN65578:IBQ65578 ILJ65578:ILM65578 IVF65578:IVI65578 JFB65578:JFE65578 JOX65578:JPA65578 JYT65578:JYW65578 KIP65578:KIS65578 KSL65578:KSO65578 LCH65578:LCK65578 LMD65578:LMG65578 LVZ65578:LWC65578 MFV65578:MFY65578 MPR65578:MPU65578 MZN65578:MZQ65578 NJJ65578:NJM65578 NTF65578:NTI65578 ODB65578:ODE65578 OMX65578:ONA65578 OWT65578:OWW65578 PGP65578:PGS65578 PQL65578:PQO65578 QAH65578:QAK65578 QKD65578:QKG65578 QTZ65578:QUC65578 RDV65578:RDY65578 RNR65578:RNU65578 RXN65578:RXQ65578 SHJ65578:SHM65578 SRF65578:SRI65578 TBB65578:TBE65578 TKX65578:TLA65578 TUT65578:TUW65578 UEP65578:UES65578 UOL65578:UOO65578 UYH65578:UYK65578 VID65578:VIG65578 VRZ65578:VSC65578 WBV65578:WBY65578 WLR65578:WLU65578 WVN65578:WVQ65578 F131095:I131095 JB131114:JE131114 SX131114:TA131114 ACT131114:ACW131114 AMP131114:AMS131114 AWL131114:AWO131114 BGH131114:BGK131114 BQD131114:BQG131114 BZZ131114:CAC131114 CJV131114:CJY131114 CTR131114:CTU131114 DDN131114:DDQ131114 DNJ131114:DNM131114 DXF131114:DXI131114 EHB131114:EHE131114 EQX131114:ERA131114 FAT131114:FAW131114 FKP131114:FKS131114 FUL131114:FUO131114 GEH131114:GEK131114 GOD131114:GOG131114 GXZ131114:GYC131114 HHV131114:HHY131114 HRR131114:HRU131114 IBN131114:IBQ131114 ILJ131114:ILM131114 IVF131114:IVI131114 JFB131114:JFE131114 JOX131114:JPA131114 JYT131114:JYW131114 KIP131114:KIS131114 KSL131114:KSO131114 LCH131114:LCK131114 LMD131114:LMG131114 LVZ131114:LWC131114 MFV131114:MFY131114 MPR131114:MPU131114 MZN131114:MZQ131114 NJJ131114:NJM131114 NTF131114:NTI131114 ODB131114:ODE131114 OMX131114:ONA131114 OWT131114:OWW131114 PGP131114:PGS131114 PQL131114:PQO131114 QAH131114:QAK131114 QKD131114:QKG131114 QTZ131114:QUC131114 RDV131114:RDY131114 RNR131114:RNU131114 RXN131114:RXQ131114 SHJ131114:SHM131114 SRF131114:SRI131114 TBB131114:TBE131114 TKX131114:TLA131114 TUT131114:TUW131114 UEP131114:UES131114 UOL131114:UOO131114 UYH131114:UYK131114 VID131114:VIG131114 VRZ131114:VSC131114 WBV131114:WBY131114 WLR131114:WLU131114 WVN131114:WVQ131114 F196631:I196631 JB196650:JE196650 SX196650:TA196650 ACT196650:ACW196650 AMP196650:AMS196650 AWL196650:AWO196650 BGH196650:BGK196650 BQD196650:BQG196650 BZZ196650:CAC196650 CJV196650:CJY196650 CTR196650:CTU196650 DDN196650:DDQ196650 DNJ196650:DNM196650 DXF196650:DXI196650 EHB196650:EHE196650 EQX196650:ERA196650 FAT196650:FAW196650 FKP196650:FKS196650 FUL196650:FUO196650 GEH196650:GEK196650 GOD196650:GOG196650 GXZ196650:GYC196650 HHV196650:HHY196650 HRR196650:HRU196650 IBN196650:IBQ196650 ILJ196650:ILM196650 IVF196650:IVI196650 JFB196650:JFE196650 JOX196650:JPA196650 JYT196650:JYW196650 KIP196650:KIS196650 KSL196650:KSO196650 LCH196650:LCK196650 LMD196650:LMG196650 LVZ196650:LWC196650 MFV196650:MFY196650 MPR196650:MPU196650 MZN196650:MZQ196650 NJJ196650:NJM196650 NTF196650:NTI196650 ODB196650:ODE196650 OMX196650:ONA196650 OWT196650:OWW196650 PGP196650:PGS196650 PQL196650:PQO196650 QAH196650:QAK196650 QKD196650:QKG196650 QTZ196650:QUC196650 RDV196650:RDY196650 RNR196650:RNU196650 RXN196650:RXQ196650 SHJ196650:SHM196650 SRF196650:SRI196650 TBB196650:TBE196650 TKX196650:TLA196650 TUT196650:TUW196650 UEP196650:UES196650 UOL196650:UOO196650 UYH196650:UYK196650 VID196650:VIG196650 VRZ196650:VSC196650 WBV196650:WBY196650 WLR196650:WLU196650 WVN196650:WVQ196650 F262167:I262167 JB262186:JE262186 SX262186:TA262186 ACT262186:ACW262186 AMP262186:AMS262186 AWL262186:AWO262186 BGH262186:BGK262186 BQD262186:BQG262186 BZZ262186:CAC262186 CJV262186:CJY262186 CTR262186:CTU262186 DDN262186:DDQ262186 DNJ262186:DNM262186 DXF262186:DXI262186 EHB262186:EHE262186 EQX262186:ERA262186 FAT262186:FAW262186 FKP262186:FKS262186 FUL262186:FUO262186 GEH262186:GEK262186 GOD262186:GOG262186 GXZ262186:GYC262186 HHV262186:HHY262186 HRR262186:HRU262186 IBN262186:IBQ262186 ILJ262186:ILM262186 IVF262186:IVI262186 JFB262186:JFE262186 JOX262186:JPA262186 JYT262186:JYW262186 KIP262186:KIS262186 KSL262186:KSO262186 LCH262186:LCK262186 LMD262186:LMG262186 LVZ262186:LWC262186 MFV262186:MFY262186 MPR262186:MPU262186 MZN262186:MZQ262186 NJJ262186:NJM262186 NTF262186:NTI262186 ODB262186:ODE262186 OMX262186:ONA262186 OWT262186:OWW262186 PGP262186:PGS262186 PQL262186:PQO262186 QAH262186:QAK262186 QKD262186:QKG262186 QTZ262186:QUC262186 RDV262186:RDY262186 RNR262186:RNU262186 RXN262186:RXQ262186 SHJ262186:SHM262186 SRF262186:SRI262186 TBB262186:TBE262186 TKX262186:TLA262186 TUT262186:TUW262186 UEP262186:UES262186 UOL262186:UOO262186 UYH262186:UYK262186 VID262186:VIG262186 VRZ262186:VSC262186 WBV262186:WBY262186 WLR262186:WLU262186 WVN262186:WVQ262186 F327703:I327703 JB327722:JE327722 SX327722:TA327722 ACT327722:ACW327722 AMP327722:AMS327722 AWL327722:AWO327722 BGH327722:BGK327722 BQD327722:BQG327722 BZZ327722:CAC327722 CJV327722:CJY327722 CTR327722:CTU327722 DDN327722:DDQ327722 DNJ327722:DNM327722 DXF327722:DXI327722 EHB327722:EHE327722 EQX327722:ERA327722 FAT327722:FAW327722 FKP327722:FKS327722 FUL327722:FUO327722 GEH327722:GEK327722 GOD327722:GOG327722 GXZ327722:GYC327722 HHV327722:HHY327722 HRR327722:HRU327722 IBN327722:IBQ327722 ILJ327722:ILM327722 IVF327722:IVI327722 JFB327722:JFE327722 JOX327722:JPA327722 JYT327722:JYW327722 KIP327722:KIS327722 KSL327722:KSO327722 LCH327722:LCK327722 LMD327722:LMG327722 LVZ327722:LWC327722 MFV327722:MFY327722 MPR327722:MPU327722 MZN327722:MZQ327722 NJJ327722:NJM327722 NTF327722:NTI327722 ODB327722:ODE327722 OMX327722:ONA327722 OWT327722:OWW327722 PGP327722:PGS327722 PQL327722:PQO327722 QAH327722:QAK327722 QKD327722:QKG327722 QTZ327722:QUC327722 RDV327722:RDY327722 RNR327722:RNU327722 RXN327722:RXQ327722 SHJ327722:SHM327722 SRF327722:SRI327722 TBB327722:TBE327722 TKX327722:TLA327722 TUT327722:TUW327722 UEP327722:UES327722 UOL327722:UOO327722 UYH327722:UYK327722 VID327722:VIG327722 VRZ327722:VSC327722 WBV327722:WBY327722 WLR327722:WLU327722 WVN327722:WVQ327722 F393239:I393239 JB393258:JE393258 SX393258:TA393258 ACT393258:ACW393258 AMP393258:AMS393258 AWL393258:AWO393258 BGH393258:BGK393258 BQD393258:BQG393258 BZZ393258:CAC393258 CJV393258:CJY393258 CTR393258:CTU393258 DDN393258:DDQ393258 DNJ393258:DNM393258 DXF393258:DXI393258 EHB393258:EHE393258 EQX393258:ERA393258 FAT393258:FAW393258 FKP393258:FKS393258 FUL393258:FUO393258 GEH393258:GEK393258 GOD393258:GOG393258 GXZ393258:GYC393258 HHV393258:HHY393258 HRR393258:HRU393258 IBN393258:IBQ393258 ILJ393258:ILM393258 IVF393258:IVI393258 JFB393258:JFE393258 JOX393258:JPA393258 JYT393258:JYW393258 KIP393258:KIS393258 KSL393258:KSO393258 LCH393258:LCK393258 LMD393258:LMG393258 LVZ393258:LWC393258 MFV393258:MFY393258 MPR393258:MPU393258 MZN393258:MZQ393258 NJJ393258:NJM393258 NTF393258:NTI393258 ODB393258:ODE393258 OMX393258:ONA393258 OWT393258:OWW393258 PGP393258:PGS393258 PQL393258:PQO393258 QAH393258:QAK393258 QKD393258:QKG393258 QTZ393258:QUC393258 RDV393258:RDY393258 RNR393258:RNU393258 RXN393258:RXQ393258 SHJ393258:SHM393258 SRF393258:SRI393258 TBB393258:TBE393258 TKX393258:TLA393258 TUT393258:TUW393258 UEP393258:UES393258 UOL393258:UOO393258 UYH393258:UYK393258 VID393258:VIG393258 VRZ393258:VSC393258 WBV393258:WBY393258 WLR393258:WLU393258 WVN393258:WVQ393258 F458775:I458775 JB458794:JE458794 SX458794:TA458794 ACT458794:ACW458794 AMP458794:AMS458794 AWL458794:AWO458794 BGH458794:BGK458794 BQD458794:BQG458794 BZZ458794:CAC458794 CJV458794:CJY458794 CTR458794:CTU458794 DDN458794:DDQ458794 DNJ458794:DNM458794 DXF458794:DXI458794 EHB458794:EHE458794 EQX458794:ERA458794 FAT458794:FAW458794 FKP458794:FKS458794 FUL458794:FUO458794 GEH458794:GEK458794 GOD458794:GOG458794 GXZ458794:GYC458794 HHV458794:HHY458794 HRR458794:HRU458794 IBN458794:IBQ458794 ILJ458794:ILM458794 IVF458794:IVI458794 JFB458794:JFE458794 JOX458794:JPA458794 JYT458794:JYW458794 KIP458794:KIS458794 KSL458794:KSO458794 LCH458794:LCK458794 LMD458794:LMG458794 LVZ458794:LWC458794 MFV458794:MFY458794 MPR458794:MPU458794 MZN458794:MZQ458794 NJJ458794:NJM458794 NTF458794:NTI458794 ODB458794:ODE458794 OMX458794:ONA458794 OWT458794:OWW458794 PGP458794:PGS458794 PQL458794:PQO458794 QAH458794:QAK458794 QKD458794:QKG458794 QTZ458794:QUC458794 RDV458794:RDY458794 RNR458794:RNU458794 RXN458794:RXQ458794 SHJ458794:SHM458794 SRF458794:SRI458794 TBB458794:TBE458794 TKX458794:TLA458794 TUT458794:TUW458794 UEP458794:UES458794 UOL458794:UOO458794 UYH458794:UYK458794 VID458794:VIG458794 VRZ458794:VSC458794 WBV458794:WBY458794 WLR458794:WLU458794 WVN458794:WVQ458794 F524311:I524311 JB524330:JE524330 SX524330:TA524330 ACT524330:ACW524330 AMP524330:AMS524330 AWL524330:AWO524330 BGH524330:BGK524330 BQD524330:BQG524330 BZZ524330:CAC524330 CJV524330:CJY524330 CTR524330:CTU524330 DDN524330:DDQ524330 DNJ524330:DNM524330 DXF524330:DXI524330 EHB524330:EHE524330 EQX524330:ERA524330 FAT524330:FAW524330 FKP524330:FKS524330 FUL524330:FUO524330 GEH524330:GEK524330 GOD524330:GOG524330 GXZ524330:GYC524330 HHV524330:HHY524330 HRR524330:HRU524330 IBN524330:IBQ524330 ILJ524330:ILM524330 IVF524330:IVI524330 JFB524330:JFE524330 JOX524330:JPA524330 JYT524330:JYW524330 KIP524330:KIS524330 KSL524330:KSO524330 LCH524330:LCK524330 LMD524330:LMG524330 LVZ524330:LWC524330 MFV524330:MFY524330 MPR524330:MPU524330 MZN524330:MZQ524330 NJJ524330:NJM524330 NTF524330:NTI524330 ODB524330:ODE524330 OMX524330:ONA524330 OWT524330:OWW524330 PGP524330:PGS524330 PQL524330:PQO524330 QAH524330:QAK524330 QKD524330:QKG524330 QTZ524330:QUC524330 RDV524330:RDY524330 RNR524330:RNU524330 RXN524330:RXQ524330 SHJ524330:SHM524330 SRF524330:SRI524330 TBB524330:TBE524330 TKX524330:TLA524330 TUT524330:TUW524330 UEP524330:UES524330 UOL524330:UOO524330 UYH524330:UYK524330 VID524330:VIG524330 VRZ524330:VSC524330 WBV524330:WBY524330 WLR524330:WLU524330 WVN524330:WVQ524330 F589847:I589847 JB589866:JE589866 SX589866:TA589866 ACT589866:ACW589866 AMP589866:AMS589866 AWL589866:AWO589866 BGH589866:BGK589866 BQD589866:BQG589866 BZZ589866:CAC589866 CJV589866:CJY589866 CTR589866:CTU589866 DDN589866:DDQ589866 DNJ589866:DNM589866 DXF589866:DXI589866 EHB589866:EHE589866 EQX589866:ERA589866 FAT589866:FAW589866 FKP589866:FKS589866 FUL589866:FUO589866 GEH589866:GEK589866 GOD589866:GOG589866 GXZ589866:GYC589866 HHV589866:HHY589866 HRR589866:HRU589866 IBN589866:IBQ589866 ILJ589866:ILM589866 IVF589866:IVI589866 JFB589866:JFE589866 JOX589866:JPA589866 JYT589866:JYW589866 KIP589866:KIS589866 KSL589866:KSO589866 LCH589866:LCK589866 LMD589866:LMG589866 LVZ589866:LWC589866 MFV589866:MFY589866 MPR589866:MPU589866 MZN589866:MZQ589866 NJJ589866:NJM589866 NTF589866:NTI589866 ODB589866:ODE589866 OMX589866:ONA589866 OWT589866:OWW589866 PGP589866:PGS589866 PQL589866:PQO589866 QAH589866:QAK589866 QKD589866:QKG589866 QTZ589866:QUC589866 RDV589866:RDY589866 RNR589866:RNU589866 RXN589866:RXQ589866 SHJ589866:SHM589866 SRF589866:SRI589866 TBB589866:TBE589866 TKX589866:TLA589866 TUT589866:TUW589866 UEP589866:UES589866 UOL589866:UOO589866 UYH589866:UYK589866 VID589866:VIG589866 VRZ589866:VSC589866 WBV589866:WBY589866 WLR589866:WLU589866 WVN589866:WVQ589866 F655383:I655383 JB655402:JE655402 SX655402:TA655402 ACT655402:ACW655402 AMP655402:AMS655402 AWL655402:AWO655402 BGH655402:BGK655402 BQD655402:BQG655402 BZZ655402:CAC655402 CJV655402:CJY655402 CTR655402:CTU655402 DDN655402:DDQ655402 DNJ655402:DNM655402 DXF655402:DXI655402 EHB655402:EHE655402 EQX655402:ERA655402 FAT655402:FAW655402 FKP655402:FKS655402 FUL655402:FUO655402 GEH655402:GEK655402 GOD655402:GOG655402 GXZ655402:GYC655402 HHV655402:HHY655402 HRR655402:HRU655402 IBN655402:IBQ655402 ILJ655402:ILM655402 IVF655402:IVI655402 JFB655402:JFE655402 JOX655402:JPA655402 JYT655402:JYW655402 KIP655402:KIS655402 KSL655402:KSO655402 LCH655402:LCK655402 LMD655402:LMG655402 LVZ655402:LWC655402 MFV655402:MFY655402 MPR655402:MPU655402 MZN655402:MZQ655402 NJJ655402:NJM655402 NTF655402:NTI655402 ODB655402:ODE655402 OMX655402:ONA655402 OWT655402:OWW655402 PGP655402:PGS655402 PQL655402:PQO655402 QAH655402:QAK655402 QKD655402:QKG655402 QTZ655402:QUC655402 RDV655402:RDY655402 RNR655402:RNU655402 RXN655402:RXQ655402 SHJ655402:SHM655402 SRF655402:SRI655402 TBB655402:TBE655402 TKX655402:TLA655402 TUT655402:TUW655402 UEP655402:UES655402 UOL655402:UOO655402 UYH655402:UYK655402 VID655402:VIG655402 VRZ655402:VSC655402 WBV655402:WBY655402 WLR655402:WLU655402 WVN655402:WVQ655402 F720919:I720919 JB720938:JE720938 SX720938:TA720938 ACT720938:ACW720938 AMP720938:AMS720938 AWL720938:AWO720938 BGH720938:BGK720938 BQD720938:BQG720938 BZZ720938:CAC720938 CJV720938:CJY720938 CTR720938:CTU720938 DDN720938:DDQ720938 DNJ720938:DNM720938 DXF720938:DXI720938 EHB720938:EHE720938 EQX720938:ERA720938 FAT720938:FAW720938 FKP720938:FKS720938 FUL720938:FUO720938 GEH720938:GEK720938 GOD720938:GOG720938 GXZ720938:GYC720938 HHV720938:HHY720938 HRR720938:HRU720938 IBN720938:IBQ720938 ILJ720938:ILM720938 IVF720938:IVI720938 JFB720938:JFE720938 JOX720938:JPA720938 JYT720938:JYW720938 KIP720938:KIS720938 KSL720938:KSO720938 LCH720938:LCK720938 LMD720938:LMG720938 LVZ720938:LWC720938 MFV720938:MFY720938 MPR720938:MPU720938 MZN720938:MZQ720938 NJJ720938:NJM720938 NTF720938:NTI720938 ODB720938:ODE720938 OMX720938:ONA720938 OWT720938:OWW720938 PGP720938:PGS720938 PQL720938:PQO720938 QAH720938:QAK720938 QKD720938:QKG720938 QTZ720938:QUC720938 RDV720938:RDY720938 RNR720938:RNU720938 RXN720938:RXQ720938 SHJ720938:SHM720938 SRF720938:SRI720938 TBB720938:TBE720938 TKX720938:TLA720938 TUT720938:TUW720938 UEP720938:UES720938 UOL720938:UOO720938 UYH720938:UYK720938 VID720938:VIG720938 VRZ720938:VSC720938 WBV720938:WBY720938 WLR720938:WLU720938 WVN720938:WVQ720938 F786455:I786455 JB786474:JE786474 SX786474:TA786474 ACT786474:ACW786474 AMP786474:AMS786474 AWL786474:AWO786474 BGH786474:BGK786474 BQD786474:BQG786474 BZZ786474:CAC786474 CJV786474:CJY786474 CTR786474:CTU786474 DDN786474:DDQ786474 DNJ786474:DNM786474 DXF786474:DXI786474 EHB786474:EHE786474 EQX786474:ERA786474 FAT786474:FAW786474 FKP786474:FKS786474 FUL786474:FUO786474 GEH786474:GEK786474 GOD786474:GOG786474 GXZ786474:GYC786474 HHV786474:HHY786474 HRR786474:HRU786474 IBN786474:IBQ786474 ILJ786474:ILM786474 IVF786474:IVI786474 JFB786474:JFE786474 JOX786474:JPA786474 JYT786474:JYW786474 KIP786474:KIS786474 KSL786474:KSO786474 LCH786474:LCK786474 LMD786474:LMG786474 LVZ786474:LWC786474 MFV786474:MFY786474 MPR786474:MPU786474 MZN786474:MZQ786474 NJJ786474:NJM786474 NTF786474:NTI786474 ODB786474:ODE786474 OMX786474:ONA786474 OWT786474:OWW786474 PGP786474:PGS786474 PQL786474:PQO786474 QAH786474:QAK786474 QKD786474:QKG786474 QTZ786474:QUC786474 RDV786474:RDY786474 RNR786474:RNU786474 RXN786474:RXQ786474 SHJ786474:SHM786474 SRF786474:SRI786474 TBB786474:TBE786474 TKX786474:TLA786474 TUT786474:TUW786474 UEP786474:UES786474 UOL786474:UOO786474 UYH786474:UYK786474 VID786474:VIG786474 VRZ786474:VSC786474 WBV786474:WBY786474 WLR786474:WLU786474 WVN786474:WVQ786474 F851991:I851991 JB852010:JE852010 SX852010:TA852010 ACT852010:ACW852010 AMP852010:AMS852010 AWL852010:AWO852010 BGH852010:BGK852010 BQD852010:BQG852010 BZZ852010:CAC852010 CJV852010:CJY852010 CTR852010:CTU852010 DDN852010:DDQ852010 DNJ852010:DNM852010 DXF852010:DXI852010 EHB852010:EHE852010 EQX852010:ERA852010 FAT852010:FAW852010 FKP852010:FKS852010 FUL852010:FUO852010 GEH852010:GEK852010 GOD852010:GOG852010 GXZ852010:GYC852010 HHV852010:HHY852010 HRR852010:HRU852010 IBN852010:IBQ852010 ILJ852010:ILM852010 IVF852010:IVI852010 JFB852010:JFE852010 JOX852010:JPA852010 JYT852010:JYW852010 KIP852010:KIS852010 KSL852010:KSO852010 LCH852010:LCK852010 LMD852010:LMG852010 LVZ852010:LWC852010 MFV852010:MFY852010 MPR852010:MPU852010 MZN852010:MZQ852010 NJJ852010:NJM852010 NTF852010:NTI852010 ODB852010:ODE852010 OMX852010:ONA852010 OWT852010:OWW852010 PGP852010:PGS852010 PQL852010:PQO852010 QAH852010:QAK852010 QKD852010:QKG852010 QTZ852010:QUC852010 RDV852010:RDY852010 RNR852010:RNU852010 RXN852010:RXQ852010 SHJ852010:SHM852010 SRF852010:SRI852010 TBB852010:TBE852010 TKX852010:TLA852010 TUT852010:TUW852010 UEP852010:UES852010 UOL852010:UOO852010 UYH852010:UYK852010 VID852010:VIG852010 VRZ852010:VSC852010 WBV852010:WBY852010 WLR852010:WLU852010 WVN852010:WVQ852010 F917527:I917527 JB917546:JE917546 SX917546:TA917546 ACT917546:ACW917546 AMP917546:AMS917546 AWL917546:AWO917546 BGH917546:BGK917546 BQD917546:BQG917546 BZZ917546:CAC917546 CJV917546:CJY917546 CTR917546:CTU917546 DDN917546:DDQ917546 DNJ917546:DNM917546 DXF917546:DXI917546 EHB917546:EHE917546 EQX917546:ERA917546 FAT917546:FAW917546 FKP917546:FKS917546 FUL917546:FUO917546 GEH917546:GEK917546 GOD917546:GOG917546 GXZ917546:GYC917546 HHV917546:HHY917546 HRR917546:HRU917546 IBN917546:IBQ917546 ILJ917546:ILM917546 IVF917546:IVI917546 JFB917546:JFE917546 JOX917546:JPA917546 JYT917546:JYW917546 KIP917546:KIS917546 KSL917546:KSO917546 LCH917546:LCK917546 LMD917546:LMG917546 LVZ917546:LWC917546 MFV917546:MFY917546 MPR917546:MPU917546 MZN917546:MZQ917546 NJJ917546:NJM917546 NTF917546:NTI917546 ODB917546:ODE917546 OMX917546:ONA917546 OWT917546:OWW917546 PGP917546:PGS917546 PQL917546:PQO917546 QAH917546:QAK917546 QKD917546:QKG917546 QTZ917546:QUC917546 RDV917546:RDY917546 RNR917546:RNU917546 RXN917546:RXQ917546 SHJ917546:SHM917546 SRF917546:SRI917546 TBB917546:TBE917546 TKX917546:TLA917546 TUT917546:TUW917546 UEP917546:UES917546 UOL917546:UOO917546 UYH917546:UYK917546 VID917546:VIG917546 VRZ917546:VSC917546 WBV917546:WBY917546 WLR917546:WLU917546 WVN917546:WVQ917546 F983063:I983063 JB983082:JE983082 SX983082:TA983082 ACT983082:ACW983082 AMP983082:AMS983082 AWL983082:AWO983082 BGH983082:BGK983082 BQD983082:BQG983082 BZZ983082:CAC983082 CJV983082:CJY983082 CTR983082:CTU983082 DDN983082:DDQ983082 DNJ983082:DNM983082 DXF983082:DXI983082 EHB983082:EHE983082 EQX983082:ERA983082 FAT983082:FAW983082 FKP983082:FKS983082 FUL983082:FUO983082 GEH983082:GEK983082 GOD983082:GOG983082 GXZ983082:GYC983082 HHV983082:HHY983082 HRR983082:HRU983082 IBN983082:IBQ983082 ILJ983082:ILM983082 IVF983082:IVI983082 JFB983082:JFE983082 JOX983082:JPA983082 JYT983082:JYW983082 KIP983082:KIS983082 KSL983082:KSO983082 LCH983082:LCK983082 LMD983082:LMG983082 LVZ983082:LWC983082 MFV983082:MFY983082 MPR983082:MPU983082 MZN983082:MZQ983082 NJJ983082:NJM983082 NTF983082:NTI983082 ODB983082:ODE983082 OMX983082:ONA983082 OWT983082:OWW983082 PGP983082:PGS983082 PQL983082:PQO983082 QAH983082:QAK983082 QKD983082:QKG983082 QTZ983082:QUC983082 RDV983082:RDY983082 RNR983082:RNU983082 RXN983082:RXQ983082 SHJ983082:SHM983082 SRF983082:SRI983082 TBB983082:TBE983082 TKX983082:TLA983082 TUT983082:TUW983082 UEP983082:UES983082 UOL983082:UOO983082 UYH983082:UYK983082 VID983082:VIG983082 VRZ983082:VSC983082 WBV983082:WBY983082 WLR983082:WLU983082 WVN983082:WVQ983082">
      <formula1>$V$20:$V$21</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2">
    <pageSetUpPr fitToPage="1"/>
  </sheetPr>
  <dimension ref="B1:AC122"/>
  <sheetViews>
    <sheetView view="pageBreakPreview" zoomScale="60" zoomScaleNormal="70" workbookViewId="0">
      <selection activeCell="S42" sqref="S42"/>
    </sheetView>
  </sheetViews>
  <sheetFormatPr defaultColWidth="11.42578125" defaultRowHeight="12.75" x14ac:dyDescent="0.2"/>
  <cols>
    <col min="1" max="1" width="4.42578125" customWidth="1"/>
    <col min="2" max="2" width="6.7109375" customWidth="1"/>
    <col min="3" max="3" width="1.5703125" customWidth="1"/>
    <col min="4" max="4" width="10.140625" customWidth="1"/>
    <col min="5" max="7" width="6.7109375" customWidth="1"/>
    <col min="8" max="8" width="7.42578125" customWidth="1"/>
    <col min="9" max="9" width="26.42578125" bestFit="1" customWidth="1"/>
    <col min="10" max="10" width="7.28515625" customWidth="1"/>
    <col min="11" max="11" width="6.85546875" customWidth="1"/>
    <col min="12" max="12" width="8.85546875" customWidth="1"/>
    <col min="13" max="13" width="12" customWidth="1"/>
    <col min="14" max="14" width="15.42578125" customWidth="1"/>
    <col min="15" max="15" width="14" customWidth="1"/>
    <col min="16" max="16" width="15.7109375" customWidth="1"/>
    <col min="17" max="17" width="7.5703125" customWidth="1"/>
    <col min="18" max="18" width="7.7109375" customWidth="1"/>
    <col min="19" max="19" width="51.85546875" customWidth="1"/>
    <col min="20" max="20" width="16.7109375" customWidth="1"/>
    <col min="22" max="23" width="14.28515625" customWidth="1"/>
  </cols>
  <sheetData>
    <row r="1" spans="2:20" ht="16.5" customHeight="1" thickBot="1" x14ac:dyDescent="0.25">
      <c r="B1" s="541"/>
      <c r="C1" s="541"/>
      <c r="D1" s="541"/>
      <c r="E1" s="541"/>
      <c r="F1" s="541"/>
      <c r="G1" s="541"/>
      <c r="H1" s="541"/>
      <c r="I1" s="541"/>
      <c r="J1" s="541"/>
      <c r="K1" s="541"/>
      <c r="L1" s="541"/>
      <c r="M1" s="541"/>
      <c r="N1" s="541"/>
      <c r="O1" s="541"/>
      <c r="P1" s="541"/>
      <c r="Q1" s="542" t="s">
        <v>957</v>
      </c>
      <c r="R1" s="543" t="e">
        <f>#REF!+1</f>
        <v>#REF!</v>
      </c>
    </row>
    <row r="2" spans="2:20" ht="16.5" customHeight="1" x14ac:dyDescent="0.25">
      <c r="B2" s="544"/>
      <c r="C2" s="545"/>
      <c r="D2" s="545"/>
      <c r="E2" s="984" t="s">
        <v>970</v>
      </c>
      <c r="F2" s="984"/>
      <c r="G2" s="984"/>
      <c r="H2" s="984"/>
      <c r="I2" s="984"/>
      <c r="J2" s="984"/>
      <c r="K2" s="984"/>
      <c r="L2" s="984"/>
      <c r="M2" s="984"/>
      <c r="N2" s="984"/>
      <c r="O2" s="984"/>
      <c r="P2" s="987" t="s">
        <v>851</v>
      </c>
      <c r="Q2" s="988"/>
      <c r="R2" s="632" t="str">
        <f>IF(ISBLANK(General!$E$6),"",General!$E$6)</f>
        <v/>
      </c>
    </row>
    <row r="3" spans="2:20" ht="16.5" customHeight="1" x14ac:dyDescent="0.2">
      <c r="B3" s="547"/>
      <c r="C3" s="548"/>
      <c r="D3" s="549"/>
      <c r="E3" s="985"/>
      <c r="F3" s="985"/>
      <c r="G3" s="985"/>
      <c r="H3" s="985"/>
      <c r="I3" s="985"/>
      <c r="J3" s="985"/>
      <c r="K3" s="985"/>
      <c r="L3" s="985"/>
      <c r="M3" s="985"/>
      <c r="N3" s="985"/>
      <c r="O3" s="985"/>
      <c r="P3" s="989" t="s">
        <v>958</v>
      </c>
      <c r="Q3" s="990"/>
      <c r="R3" s="550" t="str">
        <f>IF(ISBLANK(General!$E$12),"",General!$E$12)</f>
        <v/>
      </c>
    </row>
    <row r="4" spans="2:20" ht="16.5" customHeight="1" x14ac:dyDescent="0.2">
      <c r="B4" s="547"/>
      <c r="C4" s="548"/>
      <c r="D4" s="549"/>
      <c r="E4" s="985"/>
      <c r="F4" s="985"/>
      <c r="G4" s="985"/>
      <c r="H4" s="985"/>
      <c r="I4" s="985"/>
      <c r="J4" s="985"/>
      <c r="K4" s="985"/>
      <c r="L4" s="985"/>
      <c r="M4" s="985"/>
      <c r="N4" s="985"/>
      <c r="O4" s="985"/>
      <c r="P4" s="989" t="s">
        <v>959</v>
      </c>
      <c r="Q4" s="990"/>
      <c r="R4" s="551" t="str">
        <f>IF(ISBLANK(General!$E$13),"",General!$E$13)</f>
        <v/>
      </c>
    </row>
    <row r="5" spans="2:20" ht="16.5" customHeight="1" x14ac:dyDescent="0.2">
      <c r="B5" s="552"/>
      <c r="C5" s="553"/>
      <c r="D5" s="553"/>
      <c r="E5" s="986"/>
      <c r="F5" s="986"/>
      <c r="G5" s="986"/>
      <c r="H5" s="986"/>
      <c r="I5" s="986"/>
      <c r="J5" s="986"/>
      <c r="K5" s="986"/>
      <c r="L5" s="986"/>
      <c r="M5" s="986"/>
      <c r="N5" s="986"/>
      <c r="O5" s="986"/>
      <c r="P5" s="1089" t="s">
        <v>960</v>
      </c>
      <c r="Q5" s="1090"/>
      <c r="R5" s="554" t="str">
        <f>IF(ISBLANK(General!$E$14),"",General!$E$14)</f>
        <v/>
      </c>
    </row>
    <row r="6" spans="2:20" ht="16.5" customHeight="1" x14ac:dyDescent="0.2">
      <c r="B6" s="1017" t="s">
        <v>897</v>
      </c>
      <c r="C6" s="1018"/>
      <c r="D6" s="1019"/>
      <c r="E6" s="978" t="str">
        <f>IF(ISBLANK(General!$E$8),"",General!$E$8)</f>
        <v/>
      </c>
      <c r="F6" s="979"/>
      <c r="G6" s="979"/>
      <c r="H6" s="979"/>
      <c r="I6" s="1087"/>
      <c r="J6" s="970" t="s">
        <v>961</v>
      </c>
      <c r="K6" s="971"/>
      <c r="L6" s="972"/>
      <c r="M6" s="978" t="str">
        <f>IF(ISBLANK(General!$D$33),"",General!$D$33)</f>
        <v/>
      </c>
      <c r="N6" s="979"/>
      <c r="O6" s="979"/>
      <c r="P6" s="979"/>
      <c r="Q6" s="979"/>
      <c r="R6" s="980"/>
    </row>
    <row r="7" spans="2:20" ht="16.5" customHeight="1" x14ac:dyDescent="0.2">
      <c r="B7" s="991" t="s">
        <v>962</v>
      </c>
      <c r="C7" s="992"/>
      <c r="D7" s="1020"/>
      <c r="E7" s="981" t="str">
        <f>IF(ISBLANK(General!$E$9),"",General!$E$9)</f>
        <v/>
      </c>
      <c r="F7" s="982"/>
      <c r="G7" s="982"/>
      <c r="H7" s="982"/>
      <c r="I7" s="1088"/>
      <c r="J7" s="975" t="s">
        <v>963</v>
      </c>
      <c r="K7" s="976"/>
      <c r="L7" s="977"/>
      <c r="M7" s="981" t="str">
        <f>IF(ISBLANK(General!$E$33),"",General!$E$33)</f>
        <v/>
      </c>
      <c r="N7" s="982"/>
      <c r="O7" s="982"/>
      <c r="P7" s="982"/>
      <c r="Q7" s="982"/>
      <c r="R7" s="983"/>
    </row>
    <row r="8" spans="2:20" ht="16.5" customHeight="1" x14ac:dyDescent="0.2">
      <c r="B8" s="1015" t="s">
        <v>932</v>
      </c>
      <c r="C8" s="1016"/>
      <c r="D8" s="1047"/>
      <c r="E8" s="957" t="str">
        <f>IF(ISBLANK(General!$E$17),"",General!$E$17)</f>
        <v/>
      </c>
      <c r="F8" s="958"/>
      <c r="G8" s="958"/>
      <c r="H8" s="958"/>
      <c r="I8" s="1081"/>
      <c r="J8" s="954" t="s">
        <v>930</v>
      </c>
      <c r="K8" s="955"/>
      <c r="L8" s="956"/>
      <c r="M8" s="957" t="str">
        <f>IF(ISBLANK(General!$E$16),"",General!$E$16)</f>
        <v/>
      </c>
      <c r="N8" s="958"/>
      <c r="O8" s="958"/>
      <c r="P8" s="958"/>
      <c r="Q8" s="958"/>
      <c r="R8" s="959"/>
    </row>
    <row r="9" spans="2:20" ht="15" customHeight="1" x14ac:dyDescent="0.25">
      <c r="B9" s="1013" t="s">
        <v>157</v>
      </c>
      <c r="C9" s="1014"/>
      <c r="D9" s="1014"/>
      <c r="E9" s="1014"/>
      <c r="F9" s="1014"/>
      <c r="G9" s="1014"/>
      <c r="H9" s="1014"/>
      <c r="I9" s="1014"/>
      <c r="J9" s="1014"/>
      <c r="K9" s="1014"/>
      <c r="L9" s="1014"/>
      <c r="M9" s="1014"/>
      <c r="N9" s="1014"/>
      <c r="O9" s="1014"/>
      <c r="P9" s="1014"/>
      <c r="Q9" s="1014"/>
      <c r="R9" s="1082"/>
    </row>
    <row r="10" spans="2:20" ht="15.75" customHeight="1" x14ac:dyDescent="0.2">
      <c r="B10" s="253"/>
      <c r="C10" s="1"/>
      <c r="D10" s="1"/>
      <c r="E10" s="1"/>
      <c r="F10" s="1"/>
      <c r="G10" s="1"/>
      <c r="H10" s="1"/>
      <c r="I10" s="1"/>
      <c r="J10" s="1"/>
      <c r="K10" s="1"/>
      <c r="L10" s="1"/>
      <c r="M10" s="1"/>
      <c r="N10" s="1"/>
      <c r="O10" s="1"/>
      <c r="P10" s="1"/>
      <c r="Q10" s="1"/>
      <c r="R10" s="264"/>
    </row>
    <row r="11" spans="2:20" ht="15.75" customHeight="1" x14ac:dyDescent="0.2">
      <c r="B11" s="253"/>
      <c r="C11" s="1190" t="s">
        <v>688</v>
      </c>
      <c r="D11" s="1190"/>
      <c r="E11" s="1190"/>
      <c r="F11" s="1190"/>
      <c r="G11" s="1190"/>
      <c r="H11" s="1190"/>
      <c r="I11" s="1190"/>
      <c r="J11" s="1190"/>
      <c r="K11" s="1190"/>
      <c r="L11" s="1190"/>
      <c r="M11" s="1190"/>
      <c r="N11" s="1190"/>
      <c r="O11" s="1190"/>
      <c r="P11" s="1"/>
      <c r="Q11" s="1"/>
      <c r="R11" s="264"/>
    </row>
    <row r="12" spans="2:20" ht="16.5" customHeight="1" x14ac:dyDescent="0.3">
      <c r="B12" s="253"/>
      <c r="C12" s="1173" t="s">
        <v>791</v>
      </c>
      <c r="D12" s="1173"/>
      <c r="E12" s="1173"/>
      <c r="F12" s="1173"/>
      <c r="G12" s="1173"/>
      <c r="H12" s="1173"/>
      <c r="I12" s="1173"/>
      <c r="J12" s="1173"/>
      <c r="K12" s="1180" t="s">
        <v>4</v>
      </c>
      <c r="L12" s="1180"/>
      <c r="M12" s="715" t="s">
        <v>5</v>
      </c>
      <c r="N12" s="716" t="s">
        <v>238</v>
      </c>
      <c r="O12" s="716" t="s">
        <v>239</v>
      </c>
      <c r="P12" s="912"/>
      <c r="Q12" s="913"/>
      <c r="R12" s="913"/>
      <c r="T12" s="193"/>
    </row>
    <row r="13" spans="2:20" ht="15.75" customHeight="1" x14ac:dyDescent="0.2">
      <c r="B13" s="253"/>
      <c r="C13" s="691"/>
      <c r="D13" s="1184" t="s">
        <v>219</v>
      </c>
      <c r="E13" s="1184"/>
      <c r="F13" s="1184"/>
      <c r="G13" s="1184"/>
      <c r="H13" s="1184"/>
      <c r="I13" s="1184"/>
      <c r="J13" s="1185"/>
      <c r="K13" s="1181" t="s">
        <v>53</v>
      </c>
      <c r="L13" s="1181"/>
      <c r="M13" s="692" t="s">
        <v>78</v>
      </c>
      <c r="N13" s="704">
        <v>1.75</v>
      </c>
      <c r="O13" s="704">
        <v>1.75</v>
      </c>
      <c r="P13" s="914"/>
      <c r="Q13" s="915"/>
      <c r="R13" s="916"/>
      <c r="T13" s="2"/>
    </row>
    <row r="14" spans="2:20" ht="18" customHeight="1" x14ac:dyDescent="0.2">
      <c r="B14" s="253"/>
      <c r="C14" s="693"/>
      <c r="D14" s="1188" t="s">
        <v>703</v>
      </c>
      <c r="E14" s="1188"/>
      <c r="F14" s="1188"/>
      <c r="G14" s="1188"/>
      <c r="H14" s="1188"/>
      <c r="I14" s="1188"/>
      <c r="J14" s="1189"/>
      <c r="K14" s="1182"/>
      <c r="L14" s="1182"/>
      <c r="M14" s="694" t="s">
        <v>78</v>
      </c>
      <c r="N14" s="705">
        <v>0.109</v>
      </c>
      <c r="O14" s="705">
        <v>0.109</v>
      </c>
      <c r="P14" s="914"/>
      <c r="Q14" s="915"/>
      <c r="R14" s="915"/>
    </row>
    <row r="15" spans="2:20" ht="15.75" customHeight="1" x14ac:dyDescent="0.2">
      <c r="B15" s="253"/>
      <c r="C15" s="693"/>
      <c r="D15" s="1188" t="s">
        <v>219</v>
      </c>
      <c r="E15" s="1188"/>
      <c r="F15" s="1188"/>
      <c r="G15" s="1188"/>
      <c r="H15" s="1188"/>
      <c r="I15" s="1188"/>
      <c r="J15" s="1189"/>
      <c r="K15" s="1182" t="s">
        <v>53</v>
      </c>
      <c r="L15" s="1182"/>
      <c r="M15" s="694" t="s">
        <v>216</v>
      </c>
      <c r="N15" s="705">
        <f>+(N13-(2*N14))*0.08333</f>
        <v>0.12766156000000001</v>
      </c>
      <c r="O15" s="705">
        <f>+(O13-(2*O14))*0.08333</f>
        <v>0.12766156000000001</v>
      </c>
      <c r="P15" s="914"/>
      <c r="Q15" s="915"/>
      <c r="R15" s="915"/>
    </row>
    <row r="16" spans="2:20" ht="26.25" customHeight="1" x14ac:dyDescent="0.2">
      <c r="B16" s="253"/>
      <c r="C16" s="693"/>
      <c r="D16" s="1188" t="s">
        <v>220</v>
      </c>
      <c r="E16" s="1188"/>
      <c r="F16" s="1188"/>
      <c r="G16" s="1188"/>
      <c r="H16" s="1188"/>
      <c r="I16" s="1188"/>
      <c r="J16" s="1189"/>
      <c r="K16" s="1182" t="s">
        <v>54</v>
      </c>
      <c r="L16" s="1182"/>
      <c r="M16" s="694" t="s">
        <v>216</v>
      </c>
      <c r="N16" s="706">
        <v>37.5</v>
      </c>
      <c r="O16" s="705">
        <v>37.5</v>
      </c>
      <c r="P16" s="914"/>
      <c r="Q16" s="915"/>
      <c r="R16" s="915"/>
    </row>
    <row r="17" spans="2:29" ht="15.75" customHeight="1" x14ac:dyDescent="0.2">
      <c r="B17" s="253"/>
      <c r="C17" s="693"/>
      <c r="D17" s="1188" t="s">
        <v>221</v>
      </c>
      <c r="E17" s="1188"/>
      <c r="F17" s="1188"/>
      <c r="G17" s="1188"/>
      <c r="H17" s="1188"/>
      <c r="I17" s="1188"/>
      <c r="J17" s="1189"/>
      <c r="K17" s="1182" t="s">
        <v>222</v>
      </c>
      <c r="L17" s="1182"/>
      <c r="M17" s="694"/>
      <c r="N17" s="706">
        <v>5120</v>
      </c>
      <c r="O17" s="705">
        <f t="shared" ref="O17:O20" si="0">N17</f>
        <v>5120</v>
      </c>
      <c r="P17" s="914"/>
      <c r="Q17" s="915"/>
      <c r="R17" s="915"/>
    </row>
    <row r="18" spans="2:29" ht="15.75" customHeight="1" x14ac:dyDescent="0.2">
      <c r="B18" s="253"/>
      <c r="C18" s="693"/>
      <c r="D18" s="1188" t="s">
        <v>55</v>
      </c>
      <c r="E18" s="1188"/>
      <c r="F18" s="1188"/>
      <c r="G18" s="1188"/>
      <c r="H18" s="1188"/>
      <c r="I18" s="1188"/>
      <c r="J18" s="1189"/>
      <c r="K18" s="1182" t="s">
        <v>57</v>
      </c>
      <c r="L18" s="1182"/>
      <c r="M18" s="694" t="s">
        <v>217</v>
      </c>
      <c r="N18" s="707">
        <f>(PI()*0.25*N15*N15*(N16-0.5))*N17</f>
        <v>2424.8331499691644</v>
      </c>
      <c r="O18" s="707">
        <f>(PI()*0.25*O15*O15*(O16-0.5))*O17</f>
        <v>2424.8331499691644</v>
      </c>
      <c r="P18" s="912"/>
      <c r="Q18" s="916"/>
      <c r="R18" s="916"/>
    </row>
    <row r="19" spans="2:29" ht="15.75" customHeight="1" x14ac:dyDescent="0.2">
      <c r="B19" s="253"/>
      <c r="C19" s="693"/>
      <c r="D19" s="1188" t="s">
        <v>56</v>
      </c>
      <c r="E19" s="1188"/>
      <c r="F19" s="1188"/>
      <c r="G19" s="1188"/>
      <c r="H19" s="1188"/>
      <c r="I19" s="1188"/>
      <c r="J19" s="1189"/>
      <c r="K19" s="1182" t="s">
        <v>58</v>
      </c>
      <c r="L19" s="1182"/>
      <c r="M19" s="694" t="s">
        <v>217</v>
      </c>
      <c r="N19" s="705">
        <v>0</v>
      </c>
      <c r="O19" s="705">
        <f t="shared" si="0"/>
        <v>0</v>
      </c>
      <c r="P19" s="914"/>
      <c r="Q19" s="915"/>
      <c r="R19" s="916"/>
    </row>
    <row r="20" spans="2:29" ht="15.75" customHeight="1" x14ac:dyDescent="0.2">
      <c r="B20" s="253"/>
      <c r="C20" s="695"/>
      <c r="D20" s="1192" t="s">
        <v>60</v>
      </c>
      <c r="E20" s="1192"/>
      <c r="F20" s="1192"/>
      <c r="G20" s="1192"/>
      <c r="H20" s="1192"/>
      <c r="I20" s="1192"/>
      <c r="J20" s="1193"/>
      <c r="K20" s="1186" t="s">
        <v>59</v>
      </c>
      <c r="L20" s="1186"/>
      <c r="M20" s="696" t="s">
        <v>218</v>
      </c>
      <c r="N20" s="708">
        <v>50.78</v>
      </c>
      <c r="O20" s="708">
        <f t="shared" si="0"/>
        <v>50.78</v>
      </c>
      <c r="P20" s="912"/>
      <c r="Q20" s="916"/>
      <c r="R20" s="916"/>
    </row>
    <row r="21" spans="2:29" ht="15.75" customHeight="1" x14ac:dyDescent="0.2">
      <c r="B21" s="253"/>
      <c r="C21" s="1174" t="s">
        <v>139</v>
      </c>
      <c r="D21" s="1174"/>
      <c r="E21" s="1174"/>
      <c r="F21" s="1174"/>
      <c r="G21" s="1174"/>
      <c r="H21" s="1174"/>
      <c r="I21" s="1174"/>
      <c r="J21" s="1174"/>
      <c r="K21" s="1175" t="s">
        <v>15</v>
      </c>
      <c r="L21" s="1176"/>
      <c r="M21" s="1176"/>
      <c r="N21" s="1176"/>
      <c r="O21" s="1177"/>
      <c r="P21" s="914"/>
      <c r="Q21" s="915"/>
      <c r="R21" s="916"/>
    </row>
    <row r="22" spans="2:29" ht="15.75" customHeight="1" x14ac:dyDescent="0.2">
      <c r="B22" s="253"/>
      <c r="C22" s="638"/>
      <c r="D22" s="1169" t="s">
        <v>61</v>
      </c>
      <c r="E22" s="1169"/>
      <c r="F22" s="1169"/>
      <c r="G22" s="1169"/>
      <c r="H22" s="1169"/>
      <c r="I22" s="1169"/>
      <c r="J22" s="1183"/>
      <c r="K22" s="1187" t="s">
        <v>142</v>
      </c>
      <c r="L22" s="1187"/>
      <c r="M22" s="28" t="s">
        <v>217</v>
      </c>
      <c r="N22" s="698">
        <f>PI()*0.25*N15*N15*N16*N17</f>
        <v>2457.601165509288</v>
      </c>
      <c r="O22" s="698">
        <f>PI()*0.25*O15*O15*O16*O17</f>
        <v>2457.601165509288</v>
      </c>
      <c r="P22" s="912"/>
      <c r="Q22" s="916"/>
      <c r="R22" s="916"/>
    </row>
    <row r="23" spans="2:29" ht="15.75" customHeight="1" x14ac:dyDescent="0.2">
      <c r="B23" s="253"/>
      <c r="C23" s="1174" t="s">
        <v>140</v>
      </c>
      <c r="D23" s="1174"/>
      <c r="E23" s="1174"/>
      <c r="F23" s="1174"/>
      <c r="G23" s="1174"/>
      <c r="H23" s="1174"/>
      <c r="I23" s="1174"/>
      <c r="J23" s="1174"/>
      <c r="K23" s="1175" t="s">
        <v>15</v>
      </c>
      <c r="L23" s="1176"/>
      <c r="M23" s="1176"/>
      <c r="N23" s="1176"/>
      <c r="O23" s="1177"/>
      <c r="P23" s="914"/>
      <c r="Q23" s="915"/>
      <c r="R23" s="916"/>
    </row>
    <row r="24" spans="2:29" ht="15.75" customHeight="1" x14ac:dyDescent="0.2">
      <c r="B24" s="253"/>
      <c r="C24" s="638"/>
      <c r="D24" s="1169" t="s">
        <v>62</v>
      </c>
      <c r="E24" s="1169"/>
      <c r="F24" s="1169"/>
      <c r="G24" s="1169"/>
      <c r="H24" s="1169"/>
      <c r="I24" s="1169"/>
      <c r="J24" s="1183"/>
      <c r="K24" s="1187" t="s">
        <v>143</v>
      </c>
      <c r="L24" s="1187"/>
      <c r="M24" s="28" t="s">
        <v>217</v>
      </c>
      <c r="N24" s="698">
        <f>0.6*N22</f>
        <v>1474.5606993055728</v>
      </c>
      <c r="O24" s="698">
        <f>0.6*O22</f>
        <v>1474.5606993055728</v>
      </c>
      <c r="P24" s="1"/>
      <c r="Q24" s="1"/>
      <c r="R24" s="264"/>
    </row>
    <row r="25" spans="2:29" ht="17.25" customHeight="1" x14ac:dyDescent="0.2">
      <c r="B25" s="253"/>
      <c r="C25" s="1174" t="s">
        <v>176</v>
      </c>
      <c r="D25" s="1174"/>
      <c r="E25" s="1174"/>
      <c r="F25" s="1174"/>
      <c r="G25" s="1174"/>
      <c r="H25" s="1174"/>
      <c r="I25" s="1174"/>
      <c r="J25" s="1174"/>
      <c r="K25" s="1175" t="s">
        <v>15</v>
      </c>
      <c r="L25" s="1176"/>
      <c r="M25" s="1176"/>
      <c r="N25" s="1176"/>
      <c r="O25" s="1177"/>
      <c r="P25" s="1"/>
      <c r="Q25" s="1"/>
      <c r="R25" s="264"/>
    </row>
    <row r="26" spans="2:29" ht="16.5" customHeight="1" x14ac:dyDescent="0.2">
      <c r="B26" s="253"/>
      <c r="C26" s="691"/>
      <c r="D26" s="1184" t="s">
        <v>64</v>
      </c>
      <c r="E26" s="1184"/>
      <c r="F26" s="1184"/>
      <c r="G26" s="1184"/>
      <c r="H26" s="1184"/>
      <c r="I26" s="1184"/>
      <c r="J26" s="1185"/>
      <c r="K26" s="1191" t="s">
        <v>63</v>
      </c>
      <c r="L26" s="1191"/>
      <c r="M26" s="692" t="s">
        <v>217</v>
      </c>
      <c r="N26" s="700">
        <f>+(N22-N18-N19)</f>
        <v>32.768015540123542</v>
      </c>
      <c r="O26" s="700">
        <f>+(O22-O18-O19)</f>
        <v>32.768015540123542</v>
      </c>
      <c r="P26" s="1"/>
      <c r="Q26" s="1"/>
      <c r="R26" s="264"/>
    </row>
    <row r="27" spans="2:29" ht="15.75" customHeight="1" x14ac:dyDescent="0.2">
      <c r="B27" s="253"/>
      <c r="C27" s="693"/>
      <c r="D27" s="1188" t="s">
        <v>65</v>
      </c>
      <c r="E27" s="1188"/>
      <c r="F27" s="1188"/>
      <c r="G27" s="1188"/>
      <c r="H27" s="1188"/>
      <c r="I27" s="1188"/>
      <c r="J27" s="1189"/>
      <c r="K27" s="1170" t="s">
        <v>68</v>
      </c>
      <c r="L27" s="1170"/>
      <c r="M27" s="694" t="s">
        <v>217</v>
      </c>
      <c r="N27" s="648">
        <f>0.00801*N18*N20</f>
        <v>986.29554911702769</v>
      </c>
      <c r="O27" s="648">
        <f>0.00801*O18*O20</f>
        <v>986.29554911702769</v>
      </c>
      <c r="P27" s="1"/>
      <c r="Q27" s="1"/>
      <c r="R27" s="264"/>
      <c r="AB27" s="49"/>
    </row>
    <row r="28" spans="2:29" ht="15.75" customHeight="1" x14ac:dyDescent="0.2">
      <c r="B28" s="253"/>
      <c r="C28" s="693"/>
      <c r="D28" s="1188" t="s">
        <v>66</v>
      </c>
      <c r="E28" s="1188"/>
      <c r="F28" s="1188"/>
      <c r="G28" s="1188"/>
      <c r="H28" s="1188"/>
      <c r="I28" s="1188"/>
      <c r="J28" s="1189"/>
      <c r="K28" s="1171" t="s">
        <v>69</v>
      </c>
      <c r="L28" s="1171"/>
      <c r="M28" s="702" t="s">
        <v>217</v>
      </c>
      <c r="N28" s="703">
        <f>0.4*N18</f>
        <v>969.93325998766579</v>
      </c>
      <c r="O28" s="703">
        <f>0.4*O18</f>
        <v>969.93325998766579</v>
      </c>
      <c r="P28" s="1"/>
      <c r="Q28" s="1"/>
      <c r="R28" s="264"/>
      <c r="AB28" s="49"/>
    </row>
    <row r="29" spans="2:29" ht="15.75" customHeight="1" x14ac:dyDescent="0.2">
      <c r="B29" s="253"/>
      <c r="C29" s="689"/>
      <c r="D29" s="1178" t="s">
        <v>67</v>
      </c>
      <c r="E29" s="1178"/>
      <c r="F29" s="1178"/>
      <c r="G29" s="1178"/>
      <c r="H29" s="1178"/>
      <c r="I29" s="1178"/>
      <c r="J29" s="1179"/>
      <c r="K29" s="1172" t="s">
        <v>144</v>
      </c>
      <c r="L29" s="1172"/>
      <c r="M29" s="697" t="s">
        <v>217</v>
      </c>
      <c r="N29" s="690">
        <f>+N26+N27+N28</f>
        <v>1988.996824644817</v>
      </c>
      <c r="O29" s="690">
        <f>+O26+O27+O28</f>
        <v>1988.996824644817</v>
      </c>
      <c r="P29" s="1"/>
      <c r="Q29" s="1"/>
      <c r="R29" s="264"/>
      <c r="AC29" s="49"/>
    </row>
    <row r="30" spans="2:29" ht="15.75" customHeight="1" x14ac:dyDescent="0.2">
      <c r="B30" s="253"/>
      <c r="C30" s="1"/>
      <c r="D30" s="1"/>
      <c r="E30" s="1"/>
      <c r="F30" s="1"/>
      <c r="G30" s="1"/>
      <c r="H30" s="1"/>
      <c r="I30" s="1"/>
      <c r="J30" s="1"/>
      <c r="K30" s="1"/>
      <c r="L30" s="1"/>
      <c r="M30" s="1"/>
      <c r="N30" s="1"/>
      <c r="O30" s="1"/>
      <c r="P30" s="1"/>
      <c r="Q30" s="1"/>
      <c r="R30" s="264"/>
    </row>
    <row r="31" spans="2:29" ht="15.75" customHeight="1" x14ac:dyDescent="0.2">
      <c r="B31" s="253"/>
      <c r="C31" s="1"/>
      <c r="D31" s="1"/>
      <c r="E31" s="1"/>
      <c r="F31" s="1"/>
      <c r="G31" s="1"/>
      <c r="H31" s="1"/>
      <c r="I31" s="1"/>
      <c r="J31" s="1"/>
      <c r="K31" s="1"/>
      <c r="L31" s="1"/>
      <c r="M31" s="1"/>
      <c r="N31" s="1"/>
      <c r="O31" s="1"/>
      <c r="P31" s="1"/>
      <c r="Q31" s="1"/>
      <c r="R31" s="264"/>
    </row>
    <row r="32" spans="2:29" ht="15.75" customHeight="1" x14ac:dyDescent="0.2">
      <c r="B32" s="253"/>
      <c r="C32" s="1"/>
      <c r="D32" s="1"/>
      <c r="E32" s="1"/>
      <c r="F32" s="1"/>
      <c r="G32" s="1"/>
      <c r="H32" s="1"/>
      <c r="I32" s="1"/>
      <c r="J32" s="1"/>
      <c r="K32" s="1"/>
      <c r="L32" s="1"/>
      <c r="M32" s="1"/>
      <c r="N32" s="1"/>
      <c r="O32" s="1"/>
      <c r="P32" s="1"/>
      <c r="Q32" s="1"/>
      <c r="R32" s="264"/>
    </row>
    <row r="33" spans="2:18" ht="15.75" customHeight="1" x14ac:dyDescent="0.2">
      <c r="B33" s="253"/>
      <c r="C33" s="1190" t="s">
        <v>998</v>
      </c>
      <c r="D33" s="1190"/>
      <c r="E33" s="1190"/>
      <c r="F33" s="1190"/>
      <c r="G33" s="1190"/>
      <c r="H33" s="1190"/>
      <c r="I33" s="1190"/>
      <c r="J33" s="1190"/>
      <c r="K33" s="1190"/>
      <c r="L33" s="1190"/>
      <c r="M33" s="1190"/>
      <c r="N33" s="1190"/>
      <c r="O33" s="1190"/>
      <c r="P33" s="1"/>
      <c r="Q33" s="1"/>
      <c r="R33" s="264"/>
    </row>
    <row r="34" spans="2:18" ht="15.75" customHeight="1" x14ac:dyDescent="0.2">
      <c r="B34" s="253"/>
      <c r="C34" s="1173" t="s">
        <v>791</v>
      </c>
      <c r="D34" s="1173"/>
      <c r="E34" s="1173"/>
      <c r="F34" s="1173"/>
      <c r="G34" s="1173"/>
      <c r="H34" s="1173"/>
      <c r="I34" s="1173"/>
      <c r="J34" s="1173"/>
      <c r="K34" s="1180" t="s">
        <v>4</v>
      </c>
      <c r="L34" s="1180"/>
      <c r="M34" s="897" t="s">
        <v>5</v>
      </c>
      <c r="N34" s="716" t="s">
        <v>238</v>
      </c>
      <c r="O34" s="716" t="s">
        <v>239</v>
      </c>
      <c r="P34" s="1"/>
      <c r="Q34" s="1"/>
      <c r="R34" s="264"/>
    </row>
    <row r="35" spans="2:18" ht="15.75" customHeight="1" x14ac:dyDescent="0.2">
      <c r="B35" s="253"/>
      <c r="C35" s="691"/>
      <c r="D35" s="1198" t="s">
        <v>633</v>
      </c>
      <c r="E35" s="1198"/>
      <c r="F35" s="1198"/>
      <c r="G35" s="1198"/>
      <c r="H35" s="1198"/>
      <c r="I35" s="1198"/>
      <c r="J35" s="1198"/>
      <c r="K35" s="1198"/>
      <c r="L35" s="1199"/>
      <c r="M35" s="898" t="s">
        <v>216</v>
      </c>
      <c r="N35" s="704">
        <v>42</v>
      </c>
      <c r="O35" s="704">
        <v>42</v>
      </c>
      <c r="P35" s="1"/>
      <c r="Q35" s="1"/>
      <c r="R35" s="264"/>
    </row>
    <row r="36" spans="2:18" ht="16.5" customHeight="1" x14ac:dyDescent="0.2">
      <c r="B36" s="253"/>
      <c r="C36" s="693"/>
      <c r="D36" s="1194" t="s">
        <v>711</v>
      </c>
      <c r="E36" s="1194" t="s">
        <v>711</v>
      </c>
      <c r="F36" s="1194" t="s">
        <v>711</v>
      </c>
      <c r="G36" s="1194" t="s">
        <v>711</v>
      </c>
      <c r="H36" s="1194" t="s">
        <v>711</v>
      </c>
      <c r="I36" s="1194" t="s">
        <v>711</v>
      </c>
      <c r="J36" s="1194" t="s">
        <v>711</v>
      </c>
      <c r="K36" s="1194"/>
      <c r="L36" s="1195"/>
      <c r="M36" s="895" t="s">
        <v>216</v>
      </c>
      <c r="N36" s="705">
        <v>0.44791700000000001</v>
      </c>
      <c r="O36" s="705">
        <v>0.44791700000000001</v>
      </c>
      <c r="P36" s="1"/>
      <c r="Q36" s="1"/>
      <c r="R36" s="264"/>
    </row>
    <row r="37" spans="2:18" ht="15.75" customHeight="1" x14ac:dyDescent="0.2">
      <c r="B37" s="253"/>
      <c r="C37" s="693"/>
      <c r="D37" s="1194" t="s">
        <v>711</v>
      </c>
      <c r="E37" s="1194" t="s">
        <v>711</v>
      </c>
      <c r="F37" s="1194" t="s">
        <v>711</v>
      </c>
      <c r="G37" s="1194" t="s">
        <v>711</v>
      </c>
      <c r="H37" s="1194" t="s">
        <v>711</v>
      </c>
      <c r="I37" s="1194" t="s">
        <v>711</v>
      </c>
      <c r="J37" s="1194" t="s">
        <v>711</v>
      </c>
      <c r="K37" s="1194"/>
      <c r="L37" s="1195"/>
      <c r="M37" s="895" t="s">
        <v>216</v>
      </c>
      <c r="N37" s="705">
        <v>0.44791700000000001</v>
      </c>
      <c r="O37" s="705">
        <v>0.44791700000000001</v>
      </c>
      <c r="P37" s="1"/>
      <c r="Q37" s="1"/>
      <c r="R37" s="264"/>
    </row>
    <row r="38" spans="2:18" ht="19.5" customHeight="1" x14ac:dyDescent="0.2">
      <c r="B38" s="253"/>
      <c r="C38" s="693"/>
      <c r="D38" s="1194" t="s">
        <v>712</v>
      </c>
      <c r="E38" s="1194" t="s">
        <v>712</v>
      </c>
      <c r="F38" s="1194" t="s">
        <v>712</v>
      </c>
      <c r="G38" s="1194" t="s">
        <v>712</v>
      </c>
      <c r="H38" s="1194" t="s">
        <v>712</v>
      </c>
      <c r="I38" s="1194" t="s">
        <v>712</v>
      </c>
      <c r="J38" s="1194" t="s">
        <v>712</v>
      </c>
      <c r="K38" s="1194"/>
      <c r="L38" s="1195"/>
      <c r="M38" s="895" t="s">
        <v>216</v>
      </c>
      <c r="N38" s="720">
        <v>1.5625E-2</v>
      </c>
      <c r="O38" s="720">
        <v>1.5625E-2</v>
      </c>
      <c r="P38" s="1"/>
      <c r="Q38" s="1"/>
      <c r="R38" s="264"/>
    </row>
    <row r="39" spans="2:18" ht="15.75" customHeight="1" x14ac:dyDescent="0.2">
      <c r="B39" s="253"/>
      <c r="C39" s="693"/>
      <c r="D39" s="1194" t="s">
        <v>713</v>
      </c>
      <c r="E39" s="1194" t="s">
        <v>713</v>
      </c>
      <c r="F39" s="1194" t="s">
        <v>713</v>
      </c>
      <c r="G39" s="1194" t="s">
        <v>713</v>
      </c>
      <c r="H39" s="1194" t="s">
        <v>713</v>
      </c>
      <c r="I39" s="1194" t="s">
        <v>713</v>
      </c>
      <c r="J39" s="1194" t="s">
        <v>713</v>
      </c>
      <c r="K39" s="1194"/>
      <c r="L39" s="1195"/>
      <c r="M39" s="895" t="s">
        <v>216</v>
      </c>
      <c r="N39" s="720">
        <v>0.33333299999999999</v>
      </c>
      <c r="O39" s="720">
        <v>0.33333299999999999</v>
      </c>
      <c r="P39" s="1"/>
      <c r="Q39" s="1"/>
      <c r="R39" s="264"/>
    </row>
    <row r="40" spans="2:18" ht="15.75" customHeight="1" x14ac:dyDescent="0.2">
      <c r="B40" s="253"/>
      <c r="C40" s="693"/>
      <c r="D40" s="1194" t="s">
        <v>714</v>
      </c>
      <c r="E40" s="1194"/>
      <c r="F40" s="1194"/>
      <c r="G40" s="1194"/>
      <c r="H40" s="1194"/>
      <c r="I40" s="1194"/>
      <c r="J40" s="1194"/>
      <c r="K40" s="1194"/>
      <c r="L40" s="1195"/>
      <c r="M40" s="895" t="s">
        <v>216</v>
      </c>
      <c r="N40" s="911">
        <f>N35-N36-N37-N38-N39</f>
        <v>40.755208000000003</v>
      </c>
      <c r="O40" s="911">
        <f>O35-O36-O37-O38-O39</f>
        <v>40.755208000000003</v>
      </c>
      <c r="P40" s="1"/>
      <c r="Q40" s="1"/>
      <c r="R40" s="264"/>
    </row>
    <row r="41" spans="2:18" ht="15.75" customHeight="1" x14ac:dyDescent="0.2">
      <c r="B41" s="253"/>
      <c r="C41" s="693"/>
      <c r="D41" s="1194" t="s">
        <v>715</v>
      </c>
      <c r="E41" s="1194"/>
      <c r="F41" s="1194"/>
      <c r="G41" s="1194"/>
      <c r="H41" s="1194"/>
      <c r="I41" s="1194"/>
      <c r="J41" s="1194"/>
      <c r="K41" s="1194"/>
      <c r="L41" s="1195"/>
      <c r="M41" s="895" t="s">
        <v>216</v>
      </c>
      <c r="N41" s="910">
        <v>3.2810000000000001</v>
      </c>
      <c r="O41" s="910">
        <v>4.2809999999999997</v>
      </c>
      <c r="P41" s="1"/>
      <c r="Q41" s="1"/>
      <c r="R41" s="264"/>
    </row>
    <row r="42" spans="2:18" ht="15.75" customHeight="1" x14ac:dyDescent="0.2">
      <c r="B42" s="253"/>
      <c r="C42" s="885"/>
      <c r="D42" s="1196" t="s">
        <v>999</v>
      </c>
      <c r="E42" s="1196"/>
      <c r="F42" s="1196"/>
      <c r="G42" s="1196"/>
      <c r="H42" s="1196"/>
      <c r="I42" s="1196"/>
      <c r="J42" s="1196"/>
      <c r="K42" s="1196"/>
      <c r="L42" s="1197"/>
      <c r="M42" s="702" t="s">
        <v>216</v>
      </c>
      <c r="N42" s="896">
        <f>N40-N41</f>
        <v>37.474208000000004</v>
      </c>
      <c r="O42" s="896">
        <f>O40-O41</f>
        <v>36.474208000000004</v>
      </c>
      <c r="P42" s="1"/>
      <c r="Q42" s="1"/>
      <c r="R42" s="264"/>
    </row>
    <row r="43" spans="2:18" ht="22.5" customHeight="1" x14ac:dyDescent="0.2">
      <c r="B43" s="253"/>
      <c r="C43" s="1"/>
      <c r="D43" s="1"/>
      <c r="E43" s="1"/>
      <c r="F43" s="1"/>
      <c r="G43" s="1"/>
      <c r="H43" s="1"/>
      <c r="I43" s="1"/>
      <c r="J43" s="1"/>
      <c r="K43" s="1"/>
      <c r="L43" s="1"/>
      <c r="M43" s="1"/>
      <c r="N43" s="1"/>
      <c r="O43" s="1"/>
      <c r="P43" s="1"/>
      <c r="Q43" s="1"/>
      <c r="R43" s="264"/>
    </row>
    <row r="44" spans="2:18" ht="22.5" customHeight="1" x14ac:dyDescent="0.2">
      <c r="B44" s="253"/>
      <c r="C44" s="1"/>
      <c r="D44" s="1"/>
      <c r="E44" s="1"/>
      <c r="F44" s="1"/>
      <c r="G44" s="1"/>
      <c r="H44" s="1"/>
      <c r="I44" s="1"/>
      <c r="J44" s="1"/>
      <c r="K44" s="1"/>
      <c r="L44" s="1"/>
      <c r="M44" s="1"/>
      <c r="N44" s="1"/>
      <c r="O44" s="1"/>
      <c r="P44" s="1"/>
      <c r="Q44" s="1"/>
      <c r="R44" s="264"/>
    </row>
    <row r="45" spans="2:18" ht="16.5" customHeight="1" x14ac:dyDescent="0.2">
      <c r="B45" s="253"/>
      <c r="C45" s="1"/>
      <c r="D45" s="1"/>
      <c r="E45" s="1"/>
      <c r="F45" s="1"/>
      <c r="G45" s="1"/>
      <c r="H45" s="1"/>
      <c r="I45" s="1"/>
      <c r="J45" s="1"/>
      <c r="K45" s="1"/>
      <c r="L45" s="1"/>
      <c r="M45" s="1"/>
      <c r="N45" s="1"/>
      <c r="O45" s="1"/>
      <c r="P45" s="1"/>
      <c r="Q45" s="1"/>
      <c r="R45" s="264"/>
    </row>
    <row r="46" spans="2:18" ht="16.5" customHeight="1" x14ac:dyDescent="0.2">
      <c r="B46" s="253"/>
      <c r="C46" s="1"/>
      <c r="D46" s="1"/>
      <c r="E46" s="1"/>
      <c r="F46" s="1"/>
      <c r="G46" s="1"/>
      <c r="H46" s="1"/>
      <c r="I46" s="1"/>
      <c r="J46" s="1"/>
      <c r="K46" s="1"/>
      <c r="L46" s="1"/>
      <c r="M46" s="1"/>
      <c r="N46" s="1"/>
      <c r="O46" s="1"/>
      <c r="P46" s="1"/>
      <c r="Q46" s="1"/>
      <c r="R46" s="264"/>
    </row>
    <row r="47" spans="2:18" ht="16.5" customHeight="1" x14ac:dyDescent="0.2">
      <c r="B47" s="253"/>
      <c r="C47" s="1"/>
      <c r="D47" s="1"/>
      <c r="E47" s="1"/>
      <c r="F47" s="1"/>
      <c r="G47" s="1"/>
      <c r="H47" s="1"/>
      <c r="I47" s="1"/>
      <c r="J47" s="1"/>
      <c r="K47" s="1"/>
      <c r="L47" s="1"/>
      <c r="M47" s="1"/>
      <c r="N47" s="1"/>
      <c r="O47" s="1"/>
      <c r="P47" s="1"/>
      <c r="Q47" s="1"/>
      <c r="R47" s="264"/>
    </row>
    <row r="48" spans="2:18" ht="16.5" customHeight="1" x14ac:dyDescent="0.2">
      <c r="B48" s="710"/>
      <c r="C48" s="688"/>
      <c r="D48" s="1167" t="s">
        <v>17</v>
      </c>
      <c r="E48" s="1167"/>
      <c r="F48" s="1167"/>
      <c r="G48" s="1167"/>
      <c r="H48" s="1167"/>
      <c r="I48" s="1167"/>
      <c r="J48" s="1167"/>
      <c r="K48" s="1167"/>
      <c r="L48" s="1167"/>
      <c r="M48" s="1167"/>
      <c r="N48" s="1167"/>
      <c r="O48" s="1167"/>
      <c r="P48" s="1167"/>
      <c r="Q48" s="688"/>
      <c r="R48" s="712"/>
    </row>
    <row r="49" spans="2:18" ht="15.75" customHeight="1" x14ac:dyDescent="0.2">
      <c r="B49" s="253"/>
      <c r="C49" s="1"/>
      <c r="D49" s="1168" t="s">
        <v>242</v>
      </c>
      <c r="E49" s="1168"/>
      <c r="F49" s="1168"/>
      <c r="G49" s="1168"/>
      <c r="H49" s="1168"/>
      <c r="I49" s="1168"/>
      <c r="J49" s="1168"/>
      <c r="K49" s="1168"/>
      <c r="L49" s="1168"/>
      <c r="M49" s="1168"/>
      <c r="N49" s="1168"/>
      <c r="O49" s="1168"/>
      <c r="P49" s="1168"/>
      <c r="Q49" s="1"/>
      <c r="R49" s="264"/>
    </row>
    <row r="50" spans="2:18" ht="15.75" customHeight="1" x14ac:dyDescent="0.2">
      <c r="B50" s="253"/>
      <c r="C50" s="1"/>
      <c r="D50" s="1169" t="s">
        <v>243</v>
      </c>
      <c r="E50" s="1169"/>
      <c r="F50" s="1169"/>
      <c r="G50" s="1169"/>
      <c r="H50" s="1169"/>
      <c r="I50" s="1169"/>
      <c r="J50" s="1169"/>
      <c r="K50" s="1169"/>
      <c r="L50" s="1169"/>
      <c r="M50" s="1169"/>
      <c r="N50" s="1169"/>
      <c r="O50" s="1169"/>
      <c r="P50" s="1169"/>
      <c r="Q50" s="1"/>
      <c r="R50" s="264"/>
    </row>
    <row r="51" spans="2:18" ht="15.75" customHeight="1" x14ac:dyDescent="0.2">
      <c r="B51" s="253"/>
      <c r="C51" s="1"/>
      <c r="D51" s="1169" t="s">
        <v>690</v>
      </c>
      <c r="E51" s="1169"/>
      <c r="F51" s="1169"/>
      <c r="G51" s="1169"/>
      <c r="H51" s="1169"/>
      <c r="I51" s="1169"/>
      <c r="J51" s="1169"/>
      <c r="K51" s="1169"/>
      <c r="L51" s="1169"/>
      <c r="M51" s="1169"/>
      <c r="N51" s="1169"/>
      <c r="O51" s="1169"/>
      <c r="P51" s="1169"/>
      <c r="Q51" s="1"/>
      <c r="R51" s="264"/>
    </row>
    <row r="52" spans="2:18" ht="15.75" customHeight="1" x14ac:dyDescent="0.2">
      <c r="B52" s="253"/>
      <c r="C52" s="1"/>
      <c r="D52" s="1168" t="s">
        <v>244</v>
      </c>
      <c r="E52" s="1168"/>
      <c r="F52" s="1168"/>
      <c r="G52" s="1168"/>
      <c r="H52" s="1168"/>
      <c r="I52" s="1168"/>
      <c r="J52" s="1168"/>
      <c r="K52" s="1168"/>
      <c r="L52" s="1168"/>
      <c r="M52" s="1168"/>
      <c r="N52" s="1168"/>
      <c r="O52" s="1168"/>
      <c r="P52" s="1168"/>
      <c r="Q52" s="1"/>
      <c r="R52" s="264"/>
    </row>
    <row r="53" spans="2:18" ht="15.75" customHeight="1" x14ac:dyDescent="0.2">
      <c r="B53" s="253"/>
      <c r="C53" s="1"/>
      <c r="D53" s="1"/>
      <c r="E53" s="1"/>
      <c r="F53" s="1"/>
      <c r="G53" s="1"/>
      <c r="H53" s="1"/>
      <c r="I53" s="1"/>
      <c r="J53" s="1"/>
      <c r="K53" s="1"/>
      <c r="L53" s="1"/>
      <c r="M53" s="1"/>
      <c r="N53" s="1"/>
      <c r="O53" s="1"/>
      <c r="P53" s="1"/>
      <c r="Q53" s="1"/>
      <c r="R53" s="264"/>
    </row>
    <row r="54" spans="2:18" ht="15.75" customHeight="1" x14ac:dyDescent="0.2">
      <c r="B54" s="253"/>
      <c r="C54" s="1"/>
      <c r="D54" s="1"/>
      <c r="E54" s="1"/>
      <c r="F54" s="1"/>
      <c r="G54" s="1"/>
      <c r="H54" s="1"/>
      <c r="I54" s="1"/>
      <c r="J54" s="1"/>
      <c r="K54" s="1"/>
      <c r="L54" s="1"/>
      <c r="M54" s="1"/>
      <c r="N54" s="1"/>
      <c r="O54" s="1"/>
      <c r="P54" s="1"/>
      <c r="Q54" s="1"/>
      <c r="R54" s="264"/>
    </row>
    <row r="55" spans="2:18" ht="15.75" customHeight="1" x14ac:dyDescent="0.2">
      <c r="B55" s="253"/>
      <c r="C55" s="1"/>
      <c r="D55" s="1"/>
      <c r="E55" s="1"/>
      <c r="F55" s="1"/>
      <c r="G55" s="1"/>
      <c r="H55" s="1"/>
      <c r="I55" s="1"/>
      <c r="J55" s="1"/>
      <c r="K55" s="1"/>
      <c r="L55" s="1"/>
      <c r="M55" s="1"/>
      <c r="N55" s="1"/>
      <c r="O55" s="1"/>
      <c r="P55" s="1"/>
      <c r="Q55" s="1"/>
      <c r="R55" s="264"/>
    </row>
    <row r="56" spans="2:18" ht="15.75" customHeight="1" x14ac:dyDescent="0.2">
      <c r="B56" s="253"/>
      <c r="C56" s="1"/>
      <c r="D56" s="1"/>
      <c r="E56" s="1"/>
      <c r="F56" s="1"/>
      <c r="G56" s="1"/>
      <c r="H56" s="1"/>
      <c r="I56" s="1"/>
      <c r="J56" s="1"/>
      <c r="K56" s="1"/>
      <c r="L56" s="1"/>
      <c r="M56" s="1"/>
      <c r="N56" s="1"/>
      <c r="O56" s="1"/>
      <c r="P56" s="1"/>
      <c r="Q56" s="1"/>
      <c r="R56" s="264"/>
    </row>
    <row r="57" spans="2:18" ht="15.75" customHeight="1" x14ac:dyDescent="0.2">
      <c r="B57" s="253"/>
      <c r="C57" s="1"/>
      <c r="D57" s="1"/>
      <c r="E57" s="1"/>
      <c r="F57" s="1"/>
      <c r="G57" s="1"/>
      <c r="H57" s="1"/>
      <c r="I57" s="1"/>
      <c r="J57" s="1"/>
      <c r="K57" s="1"/>
      <c r="L57" s="1"/>
      <c r="M57" s="1"/>
      <c r="N57" s="1"/>
      <c r="O57" s="1"/>
      <c r="P57" s="1"/>
      <c r="Q57" s="1"/>
      <c r="R57" s="264"/>
    </row>
    <row r="58" spans="2:18" ht="14.25" customHeight="1" x14ac:dyDescent="0.2">
      <c r="B58" s="253"/>
      <c r="C58" s="1"/>
      <c r="D58" s="1"/>
      <c r="E58" s="1"/>
      <c r="F58" s="1"/>
      <c r="G58" s="1"/>
      <c r="H58" s="1"/>
      <c r="I58" s="1"/>
      <c r="J58" s="1"/>
      <c r="K58" s="1"/>
      <c r="L58" s="1"/>
      <c r="M58" s="1"/>
      <c r="N58" s="1"/>
      <c r="O58" s="1"/>
      <c r="P58" s="1"/>
      <c r="Q58" s="1"/>
      <c r="R58" s="264"/>
    </row>
    <row r="59" spans="2:18" ht="15.75" customHeight="1" x14ac:dyDescent="0.2">
      <c r="B59" s="253"/>
      <c r="C59" s="1"/>
      <c r="D59" s="1"/>
      <c r="E59" s="1"/>
      <c r="F59" s="1"/>
      <c r="G59" s="1"/>
      <c r="H59" s="1"/>
      <c r="I59" s="1"/>
      <c r="J59" s="1"/>
      <c r="K59" s="1"/>
      <c r="L59" s="1"/>
      <c r="M59" s="1"/>
      <c r="N59" s="1"/>
      <c r="O59" s="1"/>
      <c r="P59" s="1"/>
      <c r="Q59" s="1"/>
      <c r="R59" s="264"/>
    </row>
    <row r="60" spans="2:18" ht="12.75" customHeight="1" x14ac:dyDescent="0.2">
      <c r="B60" s="253"/>
      <c r="C60" s="1"/>
      <c r="D60" s="1"/>
      <c r="E60" s="1"/>
      <c r="F60" s="1"/>
      <c r="G60" s="1"/>
      <c r="H60" s="1"/>
      <c r="I60" s="1"/>
      <c r="J60" s="1"/>
      <c r="K60" s="1"/>
      <c r="L60" s="1"/>
      <c r="M60" s="1"/>
      <c r="N60" s="1"/>
      <c r="O60" s="1"/>
      <c r="P60" s="1"/>
      <c r="Q60" s="1"/>
      <c r="R60" s="264"/>
    </row>
    <row r="61" spans="2:18" ht="12.75" customHeight="1" x14ac:dyDescent="0.2">
      <c r="B61" s="253"/>
      <c r="C61" s="1"/>
      <c r="D61" s="1"/>
      <c r="E61" s="1"/>
      <c r="F61" s="1"/>
      <c r="G61" s="1"/>
      <c r="H61" s="1"/>
      <c r="I61" s="1"/>
      <c r="J61" s="1"/>
      <c r="K61" s="1"/>
      <c r="L61" s="1"/>
      <c r="M61" s="1"/>
      <c r="N61" s="1"/>
      <c r="O61" s="1"/>
      <c r="P61" s="1"/>
      <c r="Q61" s="1"/>
      <c r="R61" s="264"/>
    </row>
    <row r="62" spans="2:18" ht="12.75" customHeight="1" x14ac:dyDescent="0.2">
      <c r="B62" s="253"/>
      <c r="C62" s="1"/>
      <c r="D62" s="1"/>
      <c r="E62" s="1"/>
      <c r="F62" s="1"/>
      <c r="G62" s="1"/>
      <c r="H62" s="1"/>
      <c r="I62" s="1"/>
      <c r="J62" s="1"/>
      <c r="K62" s="1"/>
      <c r="L62" s="1"/>
      <c r="M62" s="1"/>
      <c r="N62" s="1"/>
      <c r="O62" s="1"/>
      <c r="P62" s="1"/>
      <c r="Q62" s="1"/>
      <c r="R62" s="264"/>
    </row>
    <row r="63" spans="2:18" ht="12.75" customHeight="1" x14ac:dyDescent="0.2">
      <c r="B63" s="253"/>
      <c r="C63" s="1"/>
      <c r="D63" s="1"/>
      <c r="E63" s="1"/>
      <c r="F63" s="1"/>
      <c r="G63" s="1"/>
      <c r="H63" s="1"/>
      <c r="I63" s="1"/>
      <c r="J63" s="1"/>
      <c r="K63" s="1"/>
      <c r="L63" s="1"/>
      <c r="M63" s="1"/>
      <c r="N63" s="1"/>
      <c r="O63" s="1"/>
      <c r="P63" s="1"/>
      <c r="Q63" s="1"/>
      <c r="R63" s="264"/>
    </row>
    <row r="64" spans="2:18" ht="12.75" customHeight="1" x14ac:dyDescent="0.2">
      <c r="B64" s="253"/>
      <c r="C64" s="1"/>
      <c r="D64" s="1"/>
      <c r="E64" s="1"/>
      <c r="F64" s="1"/>
      <c r="G64" s="1"/>
      <c r="H64" s="1"/>
      <c r="I64" s="1"/>
      <c r="J64" s="1"/>
      <c r="K64" s="1"/>
      <c r="L64" s="1"/>
      <c r="M64" s="1"/>
      <c r="N64" s="1"/>
      <c r="O64" s="1"/>
      <c r="P64" s="1"/>
      <c r="Q64" s="1"/>
      <c r="R64" s="264"/>
    </row>
    <row r="65" spans="2:18" ht="12.75" customHeight="1" x14ac:dyDescent="0.2">
      <c r="B65" s="253"/>
      <c r="C65" s="1"/>
      <c r="D65" s="1"/>
      <c r="E65" s="1"/>
      <c r="F65" s="1"/>
      <c r="G65" s="1"/>
      <c r="H65" s="1"/>
      <c r="I65" s="1"/>
      <c r="J65" s="1"/>
      <c r="K65" s="1"/>
      <c r="L65" s="1"/>
      <c r="M65" s="1"/>
      <c r="N65" s="1"/>
      <c r="O65" s="1"/>
      <c r="P65" s="1"/>
      <c r="Q65" s="1"/>
      <c r="R65" s="264"/>
    </row>
    <row r="66" spans="2:18" ht="12.75" customHeight="1" x14ac:dyDescent="0.2">
      <c r="B66" s="253"/>
      <c r="C66" s="1"/>
      <c r="D66" s="1"/>
      <c r="E66" s="1"/>
      <c r="F66" s="1"/>
      <c r="G66" s="1"/>
      <c r="H66" s="1"/>
      <c r="I66" s="1"/>
      <c r="J66" s="1"/>
      <c r="K66" s="1"/>
      <c r="L66" s="1"/>
      <c r="M66" s="1"/>
      <c r="N66" s="1"/>
      <c r="O66" s="1"/>
      <c r="P66" s="1"/>
      <c r="Q66" s="1"/>
      <c r="R66" s="264"/>
    </row>
    <row r="67" spans="2:18" ht="12.75" customHeight="1" x14ac:dyDescent="0.2">
      <c r="B67" s="253"/>
      <c r="C67" s="1"/>
      <c r="D67" s="1"/>
      <c r="E67" s="1"/>
      <c r="F67" s="1"/>
      <c r="G67" s="1"/>
      <c r="H67" s="1"/>
      <c r="I67" s="1"/>
      <c r="J67" s="1"/>
      <c r="K67" s="1"/>
      <c r="L67" s="1"/>
      <c r="M67" s="1"/>
      <c r="N67" s="1"/>
      <c r="O67" s="1"/>
      <c r="P67" s="1"/>
      <c r="Q67" s="1"/>
      <c r="R67" s="264"/>
    </row>
    <row r="68" spans="2:18" ht="12.75" customHeight="1" x14ac:dyDescent="0.2">
      <c r="B68" s="253"/>
      <c r="C68" s="1"/>
      <c r="D68" s="1"/>
      <c r="E68" s="1"/>
      <c r="F68" s="1"/>
      <c r="G68" s="1"/>
      <c r="H68" s="1"/>
      <c r="I68" s="1"/>
      <c r="J68" s="1"/>
      <c r="K68" s="1"/>
      <c r="L68" s="1"/>
      <c r="M68" s="1"/>
      <c r="N68" s="1"/>
      <c r="O68" s="1"/>
      <c r="P68" s="1"/>
      <c r="Q68" s="1"/>
      <c r="R68" s="264"/>
    </row>
    <row r="69" spans="2:18" ht="12.75" customHeight="1" x14ac:dyDescent="0.2">
      <c r="B69" s="253"/>
      <c r="C69" s="1"/>
      <c r="D69" s="1"/>
      <c r="E69" s="1"/>
      <c r="F69" s="1"/>
      <c r="G69" s="1"/>
      <c r="H69" s="1"/>
      <c r="I69" s="1"/>
      <c r="J69" s="1"/>
      <c r="K69" s="1"/>
      <c r="L69" s="1"/>
      <c r="M69" s="1"/>
      <c r="N69" s="1"/>
      <c r="O69" s="1"/>
      <c r="P69" s="1"/>
      <c r="Q69" s="1"/>
      <c r="R69" s="264"/>
    </row>
    <row r="70" spans="2:18" ht="12.75" customHeight="1" x14ac:dyDescent="0.2">
      <c r="B70" s="253"/>
      <c r="C70" s="1"/>
      <c r="D70" s="1"/>
      <c r="E70" s="1"/>
      <c r="F70" s="1"/>
      <c r="G70" s="1"/>
      <c r="H70" s="1"/>
      <c r="I70" s="1"/>
      <c r="J70" s="1"/>
      <c r="K70" s="1"/>
      <c r="L70" s="1"/>
      <c r="M70" s="1"/>
      <c r="N70" s="1"/>
      <c r="O70" s="1"/>
      <c r="P70" s="1"/>
      <c r="Q70" s="1"/>
      <c r="R70" s="264"/>
    </row>
    <row r="71" spans="2:18" ht="12.75" customHeight="1" x14ac:dyDescent="0.2">
      <c r="B71" s="253"/>
      <c r="C71" s="1"/>
      <c r="D71" s="1"/>
      <c r="E71" s="1"/>
      <c r="F71" s="1"/>
      <c r="G71" s="1"/>
      <c r="H71" s="1"/>
      <c r="I71" s="1"/>
      <c r="J71" s="1"/>
      <c r="K71" s="1"/>
      <c r="L71" s="1"/>
      <c r="M71" s="1"/>
      <c r="N71" s="1"/>
      <c r="O71" s="1"/>
      <c r="P71" s="1"/>
      <c r="Q71" s="1"/>
      <c r="R71" s="264"/>
    </row>
    <row r="72" spans="2:18" ht="12.75" customHeight="1" x14ac:dyDescent="0.2">
      <c r="B72" s="253"/>
      <c r="C72" s="1"/>
      <c r="D72" s="1"/>
      <c r="E72" s="1"/>
      <c r="F72" s="1"/>
      <c r="G72" s="1"/>
      <c r="H72" s="1"/>
      <c r="I72" s="1"/>
      <c r="J72" s="1"/>
      <c r="K72" s="1"/>
      <c r="L72" s="1"/>
      <c r="M72" s="1"/>
      <c r="N72" s="1"/>
      <c r="O72" s="1"/>
      <c r="P72" s="1"/>
      <c r="Q72" s="1"/>
      <c r="R72" s="264"/>
    </row>
    <row r="73" spans="2:18" ht="12.75" customHeight="1" x14ac:dyDescent="0.2">
      <c r="B73" s="253"/>
      <c r="C73" s="1"/>
      <c r="D73" s="1"/>
      <c r="E73" s="1"/>
      <c r="F73" s="1"/>
      <c r="G73" s="1"/>
      <c r="H73" s="1"/>
      <c r="I73" s="1"/>
      <c r="J73" s="1"/>
      <c r="K73" s="1"/>
      <c r="L73" s="1"/>
      <c r="M73" s="1"/>
      <c r="N73" s="1"/>
      <c r="O73" s="1"/>
      <c r="P73" s="1"/>
      <c r="Q73" s="1"/>
      <c r="R73" s="264"/>
    </row>
    <row r="74" spans="2:18" ht="12.75" customHeight="1" x14ac:dyDescent="0.2">
      <c r="B74" s="253"/>
      <c r="C74" s="1"/>
      <c r="D74" s="1"/>
      <c r="E74" s="1"/>
      <c r="F74" s="1"/>
      <c r="G74" s="1"/>
      <c r="H74" s="1"/>
      <c r="I74" s="1"/>
      <c r="J74" s="1"/>
      <c r="K74" s="1"/>
      <c r="L74" s="1"/>
      <c r="M74" s="1"/>
      <c r="N74" s="1"/>
      <c r="O74" s="1"/>
      <c r="P74" s="1"/>
      <c r="Q74" s="1"/>
      <c r="R74" s="264"/>
    </row>
    <row r="75" spans="2:18" ht="12.75" customHeight="1" x14ac:dyDescent="0.2">
      <c r="B75" s="253"/>
      <c r="C75" s="1"/>
      <c r="D75" s="1"/>
      <c r="E75" s="1"/>
      <c r="F75" s="1"/>
      <c r="G75" s="1"/>
      <c r="H75" s="1"/>
      <c r="I75" s="1"/>
      <c r="J75" s="1"/>
      <c r="K75" s="1"/>
      <c r="L75" s="1"/>
      <c r="M75" s="1"/>
      <c r="N75" s="1"/>
      <c r="O75" s="1"/>
      <c r="P75" s="1"/>
      <c r="Q75" s="1"/>
      <c r="R75" s="264"/>
    </row>
    <row r="76" spans="2:18" ht="12.75" customHeight="1" x14ac:dyDescent="0.2">
      <c r="B76" s="253"/>
      <c r="C76" s="1"/>
      <c r="D76" s="1"/>
      <c r="E76" s="1"/>
      <c r="F76" s="1"/>
      <c r="G76" s="1"/>
      <c r="H76" s="1"/>
      <c r="I76" s="1"/>
      <c r="J76" s="1"/>
      <c r="K76" s="1"/>
      <c r="L76" s="1"/>
      <c r="M76" s="1"/>
      <c r="N76" s="1"/>
      <c r="O76" s="1"/>
      <c r="P76" s="1"/>
      <c r="Q76" s="1"/>
      <c r="R76" s="264"/>
    </row>
    <row r="77" spans="2:18" ht="12.75" customHeight="1" x14ac:dyDescent="0.2">
      <c r="B77" s="253"/>
      <c r="C77" s="1"/>
      <c r="D77" s="1"/>
      <c r="E77" s="1"/>
      <c r="F77" s="1"/>
      <c r="G77" s="1"/>
      <c r="H77" s="1"/>
      <c r="I77" s="1"/>
      <c r="J77" s="1"/>
      <c r="K77" s="1"/>
      <c r="L77" s="1"/>
      <c r="M77" s="1"/>
      <c r="N77" s="1"/>
      <c r="O77" s="1"/>
      <c r="P77" s="1"/>
      <c r="Q77" s="1"/>
      <c r="R77" s="264"/>
    </row>
    <row r="78" spans="2:18" ht="12.75" customHeight="1" x14ac:dyDescent="0.2">
      <c r="B78" s="253"/>
      <c r="C78" s="1"/>
      <c r="D78" s="1"/>
      <c r="E78" s="1"/>
      <c r="F78" s="1"/>
      <c r="G78" s="1"/>
      <c r="H78" s="1"/>
      <c r="I78" s="1"/>
      <c r="J78" s="1"/>
      <c r="K78" s="1"/>
      <c r="L78" s="1"/>
      <c r="M78" s="1"/>
      <c r="N78" s="1"/>
      <c r="O78" s="1"/>
      <c r="P78" s="1"/>
      <c r="Q78" s="1"/>
      <c r="R78" s="264"/>
    </row>
    <row r="79" spans="2:18" ht="12.75" customHeight="1" x14ac:dyDescent="0.2">
      <c r="B79" s="253"/>
      <c r="C79" s="1"/>
      <c r="D79" s="1"/>
      <c r="E79" s="1"/>
      <c r="F79" s="1"/>
      <c r="G79" s="1"/>
      <c r="H79" s="1"/>
      <c r="I79" s="1"/>
      <c r="J79" s="1"/>
      <c r="K79" s="1"/>
      <c r="L79" s="1"/>
      <c r="M79" s="1"/>
      <c r="N79" s="1"/>
      <c r="O79" s="1"/>
      <c r="P79" s="1"/>
      <c r="Q79" s="1"/>
      <c r="R79" s="264"/>
    </row>
    <row r="80" spans="2:18" ht="12.75" customHeight="1" x14ac:dyDescent="0.2">
      <c r="B80" s="253"/>
      <c r="C80" s="1"/>
      <c r="D80" s="1"/>
      <c r="E80" s="1"/>
      <c r="F80" s="1"/>
      <c r="G80" s="1"/>
      <c r="H80" s="1"/>
      <c r="I80" s="1"/>
      <c r="J80" s="1"/>
      <c r="K80" s="1"/>
      <c r="L80" s="1"/>
      <c r="M80" s="1"/>
      <c r="N80" s="1"/>
      <c r="O80" s="1"/>
      <c r="P80" s="1"/>
      <c r="Q80" s="1"/>
      <c r="R80" s="264"/>
    </row>
    <row r="81" spans="2:18" ht="12.75" customHeight="1" x14ac:dyDescent="0.2">
      <c r="B81" s="253"/>
      <c r="C81" s="1"/>
      <c r="D81" s="1"/>
      <c r="E81" s="1"/>
      <c r="F81" s="1"/>
      <c r="G81" s="1"/>
      <c r="H81" s="1"/>
      <c r="I81" s="1"/>
      <c r="J81" s="1"/>
      <c r="K81" s="1"/>
      <c r="L81" s="1"/>
      <c r="M81" s="1"/>
      <c r="N81" s="1"/>
      <c r="O81" s="1"/>
      <c r="P81" s="1"/>
      <c r="Q81" s="1"/>
      <c r="R81" s="264"/>
    </row>
    <row r="82" spans="2:18" ht="12.75" customHeight="1" x14ac:dyDescent="0.2">
      <c r="B82" s="253"/>
      <c r="C82" s="1"/>
      <c r="D82" s="1"/>
      <c r="E82" s="1"/>
      <c r="F82" s="1"/>
      <c r="G82" s="1"/>
      <c r="H82" s="1"/>
      <c r="I82" s="1"/>
      <c r="J82" s="1"/>
      <c r="K82" s="1"/>
      <c r="L82" s="1"/>
      <c r="M82" s="1"/>
      <c r="N82" s="1"/>
      <c r="O82" s="1"/>
      <c r="P82" s="1"/>
      <c r="Q82" s="1"/>
      <c r="R82" s="264"/>
    </row>
    <row r="83" spans="2:18" ht="12.75" customHeight="1" x14ac:dyDescent="0.2">
      <c r="B83" s="253"/>
      <c r="C83" s="1"/>
      <c r="D83" s="1"/>
      <c r="E83" s="1"/>
      <c r="F83" s="1"/>
      <c r="G83" s="1"/>
      <c r="H83" s="1"/>
      <c r="I83" s="1"/>
      <c r="J83" s="1"/>
      <c r="K83" s="1"/>
      <c r="L83" s="1"/>
      <c r="M83" s="1"/>
      <c r="N83" s="1"/>
      <c r="O83" s="1"/>
      <c r="P83" s="1"/>
      <c r="Q83" s="1"/>
      <c r="R83" s="264"/>
    </row>
    <row r="84" spans="2:18" ht="12.75" customHeight="1" x14ac:dyDescent="0.2">
      <c r="B84" s="253"/>
      <c r="C84" s="1"/>
      <c r="D84" s="1"/>
      <c r="E84" s="1"/>
      <c r="F84" s="1"/>
      <c r="G84" s="1"/>
      <c r="H84" s="1"/>
      <c r="I84" s="1"/>
      <c r="J84" s="1"/>
      <c r="K84" s="1"/>
      <c r="L84" s="1"/>
      <c r="M84" s="1"/>
      <c r="N84" s="1"/>
      <c r="O84" s="1"/>
      <c r="P84" s="1"/>
      <c r="Q84" s="1"/>
      <c r="R84" s="264"/>
    </row>
    <row r="85" spans="2:18" ht="9" customHeight="1" thickBot="1" x14ac:dyDescent="0.25">
      <c r="B85" s="269"/>
      <c r="C85" s="271"/>
      <c r="D85" s="271"/>
      <c r="E85" s="271"/>
      <c r="F85" s="271"/>
      <c r="G85" s="271"/>
      <c r="H85" s="271"/>
      <c r="I85" s="271"/>
      <c r="J85" s="271"/>
      <c r="K85" s="271"/>
      <c r="L85" s="271"/>
      <c r="M85" s="271"/>
      <c r="N85" s="271"/>
      <c r="O85" s="271"/>
      <c r="P85" s="271"/>
      <c r="Q85" s="271"/>
      <c r="R85" s="305"/>
    </row>
    <row r="86" spans="2:18" ht="20.100000000000001" customHeight="1" x14ac:dyDescent="0.2"/>
    <row r="87" spans="2:18" ht="20.100000000000001" customHeight="1" x14ac:dyDescent="0.2"/>
    <row r="88" spans="2:18" ht="20.100000000000001" customHeight="1" x14ac:dyDescent="0.2"/>
    <row r="89" spans="2:18" ht="20.100000000000001" customHeight="1" x14ac:dyDescent="0.2"/>
    <row r="90" spans="2:18" ht="20.100000000000001" customHeight="1" x14ac:dyDescent="0.2"/>
    <row r="91" spans="2:18" ht="20.100000000000001" customHeight="1" x14ac:dyDescent="0.2"/>
    <row r="92" spans="2:18" ht="20.100000000000001" customHeight="1" x14ac:dyDescent="0.2"/>
    <row r="93" spans="2:18" ht="20.100000000000001" customHeight="1" x14ac:dyDescent="0.2"/>
    <row r="94" spans="2:18" ht="20.100000000000001" customHeight="1" x14ac:dyDescent="0.2"/>
    <row r="95" spans="2:18" ht="20.100000000000001" customHeight="1" x14ac:dyDescent="0.2"/>
    <row r="96" spans="2:18"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20.100000000000001" customHeight="1" x14ac:dyDescent="0.2"/>
    <row r="110" ht="20.100000000000001" customHeight="1" x14ac:dyDescent="0.2"/>
    <row r="111" ht="20.100000000000001" customHeight="1" x14ac:dyDescent="0.2"/>
    <row r="112" ht="20.100000000000001" customHeight="1" x14ac:dyDescent="0.2"/>
    <row r="113" ht="20.100000000000001" customHeight="1" x14ac:dyDescent="0.2"/>
    <row r="114" ht="20.100000000000001" customHeight="1" x14ac:dyDescent="0.2"/>
    <row r="115" ht="20.100000000000001" customHeight="1" x14ac:dyDescent="0.2"/>
    <row r="116" ht="20.100000000000001" customHeight="1" x14ac:dyDescent="0.2"/>
    <row r="117" ht="20.100000000000001" customHeight="1" x14ac:dyDescent="0.2"/>
    <row r="118" ht="20.100000000000001" customHeight="1" x14ac:dyDescent="0.2"/>
    <row r="119" ht="20.100000000000001" customHeight="1" x14ac:dyDescent="0.2"/>
    <row r="120" ht="20.100000000000001" customHeight="1" x14ac:dyDescent="0.2"/>
    <row r="121" ht="20.100000000000001" customHeight="1" x14ac:dyDescent="0.2"/>
    <row r="122" ht="20.100000000000001" customHeight="1" x14ac:dyDescent="0.2"/>
  </sheetData>
  <mergeCells count="71">
    <mergeCell ref="D40:L40"/>
    <mergeCell ref="D41:L41"/>
    <mergeCell ref="D42:L42"/>
    <mergeCell ref="C33:O33"/>
    <mergeCell ref="C34:J34"/>
    <mergeCell ref="K34:L34"/>
    <mergeCell ref="D35:L35"/>
    <mergeCell ref="D36:L36"/>
    <mergeCell ref="D37:L37"/>
    <mergeCell ref="D38:L38"/>
    <mergeCell ref="D39:L39"/>
    <mergeCell ref="M8:R8"/>
    <mergeCell ref="B9:R9"/>
    <mergeCell ref="E2:O5"/>
    <mergeCell ref="P2:Q2"/>
    <mergeCell ref="P3:Q3"/>
    <mergeCell ref="P4:Q4"/>
    <mergeCell ref="P5:Q5"/>
    <mergeCell ref="B6:D6"/>
    <mergeCell ref="E6:I6"/>
    <mergeCell ref="J6:L6"/>
    <mergeCell ref="M6:R6"/>
    <mergeCell ref="B7:D7"/>
    <mergeCell ref="E7:I7"/>
    <mergeCell ref="J7:L7"/>
    <mergeCell ref="M7:R7"/>
    <mergeCell ref="D27:J27"/>
    <mergeCell ref="D28:J28"/>
    <mergeCell ref="B8:D8"/>
    <mergeCell ref="E8:I8"/>
    <mergeCell ref="J8:L8"/>
    <mergeCell ref="C11:O11"/>
    <mergeCell ref="K24:L24"/>
    <mergeCell ref="K26:L26"/>
    <mergeCell ref="D13:J13"/>
    <mergeCell ref="D14:J14"/>
    <mergeCell ref="D15:J15"/>
    <mergeCell ref="D16:J16"/>
    <mergeCell ref="D17:J17"/>
    <mergeCell ref="D18:J18"/>
    <mergeCell ref="D19:J19"/>
    <mergeCell ref="D20:J20"/>
    <mergeCell ref="D22:J22"/>
    <mergeCell ref="D24:J24"/>
    <mergeCell ref="D26:J26"/>
    <mergeCell ref="K17:L17"/>
    <mergeCell ref="K18:L18"/>
    <mergeCell ref="K19:L19"/>
    <mergeCell ref="K20:L20"/>
    <mergeCell ref="K22:L22"/>
    <mergeCell ref="K27:L27"/>
    <mergeCell ref="K28:L28"/>
    <mergeCell ref="K29:L29"/>
    <mergeCell ref="C12:J12"/>
    <mergeCell ref="C21:J21"/>
    <mergeCell ref="C23:J23"/>
    <mergeCell ref="C25:J25"/>
    <mergeCell ref="K23:O23"/>
    <mergeCell ref="K21:O21"/>
    <mergeCell ref="K25:O25"/>
    <mergeCell ref="D29:J29"/>
    <mergeCell ref="K12:L12"/>
    <mergeCell ref="K13:L13"/>
    <mergeCell ref="K14:L14"/>
    <mergeCell ref="K15:L15"/>
    <mergeCell ref="K16:L16"/>
    <mergeCell ref="D48:P48"/>
    <mergeCell ref="D49:P49"/>
    <mergeCell ref="D50:P50"/>
    <mergeCell ref="D51:P51"/>
    <mergeCell ref="D52:P52"/>
  </mergeCells>
  <phoneticPr fontId="0" type="noConversion"/>
  <printOptions horizontalCentered="1"/>
  <pageMargins left="0.51181102362204722" right="0.51181102362204722" top="0.51181102362204722" bottom="0.51181102362204722" header="0.51181102362204722" footer="0.51181102362204722"/>
  <pageSetup scale="55"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21">
    <pageSetUpPr fitToPage="1"/>
  </sheetPr>
  <dimension ref="A1:X130"/>
  <sheetViews>
    <sheetView view="pageBreakPreview" zoomScale="60" zoomScaleNormal="67" workbookViewId="0">
      <selection activeCell="X31" sqref="X31"/>
    </sheetView>
  </sheetViews>
  <sheetFormatPr defaultColWidth="11.42578125" defaultRowHeight="12.75" x14ac:dyDescent="0.2"/>
  <cols>
    <col min="1" max="1" width="4.42578125" customWidth="1"/>
    <col min="2" max="2" width="7" customWidth="1"/>
    <col min="3" max="3" width="9.7109375" customWidth="1"/>
    <col min="4" max="8" width="12.7109375" customWidth="1"/>
    <col min="9" max="9" width="12" customWidth="1"/>
    <col min="10" max="10" width="13" customWidth="1"/>
    <col min="11" max="11" width="11" customWidth="1"/>
    <col min="12" max="12" width="11.7109375" customWidth="1"/>
    <col min="13" max="13" width="11.85546875" customWidth="1"/>
    <col min="14" max="14" width="11.28515625" customWidth="1"/>
    <col min="15" max="15" width="12.140625" customWidth="1"/>
    <col min="16" max="16" width="9.140625" customWidth="1"/>
    <col min="17" max="17" width="9.7109375" customWidth="1"/>
    <col min="18" max="18" width="8.42578125" customWidth="1"/>
  </cols>
  <sheetData>
    <row r="1" spans="1:18" ht="16.5" customHeight="1" thickBot="1" x14ac:dyDescent="0.25">
      <c r="B1" s="541"/>
      <c r="C1" s="541"/>
      <c r="D1" s="541"/>
      <c r="E1" s="541"/>
      <c r="F1" s="541"/>
      <c r="G1" s="541"/>
      <c r="H1" s="541"/>
      <c r="I1" s="541"/>
      <c r="J1" s="541"/>
      <c r="K1" s="541"/>
      <c r="L1" s="541"/>
      <c r="M1" s="541"/>
      <c r="N1" s="541"/>
      <c r="O1" s="541"/>
      <c r="P1" s="541"/>
      <c r="Q1" s="542" t="s">
        <v>957</v>
      </c>
      <c r="R1" s="543" t="e">
        <f>'Reactors volumes'!R1+1</f>
        <v>#REF!</v>
      </c>
    </row>
    <row r="2" spans="1:18" ht="16.5" customHeight="1" x14ac:dyDescent="0.25">
      <c r="B2" s="544"/>
      <c r="C2" s="545"/>
      <c r="D2" s="545"/>
      <c r="E2" s="984" t="s">
        <v>970</v>
      </c>
      <c r="F2" s="984"/>
      <c r="G2" s="984"/>
      <c r="H2" s="984"/>
      <c r="I2" s="984"/>
      <c r="J2" s="984"/>
      <c r="K2" s="984"/>
      <c r="L2" s="984"/>
      <c r="M2" s="984"/>
      <c r="N2" s="984"/>
      <c r="O2" s="984"/>
      <c r="P2" s="987" t="s">
        <v>851</v>
      </c>
      <c r="Q2" s="988"/>
      <c r="R2" s="685" t="str">
        <f>IF(ISBLANK(General!$E$6),"",General!$E$6)</f>
        <v/>
      </c>
    </row>
    <row r="3" spans="1:18" ht="16.5" customHeight="1" x14ac:dyDescent="0.2">
      <c r="B3" s="547"/>
      <c r="C3" s="548"/>
      <c r="D3" s="549"/>
      <c r="E3" s="985"/>
      <c r="F3" s="985"/>
      <c r="G3" s="985"/>
      <c r="H3" s="985"/>
      <c r="I3" s="985"/>
      <c r="J3" s="985"/>
      <c r="K3" s="985"/>
      <c r="L3" s="985"/>
      <c r="M3" s="985"/>
      <c r="N3" s="985"/>
      <c r="O3" s="985"/>
      <c r="P3" s="989" t="s">
        <v>958</v>
      </c>
      <c r="Q3" s="990"/>
      <c r="R3" s="550" t="str">
        <f>IF(ISBLANK(General!$E$12),"",General!$E$12)</f>
        <v/>
      </c>
    </row>
    <row r="4" spans="1:18" ht="16.5" customHeight="1" x14ac:dyDescent="0.2">
      <c r="B4" s="547"/>
      <c r="C4" s="548"/>
      <c r="D4" s="549"/>
      <c r="E4" s="985"/>
      <c r="F4" s="985"/>
      <c r="G4" s="985"/>
      <c r="H4" s="985"/>
      <c r="I4" s="985"/>
      <c r="J4" s="985"/>
      <c r="K4" s="985"/>
      <c r="L4" s="985"/>
      <c r="M4" s="985"/>
      <c r="N4" s="985"/>
      <c r="O4" s="985"/>
      <c r="P4" s="989" t="s">
        <v>959</v>
      </c>
      <c r="Q4" s="990"/>
      <c r="R4" s="551" t="str">
        <f>IF(ISBLANK(General!$E$13),"",General!$E$13)</f>
        <v/>
      </c>
    </row>
    <row r="5" spans="1:18" ht="16.5" customHeight="1" x14ac:dyDescent="0.2">
      <c r="B5" s="552"/>
      <c r="C5" s="553"/>
      <c r="D5" s="553"/>
      <c r="E5" s="986"/>
      <c r="F5" s="986"/>
      <c r="G5" s="986"/>
      <c r="H5" s="986"/>
      <c r="I5" s="986"/>
      <c r="J5" s="986"/>
      <c r="K5" s="986"/>
      <c r="L5" s="986"/>
      <c r="M5" s="986"/>
      <c r="N5" s="986"/>
      <c r="O5" s="986"/>
      <c r="P5" s="1089" t="s">
        <v>960</v>
      </c>
      <c r="Q5" s="1090"/>
      <c r="R5" s="554" t="str">
        <f>IF(ISBLANK(General!$E$14),"",General!$E$14)</f>
        <v/>
      </c>
    </row>
    <row r="6" spans="1:18" ht="16.5" customHeight="1" x14ac:dyDescent="0.2">
      <c r="B6" s="1017" t="s">
        <v>897</v>
      </c>
      <c r="C6" s="1018"/>
      <c r="D6" s="1019"/>
      <c r="E6" s="978" t="str">
        <f>IF(ISBLANK(General!$E$8),"",General!$E$8)</f>
        <v/>
      </c>
      <c r="F6" s="979"/>
      <c r="G6" s="979"/>
      <c r="H6" s="979"/>
      <c r="I6" s="1087"/>
      <c r="J6" s="970" t="s">
        <v>961</v>
      </c>
      <c r="K6" s="971"/>
      <c r="L6" s="972"/>
      <c r="M6" s="978" t="str">
        <f>IF(ISBLANK(General!$D$33),"",General!$D$33)</f>
        <v/>
      </c>
      <c r="N6" s="979"/>
      <c r="O6" s="979"/>
      <c r="P6" s="979"/>
      <c r="Q6" s="979"/>
      <c r="R6" s="980"/>
    </row>
    <row r="7" spans="1:18" ht="16.5" customHeight="1" x14ac:dyDescent="0.2">
      <c r="B7" s="991" t="s">
        <v>962</v>
      </c>
      <c r="C7" s="992"/>
      <c r="D7" s="1020"/>
      <c r="E7" s="981" t="str">
        <f>IF(ISBLANK(General!$E$9),"",General!$E$9)</f>
        <v/>
      </c>
      <c r="F7" s="982"/>
      <c r="G7" s="982"/>
      <c r="H7" s="982"/>
      <c r="I7" s="1088"/>
      <c r="J7" s="975" t="s">
        <v>963</v>
      </c>
      <c r="K7" s="976"/>
      <c r="L7" s="977"/>
      <c r="M7" s="981" t="str">
        <f>IF(ISBLANK(General!$E$33),"",General!$E$33)</f>
        <v/>
      </c>
      <c r="N7" s="982"/>
      <c r="O7" s="982"/>
      <c r="P7" s="982"/>
      <c r="Q7" s="982"/>
      <c r="R7" s="983"/>
    </row>
    <row r="8" spans="1:18" ht="16.5" customHeight="1" x14ac:dyDescent="0.2">
      <c r="B8" s="1015" t="s">
        <v>932</v>
      </c>
      <c r="C8" s="1016"/>
      <c r="D8" s="1047"/>
      <c r="E8" s="957" t="str">
        <f>IF(ISBLANK(General!$E$17),"",General!$E$17)</f>
        <v/>
      </c>
      <c r="F8" s="958"/>
      <c r="G8" s="958"/>
      <c r="H8" s="958"/>
      <c r="I8" s="1081"/>
      <c r="J8" s="954" t="s">
        <v>930</v>
      </c>
      <c r="K8" s="955"/>
      <c r="L8" s="956"/>
      <c r="M8" s="957" t="str">
        <f>IF(ISBLANK(General!$E$16),"",General!$E$16)</f>
        <v/>
      </c>
      <c r="N8" s="958"/>
      <c r="O8" s="958"/>
      <c r="P8" s="958"/>
      <c r="Q8" s="958"/>
      <c r="R8" s="959"/>
    </row>
    <row r="9" spans="1:18" ht="15" customHeight="1" x14ac:dyDescent="0.25">
      <c r="B9" s="1013" t="s">
        <v>158</v>
      </c>
      <c r="C9" s="1014"/>
      <c r="D9" s="1014"/>
      <c r="E9" s="1014"/>
      <c r="F9" s="1014"/>
      <c r="G9" s="1014"/>
      <c r="H9" s="1014"/>
      <c r="I9" s="1014"/>
      <c r="J9" s="1014"/>
      <c r="K9" s="1014"/>
      <c r="L9" s="1014"/>
      <c r="M9" s="1014"/>
      <c r="N9" s="1014"/>
      <c r="O9" s="1014"/>
      <c r="P9" s="1014"/>
      <c r="Q9" s="1014"/>
      <c r="R9" s="1082"/>
    </row>
    <row r="10" spans="1:18" ht="15.75" customHeight="1" x14ac:dyDescent="0.2">
      <c r="B10" s="253"/>
      <c r="C10" s="1"/>
      <c r="D10" s="1"/>
      <c r="E10" s="1"/>
      <c r="F10" s="1"/>
      <c r="G10" s="1"/>
      <c r="H10" s="1"/>
      <c r="I10" s="1"/>
      <c r="J10" s="1"/>
      <c r="K10" s="1"/>
      <c r="L10" s="1"/>
      <c r="M10" s="1"/>
      <c r="N10" s="1"/>
      <c r="O10" s="1"/>
      <c r="P10" s="1"/>
      <c r="Q10" s="1"/>
      <c r="R10" s="264"/>
    </row>
    <row r="11" spans="1:18" ht="15.75" customHeight="1" x14ac:dyDescent="0.2">
      <c r="B11" s="612"/>
      <c r="C11" s="1173" t="s">
        <v>792</v>
      </c>
      <c r="D11" s="1173"/>
      <c r="E11" s="1173"/>
      <c r="F11" s="1173"/>
      <c r="G11" s="1173"/>
      <c r="H11" s="715" t="s">
        <v>5</v>
      </c>
      <c r="I11" s="716" t="s">
        <v>223</v>
      </c>
      <c r="J11" s="716" t="s">
        <v>224</v>
      </c>
      <c r="K11" s="716" t="s">
        <v>225</v>
      </c>
      <c r="L11" s="716" t="s">
        <v>226</v>
      </c>
      <c r="M11" s="716" t="s">
        <v>227</v>
      </c>
      <c r="N11" s="716" t="s">
        <v>228</v>
      </c>
      <c r="O11" s="716" t="s">
        <v>229</v>
      </c>
      <c r="P11" s="716"/>
      <c r="Q11" s="716"/>
      <c r="R11" s="264"/>
    </row>
    <row r="12" spans="1:18" ht="16.5" customHeight="1" x14ac:dyDescent="0.2">
      <c r="B12" s="253"/>
      <c r="C12" s="1201" t="s">
        <v>82</v>
      </c>
      <c r="D12" s="1201"/>
      <c r="E12" s="1201"/>
      <c r="F12" s="1201"/>
      <c r="G12" s="1201"/>
      <c r="H12" s="692" t="s">
        <v>14</v>
      </c>
      <c r="I12" s="717">
        <v>1</v>
      </c>
      <c r="J12" s="717">
        <v>1</v>
      </c>
      <c r="K12" s="717">
        <v>1</v>
      </c>
      <c r="L12" s="717">
        <v>1</v>
      </c>
      <c r="M12" s="717">
        <v>1</v>
      </c>
      <c r="N12" s="717">
        <v>1</v>
      </c>
      <c r="O12" s="717">
        <v>1</v>
      </c>
      <c r="P12" s="717"/>
      <c r="Q12" s="717"/>
      <c r="R12" s="264"/>
    </row>
    <row r="13" spans="1:18" ht="15.75" customHeight="1" x14ac:dyDescent="0.2">
      <c r="B13" s="724"/>
      <c r="C13" s="1202" t="s">
        <v>74</v>
      </c>
      <c r="D13" s="1202"/>
      <c r="E13" s="1202"/>
      <c r="F13" s="1202"/>
      <c r="G13" s="1202"/>
      <c r="H13" s="702" t="s">
        <v>216</v>
      </c>
      <c r="I13" s="718">
        <v>6.5</v>
      </c>
      <c r="J13" s="718">
        <v>4.67</v>
      </c>
      <c r="K13" s="718">
        <v>6.5</v>
      </c>
      <c r="L13" s="718">
        <v>4.67</v>
      </c>
      <c r="M13" s="718">
        <v>7.0833000000000004</v>
      </c>
      <c r="N13" s="718">
        <v>4.25</v>
      </c>
      <c r="O13" s="718">
        <v>4.8330000000000002</v>
      </c>
      <c r="P13" s="718"/>
      <c r="Q13" s="718"/>
      <c r="R13" s="264"/>
    </row>
    <row r="14" spans="1:18" ht="18" customHeight="1" x14ac:dyDescent="0.2">
      <c r="A14" s="1"/>
      <c r="B14" s="253"/>
      <c r="C14" s="1207" t="s">
        <v>73</v>
      </c>
      <c r="D14" s="1071"/>
      <c r="E14" s="1071"/>
      <c r="F14" s="1071"/>
      <c r="G14" s="1071"/>
      <c r="H14" s="1071"/>
      <c r="I14" s="1071"/>
      <c r="J14" s="1071"/>
      <c r="K14" s="1071"/>
      <c r="L14" s="1071"/>
      <c r="M14" s="1071"/>
      <c r="N14" s="1071"/>
      <c r="O14" s="1071"/>
      <c r="P14" s="1071"/>
      <c r="Q14" s="1208"/>
      <c r="R14" s="264"/>
    </row>
    <row r="15" spans="1:18" ht="15.75" customHeight="1" x14ac:dyDescent="0.2">
      <c r="B15" s="253"/>
      <c r="C15" s="1201" t="s">
        <v>86</v>
      </c>
      <c r="D15" s="1201"/>
      <c r="E15" s="1201"/>
      <c r="F15" s="1201"/>
      <c r="G15" s="1201"/>
      <c r="H15" s="692" t="s">
        <v>14</v>
      </c>
      <c r="I15" s="719">
        <v>2674</v>
      </c>
      <c r="J15" s="719">
        <v>1587</v>
      </c>
      <c r="K15" s="719">
        <v>2674</v>
      </c>
      <c r="L15" s="719">
        <v>1587</v>
      </c>
      <c r="M15" s="719">
        <v>4619</v>
      </c>
      <c r="N15" s="719">
        <v>1332</v>
      </c>
      <c r="O15" s="719">
        <f>850*2</f>
        <v>1700</v>
      </c>
      <c r="P15" s="719"/>
      <c r="Q15" s="719"/>
      <c r="R15" s="264"/>
    </row>
    <row r="16" spans="1:18" ht="26.25" customHeight="1" x14ac:dyDescent="0.2">
      <c r="B16" s="253"/>
      <c r="C16" s="1203" t="s">
        <v>75</v>
      </c>
      <c r="D16" s="1203"/>
      <c r="E16" s="1203"/>
      <c r="F16" s="1203"/>
      <c r="G16" s="1203"/>
      <c r="H16" s="694" t="s">
        <v>78</v>
      </c>
      <c r="I16" s="720">
        <v>0.75</v>
      </c>
      <c r="J16" s="720">
        <v>1</v>
      </c>
      <c r="K16" s="720">
        <v>0.75</v>
      </c>
      <c r="L16" s="720">
        <v>1</v>
      </c>
      <c r="M16" s="720">
        <v>0.75</v>
      </c>
      <c r="N16" s="720">
        <v>0.75</v>
      </c>
      <c r="O16" s="720">
        <v>0.75</v>
      </c>
      <c r="P16" s="720"/>
      <c r="Q16" s="720"/>
      <c r="R16" s="264"/>
    </row>
    <row r="17" spans="2:24" ht="15.75" customHeight="1" x14ac:dyDescent="0.2">
      <c r="B17" s="253"/>
      <c r="C17" s="1203" t="s">
        <v>703</v>
      </c>
      <c r="D17" s="1203"/>
      <c r="E17" s="1203"/>
      <c r="F17" s="1203"/>
      <c r="G17" s="1203"/>
      <c r="H17" s="694" t="s">
        <v>78</v>
      </c>
      <c r="I17" s="720">
        <v>6.5000000000000002E-2</v>
      </c>
      <c r="J17" s="720">
        <v>8.3000000000000004E-2</v>
      </c>
      <c r="K17" s="720">
        <v>6.5000000000000002E-2</v>
      </c>
      <c r="L17" s="720">
        <v>8.3000000000000004E-2</v>
      </c>
      <c r="M17" s="720">
        <v>6.5000000000000002E-2</v>
      </c>
      <c r="N17" s="720">
        <v>6.5000000000000002E-2</v>
      </c>
      <c r="O17" s="720">
        <v>6.5000000000000002E-2</v>
      </c>
      <c r="P17" s="720"/>
      <c r="Q17" s="720"/>
      <c r="R17" s="264"/>
    </row>
    <row r="18" spans="2:24" ht="15.75" customHeight="1" x14ac:dyDescent="0.2">
      <c r="B18" s="253"/>
      <c r="C18" s="1203" t="s">
        <v>79</v>
      </c>
      <c r="D18" s="1203"/>
      <c r="E18" s="1203"/>
      <c r="F18" s="1203"/>
      <c r="G18" s="1203"/>
      <c r="H18" s="646" t="s">
        <v>231</v>
      </c>
      <c r="I18" s="650">
        <f>+PI()*0.25*(I16-(2*I17))^2</f>
        <v>0.30190705400997914</v>
      </c>
      <c r="J18" s="650">
        <f t="shared" ref="J18:Q18" si="0">+PI()*0.25*(J16-(2*J17))^2</f>
        <v>0.54628840494007547</v>
      </c>
      <c r="K18" s="650">
        <f t="shared" si="0"/>
        <v>0.30190705400997914</v>
      </c>
      <c r="L18" s="650">
        <f t="shared" si="0"/>
        <v>0.54628840494007547</v>
      </c>
      <c r="M18" s="650">
        <f t="shared" si="0"/>
        <v>0.30190705400997914</v>
      </c>
      <c r="N18" s="650">
        <f t="shared" si="0"/>
        <v>0.30190705400997914</v>
      </c>
      <c r="O18" s="650">
        <f t="shared" si="0"/>
        <v>0.30190705400997914</v>
      </c>
      <c r="P18" s="650">
        <f t="shared" si="0"/>
        <v>0</v>
      </c>
      <c r="Q18" s="650">
        <f t="shared" si="0"/>
        <v>0</v>
      </c>
      <c r="R18" s="264"/>
    </row>
    <row r="19" spans="2:24" ht="15.75" customHeight="1" x14ac:dyDescent="0.2">
      <c r="B19" s="253"/>
      <c r="C19" s="1203" t="s">
        <v>232</v>
      </c>
      <c r="D19" s="1203"/>
      <c r="E19" s="1203"/>
      <c r="F19" s="1203"/>
      <c r="G19" s="1203"/>
      <c r="H19" s="646" t="s">
        <v>216</v>
      </c>
      <c r="I19" s="707">
        <v>21</v>
      </c>
      <c r="J19" s="707">
        <v>20</v>
      </c>
      <c r="K19" s="707">
        <v>21</v>
      </c>
      <c r="L19" s="707">
        <v>20</v>
      </c>
      <c r="M19" s="707">
        <v>24</v>
      </c>
      <c r="N19" s="707">
        <v>20</v>
      </c>
      <c r="O19" s="707">
        <v>20</v>
      </c>
      <c r="P19" s="707"/>
      <c r="Q19" s="707"/>
      <c r="R19" s="264"/>
    </row>
    <row r="20" spans="2:24" ht="15.75" customHeight="1" x14ac:dyDescent="0.2">
      <c r="B20" s="253"/>
      <c r="C20" s="1203" t="s">
        <v>84</v>
      </c>
      <c r="D20" s="1203"/>
      <c r="E20" s="1203"/>
      <c r="F20" s="1203"/>
      <c r="G20" s="1203"/>
      <c r="H20" s="646" t="s">
        <v>217</v>
      </c>
      <c r="I20" s="648">
        <f>PI()*((I13^2)/4)*0.6*3.2808</f>
        <v>65.320214364924738</v>
      </c>
      <c r="J20" s="648">
        <f t="shared" ref="J20:Q20" si="1">PI()*((J13^2)/4)*0.6*3.2808</f>
        <v>33.717444332856964</v>
      </c>
      <c r="K20" s="648">
        <f t="shared" si="1"/>
        <v>65.320214364924738</v>
      </c>
      <c r="L20" s="648">
        <f t="shared" si="1"/>
        <v>33.717444332856964</v>
      </c>
      <c r="M20" s="648">
        <f t="shared" si="1"/>
        <v>77.569708583572591</v>
      </c>
      <c r="N20" s="648">
        <f t="shared" si="1"/>
        <v>27.925357916365748</v>
      </c>
      <c r="O20" s="648">
        <f t="shared" si="1"/>
        <v>36.112244179695082</v>
      </c>
      <c r="P20" s="648">
        <f t="shared" si="1"/>
        <v>0</v>
      </c>
      <c r="Q20" s="648">
        <f t="shared" si="1"/>
        <v>0</v>
      </c>
      <c r="R20" s="264"/>
    </row>
    <row r="21" spans="2:24" ht="15.75" customHeight="1" x14ac:dyDescent="0.2">
      <c r="B21" s="253"/>
      <c r="C21" s="1203" t="s">
        <v>83</v>
      </c>
      <c r="D21" s="1203"/>
      <c r="E21" s="1203"/>
      <c r="F21" s="1203"/>
      <c r="G21" s="1203"/>
      <c r="H21" s="646" t="s">
        <v>217</v>
      </c>
      <c r="I21" s="648">
        <f>I20+(I19*(I18*0.0069444)*I15)</f>
        <v>183.05063248873458</v>
      </c>
      <c r="J21" s="648">
        <f t="shared" ref="J21:Q21" si="2">J20+(J19*(J18*0.0069444)*J15)</f>
        <v>154.12774295755534</v>
      </c>
      <c r="K21" s="648">
        <f t="shared" si="2"/>
        <v>183.05063248873458</v>
      </c>
      <c r="L21" s="648">
        <f t="shared" si="2"/>
        <v>154.12774295755534</v>
      </c>
      <c r="M21" s="648">
        <f t="shared" si="2"/>
        <v>309.98633485299354</v>
      </c>
      <c r="N21" s="648">
        <f t="shared" si="2"/>
        <v>83.777805450259933</v>
      </c>
      <c r="O21" s="648">
        <f t="shared" si="2"/>
        <v>107.39539793916964</v>
      </c>
      <c r="P21" s="648">
        <f t="shared" si="2"/>
        <v>0</v>
      </c>
      <c r="Q21" s="648">
        <f t="shared" si="2"/>
        <v>0</v>
      </c>
      <c r="R21" s="264"/>
    </row>
    <row r="22" spans="2:24" ht="15.75" customHeight="1" x14ac:dyDescent="0.2">
      <c r="B22" s="253"/>
      <c r="C22" s="1143" t="s">
        <v>178</v>
      </c>
      <c r="D22" s="1143"/>
      <c r="E22" s="1143"/>
      <c r="F22" s="1143"/>
      <c r="G22" s="1143"/>
      <c r="H22" s="714" t="s">
        <v>90</v>
      </c>
      <c r="I22" s="721">
        <v>100</v>
      </c>
      <c r="J22" s="721">
        <v>100</v>
      </c>
      <c r="K22" s="721">
        <v>100</v>
      </c>
      <c r="L22" s="721">
        <v>100</v>
      </c>
      <c r="M22" s="721">
        <v>100</v>
      </c>
      <c r="N22" s="721">
        <v>100</v>
      </c>
      <c r="O22" s="721">
        <v>100</v>
      </c>
      <c r="P22" s="721">
        <v>80</v>
      </c>
      <c r="Q22" s="721">
        <v>80</v>
      </c>
      <c r="R22" s="264"/>
    </row>
    <row r="23" spans="2:24" ht="15.75" customHeight="1" x14ac:dyDescent="0.2">
      <c r="B23" s="253"/>
      <c r="C23" s="1200" t="s">
        <v>179</v>
      </c>
      <c r="D23" s="1200"/>
      <c r="E23" s="1200"/>
      <c r="F23" s="1200"/>
      <c r="G23" s="1200"/>
      <c r="H23" s="713" t="s">
        <v>230</v>
      </c>
      <c r="I23" s="46">
        <f>I24*I22/100</f>
        <v>183.05063248873458</v>
      </c>
      <c r="J23" s="46">
        <f t="shared" ref="J23:Q23" si="3">J24*J22/100</f>
        <v>154.12774295755534</v>
      </c>
      <c r="K23" s="46">
        <f t="shared" si="3"/>
        <v>183.05063248873458</v>
      </c>
      <c r="L23" s="46">
        <f t="shared" si="3"/>
        <v>154.12774295755534</v>
      </c>
      <c r="M23" s="46">
        <f t="shared" si="3"/>
        <v>309.98633485299354</v>
      </c>
      <c r="N23" s="46">
        <f t="shared" si="3"/>
        <v>83.777805450259933</v>
      </c>
      <c r="O23" s="46">
        <f t="shared" si="3"/>
        <v>107.39539793916964</v>
      </c>
      <c r="P23" s="46">
        <f t="shared" si="3"/>
        <v>0</v>
      </c>
      <c r="Q23" s="46">
        <f t="shared" si="3"/>
        <v>0</v>
      </c>
      <c r="R23" s="264"/>
    </row>
    <row r="24" spans="2:24" ht="15.75" customHeight="1" x14ac:dyDescent="0.2">
      <c r="B24" s="253"/>
      <c r="C24" s="1200" t="s">
        <v>80</v>
      </c>
      <c r="D24" s="1200"/>
      <c r="E24" s="1200"/>
      <c r="F24" s="1200"/>
      <c r="G24" s="1200"/>
      <c r="H24" s="713" t="s">
        <v>230</v>
      </c>
      <c r="I24" s="46">
        <f>+I12*I21</f>
        <v>183.05063248873458</v>
      </c>
      <c r="J24" s="46">
        <f t="shared" ref="J24:Q24" si="4">+J12*J21</f>
        <v>154.12774295755534</v>
      </c>
      <c r="K24" s="46">
        <f t="shared" si="4"/>
        <v>183.05063248873458</v>
      </c>
      <c r="L24" s="46">
        <f t="shared" si="4"/>
        <v>154.12774295755534</v>
      </c>
      <c r="M24" s="46">
        <f t="shared" si="4"/>
        <v>309.98633485299354</v>
      </c>
      <c r="N24" s="46">
        <f t="shared" si="4"/>
        <v>83.777805450259933</v>
      </c>
      <c r="O24" s="46">
        <f t="shared" si="4"/>
        <v>107.39539793916964</v>
      </c>
      <c r="P24" s="46">
        <f t="shared" si="4"/>
        <v>0</v>
      </c>
      <c r="Q24" s="46">
        <f t="shared" si="4"/>
        <v>0</v>
      </c>
      <c r="R24" s="264"/>
    </row>
    <row r="25" spans="2:24" ht="17.25" customHeight="1" x14ac:dyDescent="0.2">
      <c r="B25" s="253"/>
      <c r="C25" s="1207" t="s">
        <v>76</v>
      </c>
      <c r="D25" s="1071"/>
      <c r="E25" s="1071"/>
      <c r="F25" s="1071"/>
      <c r="G25" s="1071"/>
      <c r="H25" s="1071"/>
      <c r="I25" s="1071"/>
      <c r="J25" s="1071"/>
      <c r="K25" s="1071"/>
      <c r="L25" s="1071"/>
      <c r="M25" s="1071"/>
      <c r="N25" s="1071"/>
      <c r="O25" s="1071"/>
      <c r="P25" s="1071"/>
      <c r="Q25" s="1208"/>
      <c r="R25" s="264"/>
    </row>
    <row r="26" spans="2:24" ht="16.5" customHeight="1" x14ac:dyDescent="0.2">
      <c r="B26" s="253"/>
      <c r="C26" s="1201" t="s">
        <v>233</v>
      </c>
      <c r="D26" s="1201"/>
      <c r="E26" s="1201"/>
      <c r="F26" s="1201"/>
      <c r="G26" s="1201"/>
      <c r="H26" s="699" t="s">
        <v>216</v>
      </c>
      <c r="I26" s="717">
        <f>+I19</f>
        <v>21</v>
      </c>
      <c r="J26" s="717">
        <f t="shared" ref="J26:Q26" si="5">+J19</f>
        <v>20</v>
      </c>
      <c r="K26" s="717">
        <f t="shared" si="5"/>
        <v>21</v>
      </c>
      <c r="L26" s="717">
        <f t="shared" si="5"/>
        <v>20</v>
      </c>
      <c r="M26" s="717">
        <f t="shared" si="5"/>
        <v>24</v>
      </c>
      <c r="N26" s="717">
        <f t="shared" si="5"/>
        <v>20</v>
      </c>
      <c r="O26" s="717">
        <f t="shared" si="5"/>
        <v>20</v>
      </c>
      <c r="P26" s="717">
        <f t="shared" si="5"/>
        <v>0</v>
      </c>
      <c r="Q26" s="717">
        <f t="shared" si="5"/>
        <v>0</v>
      </c>
      <c r="R26" s="264"/>
    </row>
    <row r="27" spans="2:24" ht="15.75" customHeight="1" x14ac:dyDescent="0.2">
      <c r="B27" s="253"/>
      <c r="C27" s="1203" t="s">
        <v>81</v>
      </c>
      <c r="D27" s="1203"/>
      <c r="E27" s="1203"/>
      <c r="F27" s="1203"/>
      <c r="G27" s="1203"/>
      <c r="H27" s="646" t="s">
        <v>217</v>
      </c>
      <c r="I27" s="648">
        <f>+(PI()*((I13^2)/4)*(I26))-(I19*(PI()/4*(I16*0.083332)^2)*I15)</f>
        <v>524.57171901048059</v>
      </c>
      <c r="J27" s="648">
        <f t="shared" ref="J27:Q27" si="6">+(PI()*((J13^2)/4)*(J26))-(J19*(PI()/4*(J16*0.083332)^2)*J15)</f>
        <v>169.46409456291298</v>
      </c>
      <c r="K27" s="648">
        <f t="shared" si="6"/>
        <v>524.57171901048059</v>
      </c>
      <c r="L27" s="648">
        <f t="shared" si="6"/>
        <v>169.46409456291298</v>
      </c>
      <c r="M27" s="648">
        <f t="shared" si="6"/>
        <v>605.65032199776897</v>
      </c>
      <c r="N27" s="648">
        <f t="shared" si="6"/>
        <v>201.99720550374235</v>
      </c>
      <c r="O27" s="648">
        <f t="shared" si="6"/>
        <v>262.59750676809648</v>
      </c>
      <c r="P27" s="648">
        <f t="shared" si="6"/>
        <v>0</v>
      </c>
      <c r="Q27" s="648">
        <f t="shared" si="6"/>
        <v>0</v>
      </c>
      <c r="R27" s="264"/>
    </row>
    <row r="28" spans="2:24" ht="15.75" customHeight="1" x14ac:dyDescent="0.2">
      <c r="B28" s="253"/>
      <c r="C28" s="1143" t="s">
        <v>178</v>
      </c>
      <c r="D28" s="1143"/>
      <c r="E28" s="1143"/>
      <c r="F28" s="1143"/>
      <c r="G28" s="1143"/>
      <c r="H28" s="653" t="s">
        <v>90</v>
      </c>
      <c r="I28" s="721">
        <v>100</v>
      </c>
      <c r="J28" s="721">
        <v>100</v>
      </c>
      <c r="K28" s="721">
        <v>100</v>
      </c>
      <c r="L28" s="721">
        <v>100</v>
      </c>
      <c r="M28" s="721">
        <v>100</v>
      </c>
      <c r="N28" s="721">
        <v>100</v>
      </c>
      <c r="O28" s="721">
        <v>100</v>
      </c>
      <c r="P28" s="721">
        <v>80</v>
      </c>
      <c r="Q28" s="721">
        <v>80</v>
      </c>
      <c r="R28" s="264"/>
    </row>
    <row r="29" spans="2:24" ht="15.75" customHeight="1" x14ac:dyDescent="0.2">
      <c r="B29" s="253"/>
      <c r="C29" s="1200" t="s">
        <v>180</v>
      </c>
      <c r="D29" s="1200"/>
      <c r="E29" s="1200"/>
      <c r="F29" s="1200"/>
      <c r="G29" s="1200"/>
      <c r="H29" s="713" t="s">
        <v>230</v>
      </c>
      <c r="I29" s="46">
        <f>I30*I28/100</f>
        <v>524.57171901048059</v>
      </c>
      <c r="J29" s="46">
        <f t="shared" ref="J29:Q29" si="7">J30*J28/100</f>
        <v>169.46409456291298</v>
      </c>
      <c r="K29" s="46">
        <f t="shared" si="7"/>
        <v>524.57171901048059</v>
      </c>
      <c r="L29" s="46">
        <f>L30*L28/100</f>
        <v>169.46409456291298</v>
      </c>
      <c r="M29" s="46">
        <f t="shared" si="7"/>
        <v>605.65032199776897</v>
      </c>
      <c r="N29" s="46">
        <f t="shared" si="7"/>
        <v>201.99720550374232</v>
      </c>
      <c r="O29" s="46">
        <f t="shared" si="7"/>
        <v>262.59750676809648</v>
      </c>
      <c r="P29" s="46">
        <f t="shared" si="7"/>
        <v>0</v>
      </c>
      <c r="Q29" s="46">
        <f t="shared" si="7"/>
        <v>0</v>
      </c>
      <c r="R29" s="264"/>
    </row>
    <row r="30" spans="2:24" ht="15.75" customHeight="1" x14ac:dyDescent="0.2">
      <c r="B30" s="253"/>
      <c r="C30" s="1200" t="s">
        <v>975</v>
      </c>
      <c r="D30" s="1200"/>
      <c r="E30" s="1200"/>
      <c r="F30" s="1200"/>
      <c r="G30" s="1200"/>
      <c r="H30" s="713" t="s">
        <v>230</v>
      </c>
      <c r="I30" s="46">
        <f>+I12*I27</f>
        <v>524.57171901048059</v>
      </c>
      <c r="J30" s="46">
        <f t="shared" ref="J30:Q30" si="8">+J12*J27</f>
        <v>169.46409456291298</v>
      </c>
      <c r="K30" s="46">
        <f t="shared" si="8"/>
        <v>524.57171901048059</v>
      </c>
      <c r="L30" s="46">
        <f>+L12*L27</f>
        <v>169.46409456291298</v>
      </c>
      <c r="M30" s="46">
        <f t="shared" si="8"/>
        <v>605.65032199776897</v>
      </c>
      <c r="N30" s="46">
        <f t="shared" si="8"/>
        <v>201.99720550374235</v>
      </c>
      <c r="O30" s="46">
        <f t="shared" si="8"/>
        <v>262.59750676809648</v>
      </c>
      <c r="P30" s="46">
        <f>+P12*P27</f>
        <v>0</v>
      </c>
      <c r="Q30" s="46">
        <f t="shared" si="8"/>
        <v>0</v>
      </c>
      <c r="R30" s="264"/>
      <c r="X30">
        <f>400000/2176</f>
        <v>183.8235294117647</v>
      </c>
    </row>
    <row r="31" spans="2:24" ht="15.75" customHeight="1" x14ac:dyDescent="0.2">
      <c r="B31" s="253"/>
      <c r="C31" s="1"/>
      <c r="D31" s="1"/>
      <c r="E31" s="1"/>
      <c r="F31" s="1"/>
      <c r="G31" s="1"/>
      <c r="H31" s="1"/>
      <c r="I31" s="1"/>
      <c r="J31" s="1"/>
      <c r="K31" s="1"/>
      <c r="L31" s="1"/>
      <c r="M31" s="1"/>
      <c r="N31" s="1"/>
      <c r="O31" s="1"/>
      <c r="P31" s="1"/>
      <c r="Q31" s="1"/>
      <c r="R31" s="264"/>
    </row>
    <row r="32" spans="2:24" ht="15.75" customHeight="1" x14ac:dyDescent="0.2">
      <c r="B32" s="710"/>
      <c r="C32" s="711" t="s">
        <v>17</v>
      </c>
      <c r="D32" s="688"/>
      <c r="E32" s="688"/>
      <c r="F32" s="688"/>
      <c r="G32" s="688"/>
      <c r="H32" s="688"/>
      <c r="I32" s="688"/>
      <c r="J32" s="688"/>
      <c r="K32" s="688"/>
      <c r="L32" s="688"/>
      <c r="M32" s="688"/>
      <c r="N32" s="688"/>
      <c r="O32" s="688"/>
      <c r="P32" s="688"/>
      <c r="Q32" s="688"/>
      <c r="R32" s="712"/>
    </row>
    <row r="33" spans="2:18" ht="15.75" customHeight="1" x14ac:dyDescent="0.2">
      <c r="B33" s="253"/>
      <c r="C33" s="709" t="s">
        <v>689</v>
      </c>
      <c r="D33" s="1"/>
      <c r="E33" s="1"/>
      <c r="F33" s="1"/>
      <c r="G33" s="1"/>
      <c r="H33" s="1"/>
      <c r="I33" s="1"/>
      <c r="J33" s="1"/>
      <c r="K33" s="1"/>
      <c r="L33" s="1"/>
      <c r="M33" s="1"/>
      <c r="N33" s="1"/>
      <c r="O33" s="1"/>
      <c r="P33" s="1"/>
      <c r="Q33" s="1"/>
      <c r="R33" s="264"/>
    </row>
    <row r="34" spans="2:18" ht="15.75" customHeight="1" x14ac:dyDescent="0.2">
      <c r="B34" s="253"/>
      <c r="C34" s="687" t="s">
        <v>85</v>
      </c>
      <c r="D34" s="1"/>
      <c r="E34" s="1"/>
      <c r="F34" s="1"/>
      <c r="G34" s="1"/>
      <c r="H34" s="1"/>
      <c r="I34" s="1"/>
      <c r="J34" s="1"/>
      <c r="K34" s="1"/>
      <c r="L34" s="1"/>
      <c r="M34" s="1"/>
      <c r="N34" s="1"/>
      <c r="O34" s="1"/>
      <c r="P34" s="1"/>
      <c r="Q34" s="1"/>
      <c r="R34" s="264"/>
    </row>
    <row r="35" spans="2:18" ht="15.75" customHeight="1" x14ac:dyDescent="0.2">
      <c r="B35" s="253"/>
      <c r="C35" s="687" t="s">
        <v>87</v>
      </c>
      <c r="D35" s="1"/>
      <c r="E35" s="1"/>
      <c r="F35" s="1"/>
      <c r="G35" s="1"/>
      <c r="H35" s="1"/>
      <c r="I35" s="1"/>
      <c r="J35" s="1"/>
      <c r="K35" s="1"/>
      <c r="L35" s="1"/>
      <c r="M35" s="1"/>
      <c r="N35" s="1"/>
      <c r="O35" s="1"/>
      <c r="P35" s="1"/>
      <c r="Q35" s="1"/>
      <c r="R35" s="264"/>
    </row>
    <row r="36" spans="2:18" ht="16.5" customHeight="1" x14ac:dyDescent="0.2">
      <c r="B36" s="253"/>
      <c r="C36" s="259" t="s">
        <v>181</v>
      </c>
      <c r="D36" s="1"/>
      <c r="E36" s="1"/>
      <c r="F36" s="1"/>
      <c r="G36" s="1"/>
      <c r="H36" s="1"/>
      <c r="I36" s="1"/>
      <c r="J36" s="1"/>
      <c r="K36" s="1"/>
      <c r="L36" s="1"/>
      <c r="M36" s="1"/>
      <c r="N36" s="1"/>
      <c r="O36" s="1"/>
      <c r="P36" s="1"/>
      <c r="Q36" s="1"/>
      <c r="R36" s="264"/>
    </row>
    <row r="37" spans="2:18" ht="15.75" customHeight="1" x14ac:dyDescent="0.2">
      <c r="B37" s="253"/>
      <c r="C37" s="259"/>
      <c r="D37" s="1"/>
      <c r="E37" s="1"/>
      <c r="F37" s="1"/>
      <c r="G37" s="1"/>
      <c r="H37" s="1"/>
      <c r="I37" s="1"/>
      <c r="J37" s="1"/>
      <c r="K37" s="1"/>
      <c r="L37" s="1"/>
      <c r="M37" s="1"/>
      <c r="N37" s="1"/>
      <c r="O37" s="1"/>
      <c r="P37" s="1"/>
      <c r="Q37" s="1"/>
      <c r="R37" s="264"/>
    </row>
    <row r="38" spans="2:18" ht="19.5" customHeight="1" x14ac:dyDescent="0.2">
      <c r="B38" s="253"/>
      <c r="C38" s="259"/>
      <c r="D38" s="1"/>
      <c r="E38" s="1"/>
      <c r="F38" s="1"/>
      <c r="G38" s="1"/>
      <c r="H38" s="1"/>
      <c r="I38" s="1"/>
      <c r="J38" s="1"/>
      <c r="K38" s="1"/>
      <c r="L38" s="1"/>
      <c r="M38" s="1"/>
      <c r="N38" s="1"/>
      <c r="O38" s="1"/>
      <c r="P38" s="1"/>
      <c r="Q38" s="1"/>
      <c r="R38" s="264"/>
    </row>
    <row r="39" spans="2:18" ht="15.75" customHeight="1" x14ac:dyDescent="0.2">
      <c r="B39" s="253"/>
      <c r="C39" s="259"/>
      <c r="D39" s="1"/>
      <c r="E39" s="1"/>
      <c r="F39" s="1"/>
      <c r="G39" s="1"/>
      <c r="H39" s="1"/>
      <c r="I39" s="1"/>
      <c r="J39" s="1"/>
      <c r="K39" s="1"/>
      <c r="L39" s="1"/>
      <c r="M39" s="1"/>
      <c r="N39" s="1"/>
      <c r="O39" s="1"/>
      <c r="P39" s="1"/>
      <c r="Q39" s="1"/>
      <c r="R39" s="264"/>
    </row>
    <row r="40" spans="2:18" ht="15.75" customHeight="1" x14ac:dyDescent="0.2">
      <c r="B40" s="253"/>
      <c r="C40" s="259"/>
      <c r="D40" s="1"/>
      <c r="E40" s="1"/>
      <c r="F40" s="1"/>
      <c r="G40" s="1"/>
      <c r="H40" s="1"/>
      <c r="I40" s="1"/>
      <c r="J40" s="1"/>
      <c r="K40" s="1"/>
      <c r="L40" s="1"/>
      <c r="M40" s="1"/>
      <c r="N40" s="1"/>
      <c r="O40" s="1"/>
      <c r="P40" s="1"/>
      <c r="Q40" s="1"/>
      <c r="R40" s="264"/>
    </row>
    <row r="41" spans="2:18" ht="15.75" customHeight="1" x14ac:dyDescent="0.2">
      <c r="B41" s="253"/>
      <c r="C41" s="259"/>
      <c r="D41" s="1"/>
      <c r="E41" s="1"/>
      <c r="F41" s="1"/>
      <c r="G41" s="1"/>
      <c r="H41" s="1"/>
      <c r="I41" s="1"/>
      <c r="J41" s="1"/>
      <c r="K41" s="1"/>
      <c r="L41" s="1"/>
      <c r="M41" s="1"/>
      <c r="N41" s="1"/>
      <c r="O41" s="1"/>
      <c r="P41" s="1"/>
      <c r="Q41" s="1"/>
      <c r="R41" s="264"/>
    </row>
    <row r="42" spans="2:18" ht="15.75" customHeight="1" x14ac:dyDescent="0.2">
      <c r="B42" s="253"/>
      <c r="C42" s="259"/>
      <c r="D42" s="1"/>
      <c r="E42" s="1"/>
      <c r="F42" s="1"/>
      <c r="G42" s="1"/>
      <c r="H42" s="1"/>
      <c r="I42" s="1"/>
      <c r="J42" s="1"/>
      <c r="K42" s="1"/>
      <c r="L42" s="1"/>
      <c r="M42" s="1"/>
      <c r="N42" s="1"/>
      <c r="O42" s="1"/>
      <c r="P42" s="1"/>
      <c r="Q42" s="1"/>
      <c r="R42" s="264"/>
    </row>
    <row r="43" spans="2:18" ht="22.5" customHeight="1" x14ac:dyDescent="0.2">
      <c r="B43" s="253"/>
      <c r="C43" s="259"/>
      <c r="D43" s="1"/>
      <c r="E43" s="1"/>
      <c r="F43" s="1"/>
      <c r="G43" s="1"/>
      <c r="H43" s="1"/>
      <c r="I43" s="1"/>
      <c r="J43" s="1"/>
      <c r="K43" s="1"/>
      <c r="L43" s="1"/>
      <c r="M43" s="1"/>
      <c r="N43" s="1"/>
      <c r="O43" s="1"/>
      <c r="P43" s="1"/>
      <c r="Q43" s="1"/>
      <c r="R43" s="264"/>
    </row>
    <row r="44" spans="2:18" ht="22.5" customHeight="1" x14ac:dyDescent="0.2">
      <c r="B44" s="253"/>
      <c r="C44" s="1"/>
      <c r="D44" s="1"/>
      <c r="E44" s="1"/>
      <c r="F44" s="1"/>
      <c r="G44" s="1"/>
      <c r="H44" s="1"/>
      <c r="I44" s="1"/>
      <c r="J44" s="1"/>
      <c r="K44" s="1"/>
      <c r="L44" s="1"/>
      <c r="M44" s="1"/>
      <c r="N44" s="1"/>
      <c r="O44" s="1"/>
      <c r="P44" s="1"/>
      <c r="Q44" s="1"/>
      <c r="R44" s="264"/>
    </row>
    <row r="45" spans="2:18" ht="16.5" customHeight="1" x14ac:dyDescent="0.2">
      <c r="B45" s="710"/>
      <c r="C45" s="1209" t="s">
        <v>177</v>
      </c>
      <c r="D45" s="1209"/>
      <c r="E45" s="1209"/>
      <c r="F45" s="1209"/>
      <c r="G45" s="1209"/>
      <c r="H45" s="1209"/>
      <c r="I45" s="1209"/>
      <c r="J45" s="1209"/>
      <c r="K45" s="1209"/>
      <c r="L45" s="1209"/>
      <c r="M45" s="1209"/>
      <c r="N45" s="1209"/>
      <c r="O45" s="1209"/>
      <c r="P45" s="1209"/>
      <c r="Q45" s="1209"/>
      <c r="R45" s="712"/>
    </row>
    <row r="46" spans="2:18" ht="16.5" customHeight="1" x14ac:dyDescent="0.2">
      <c r="B46" s="253"/>
      <c r="C46" s="1"/>
      <c r="D46" s="1"/>
      <c r="E46" s="1"/>
      <c r="F46" s="1"/>
      <c r="G46" s="1"/>
      <c r="H46" s="1"/>
      <c r="I46" s="1"/>
      <c r="J46" s="1"/>
      <c r="K46" s="1"/>
      <c r="L46" s="1"/>
      <c r="M46" s="1"/>
      <c r="N46" s="1"/>
      <c r="O46" s="1"/>
      <c r="P46" s="1"/>
      <c r="Q46" s="1"/>
      <c r="R46" s="264"/>
    </row>
    <row r="47" spans="2:18" ht="16.5" customHeight="1" x14ac:dyDescent="0.2">
      <c r="B47" s="258" t="s">
        <v>15</v>
      </c>
      <c r="C47" s="1173" t="s">
        <v>792</v>
      </c>
      <c r="D47" s="1173"/>
      <c r="E47" s="1173"/>
      <c r="F47" s="1173"/>
      <c r="G47" s="1173"/>
      <c r="H47" s="715" t="s">
        <v>5</v>
      </c>
      <c r="I47" s="716" t="s">
        <v>223</v>
      </c>
      <c r="J47" s="716" t="s">
        <v>224</v>
      </c>
      <c r="K47" s="716" t="s">
        <v>225</v>
      </c>
      <c r="L47" s="716" t="s">
        <v>226</v>
      </c>
      <c r="M47" s="716" t="s">
        <v>227</v>
      </c>
      <c r="N47" s="716" t="s">
        <v>228</v>
      </c>
      <c r="O47" s="716" t="s">
        <v>229</v>
      </c>
      <c r="P47" s="716"/>
      <c r="Q47" s="716"/>
      <c r="R47" s="264"/>
    </row>
    <row r="48" spans="2:18" ht="16.5" customHeight="1" x14ac:dyDescent="0.2">
      <c r="B48" s="253"/>
      <c r="C48" s="1207" t="s">
        <v>76</v>
      </c>
      <c r="D48" s="1071"/>
      <c r="E48" s="1071"/>
      <c r="F48" s="1071"/>
      <c r="G48" s="1071"/>
      <c r="H48" s="1071"/>
      <c r="I48" s="1071"/>
      <c r="J48" s="1071"/>
      <c r="K48" s="1071"/>
      <c r="L48" s="1071"/>
      <c r="M48" s="1071"/>
      <c r="N48" s="1071"/>
      <c r="O48" s="1071"/>
      <c r="P48" s="1071"/>
      <c r="Q48" s="1208"/>
      <c r="R48" s="264"/>
    </row>
    <row r="49" spans="2:18" ht="15.75" customHeight="1" x14ac:dyDescent="0.2">
      <c r="B49" s="253"/>
      <c r="C49" s="1201" t="s">
        <v>82</v>
      </c>
      <c r="D49" s="1201"/>
      <c r="E49" s="1201"/>
      <c r="F49" s="1201"/>
      <c r="G49" s="1201"/>
      <c r="H49" s="692" t="s">
        <v>14</v>
      </c>
      <c r="I49" s="717">
        <v>1</v>
      </c>
      <c r="J49" s="717">
        <v>1</v>
      </c>
      <c r="K49" s="717">
        <v>1</v>
      </c>
      <c r="L49" s="717">
        <v>1</v>
      </c>
      <c r="M49" s="717">
        <v>1</v>
      </c>
      <c r="N49" s="717">
        <v>1</v>
      </c>
      <c r="O49" s="717">
        <v>1</v>
      </c>
      <c r="P49" s="717"/>
      <c r="Q49" s="717"/>
      <c r="R49" s="264"/>
    </row>
    <row r="50" spans="2:18" ht="15.75" customHeight="1" x14ac:dyDescent="0.2">
      <c r="B50" s="253"/>
      <c r="C50" s="1203" t="s">
        <v>74</v>
      </c>
      <c r="D50" s="1203"/>
      <c r="E50" s="1203"/>
      <c r="F50" s="1203"/>
      <c r="G50" s="1203"/>
      <c r="H50" s="694" t="s">
        <v>216</v>
      </c>
      <c r="I50" s="723">
        <v>6.5</v>
      </c>
      <c r="J50" s="723">
        <v>4.67</v>
      </c>
      <c r="K50" s="723">
        <v>6.5</v>
      </c>
      <c r="L50" s="723">
        <v>4.67</v>
      </c>
      <c r="M50" s="723">
        <v>7.0833000000000004</v>
      </c>
      <c r="N50" s="723">
        <v>4.25</v>
      </c>
      <c r="O50" s="723">
        <v>4.8330000000000002</v>
      </c>
      <c r="P50" s="723"/>
      <c r="Q50" s="723"/>
      <c r="R50" s="264"/>
    </row>
    <row r="51" spans="2:18" ht="15.75" customHeight="1" x14ac:dyDescent="0.2">
      <c r="B51" s="253"/>
      <c r="C51" s="1203" t="s">
        <v>233</v>
      </c>
      <c r="D51" s="1203"/>
      <c r="E51" s="1203"/>
      <c r="F51" s="1203"/>
      <c r="G51" s="1203"/>
      <c r="H51" s="701" t="s">
        <v>216</v>
      </c>
      <c r="I51" s="707">
        <v>21</v>
      </c>
      <c r="J51" s="707">
        <v>20</v>
      </c>
      <c r="K51" s="707">
        <v>21</v>
      </c>
      <c r="L51" s="707">
        <v>20</v>
      </c>
      <c r="M51" s="707">
        <v>24</v>
      </c>
      <c r="N51" s="707">
        <v>20</v>
      </c>
      <c r="O51" s="707">
        <v>20</v>
      </c>
      <c r="P51" s="707"/>
      <c r="Q51" s="707"/>
      <c r="R51" s="264"/>
    </row>
    <row r="52" spans="2:18" ht="15.75" customHeight="1" x14ac:dyDescent="0.2">
      <c r="B52" s="253"/>
      <c r="C52" s="1203" t="s">
        <v>91</v>
      </c>
      <c r="D52" s="1203"/>
      <c r="E52" s="1203"/>
      <c r="F52" s="1203"/>
      <c r="G52" s="1203"/>
      <c r="H52" s="701" t="s">
        <v>90</v>
      </c>
      <c r="I52" s="707">
        <v>33</v>
      </c>
      <c r="J52" s="707">
        <v>33</v>
      </c>
      <c r="K52" s="707">
        <v>33</v>
      </c>
      <c r="L52" s="707">
        <v>33</v>
      </c>
      <c r="M52" s="707">
        <v>33</v>
      </c>
      <c r="N52" s="707">
        <v>33</v>
      </c>
      <c r="O52" s="707">
        <v>33</v>
      </c>
      <c r="P52" s="707"/>
      <c r="Q52" s="707"/>
      <c r="R52" s="264"/>
    </row>
    <row r="53" spans="2:18" ht="15.75" customHeight="1" x14ac:dyDescent="0.2">
      <c r="B53" s="253"/>
      <c r="C53" s="1210" t="s">
        <v>88</v>
      </c>
      <c r="D53" s="1210"/>
      <c r="E53" s="1210"/>
      <c r="F53" s="1210"/>
      <c r="G53" s="1210"/>
      <c r="H53" s="701" t="s">
        <v>217</v>
      </c>
      <c r="I53" s="648">
        <f>+(PI()*((I50^2)/4))*(1-I52/100)*I51</f>
        <v>466.88582871783859</v>
      </c>
      <c r="J53" s="648">
        <f t="shared" ref="J53:Q53" si="9">+(PI()*((J50^2)/4))*(1-J52/100)*J51</f>
        <v>229.52417807662931</v>
      </c>
      <c r="K53" s="648">
        <f t="shared" si="9"/>
        <v>466.88582871783859</v>
      </c>
      <c r="L53" s="648">
        <f t="shared" si="9"/>
        <v>229.52417807662931</v>
      </c>
      <c r="M53" s="648">
        <f t="shared" si="9"/>
        <v>633.64672946834469</v>
      </c>
      <c r="N53" s="648">
        <f t="shared" si="9"/>
        <v>190.09580797330986</v>
      </c>
      <c r="O53" s="648">
        <f t="shared" si="9"/>
        <v>245.82625782731554</v>
      </c>
      <c r="P53" s="648">
        <f t="shared" si="9"/>
        <v>0</v>
      </c>
      <c r="Q53" s="648">
        <f t="shared" si="9"/>
        <v>0</v>
      </c>
      <c r="R53" s="264"/>
    </row>
    <row r="54" spans="2:18" ht="15.75" customHeight="1" x14ac:dyDescent="0.2">
      <c r="B54" s="253"/>
      <c r="C54" s="1206" t="s">
        <v>182</v>
      </c>
      <c r="D54" s="1206"/>
      <c r="E54" s="1206"/>
      <c r="F54" s="1206"/>
      <c r="G54" s="1206"/>
      <c r="H54" s="653" t="s">
        <v>90</v>
      </c>
      <c r="I54" s="721">
        <v>100</v>
      </c>
      <c r="J54" s="721">
        <v>100</v>
      </c>
      <c r="K54" s="721">
        <v>100</v>
      </c>
      <c r="L54" s="721">
        <v>100</v>
      </c>
      <c r="M54" s="721">
        <v>100</v>
      </c>
      <c r="N54" s="721">
        <v>100</v>
      </c>
      <c r="O54" s="721">
        <v>100</v>
      </c>
      <c r="P54" s="721">
        <v>100</v>
      </c>
      <c r="Q54" s="721">
        <v>100</v>
      </c>
      <c r="R54" s="264"/>
    </row>
    <row r="55" spans="2:18" ht="15.75" customHeight="1" x14ac:dyDescent="0.2">
      <c r="B55" s="253"/>
      <c r="C55" s="1204" t="s">
        <v>180</v>
      </c>
      <c r="D55" s="1204"/>
      <c r="E55" s="1204"/>
      <c r="F55" s="1204"/>
      <c r="G55" s="1204"/>
      <c r="H55" s="713" t="s">
        <v>230</v>
      </c>
      <c r="I55" s="46">
        <f>I56*I54/100</f>
        <v>466.88582871783859</v>
      </c>
      <c r="J55" s="46">
        <f t="shared" ref="J55:Q55" si="10">J56*J54/100</f>
        <v>229.52417807662931</v>
      </c>
      <c r="K55" s="46">
        <f t="shared" si="10"/>
        <v>466.88582871783859</v>
      </c>
      <c r="L55" s="46">
        <f t="shared" si="10"/>
        <v>229.52417807662931</v>
      </c>
      <c r="M55" s="46">
        <f t="shared" si="10"/>
        <v>633.64672946834469</v>
      </c>
      <c r="N55" s="46">
        <f t="shared" si="10"/>
        <v>190.09580797330986</v>
      </c>
      <c r="O55" s="46">
        <f t="shared" si="10"/>
        <v>245.82625782731554</v>
      </c>
      <c r="P55" s="46">
        <f t="shared" si="10"/>
        <v>0</v>
      </c>
      <c r="Q55" s="46">
        <f t="shared" si="10"/>
        <v>0</v>
      </c>
      <c r="R55" s="264"/>
    </row>
    <row r="56" spans="2:18" ht="15.75" customHeight="1" x14ac:dyDescent="0.2">
      <c r="B56" s="253"/>
      <c r="C56" s="1204" t="s">
        <v>975</v>
      </c>
      <c r="D56" s="1204"/>
      <c r="E56" s="1204"/>
      <c r="F56" s="1204"/>
      <c r="G56" s="1204"/>
      <c r="H56" s="722" t="s">
        <v>230</v>
      </c>
      <c r="I56" s="46">
        <f t="shared" ref="I56:Q56" si="11">+I53*I49</f>
        <v>466.88582871783859</v>
      </c>
      <c r="J56" s="46">
        <f t="shared" si="11"/>
        <v>229.52417807662931</v>
      </c>
      <c r="K56" s="46">
        <f t="shared" si="11"/>
        <v>466.88582871783859</v>
      </c>
      <c r="L56" s="46">
        <f t="shared" si="11"/>
        <v>229.52417807662931</v>
      </c>
      <c r="M56" s="46">
        <f t="shared" si="11"/>
        <v>633.64672946834469</v>
      </c>
      <c r="N56" s="46">
        <f t="shared" si="11"/>
        <v>190.09580797330986</v>
      </c>
      <c r="O56" s="46">
        <f t="shared" si="11"/>
        <v>245.82625782731554</v>
      </c>
      <c r="P56" s="46">
        <f t="shared" si="11"/>
        <v>0</v>
      </c>
      <c r="Q56" s="46">
        <f t="shared" si="11"/>
        <v>0</v>
      </c>
      <c r="R56" s="264"/>
    </row>
    <row r="57" spans="2:18" ht="15.75" customHeight="1" x14ac:dyDescent="0.2">
      <c r="B57" s="253"/>
      <c r="C57" s="1205" t="s">
        <v>92</v>
      </c>
      <c r="D57" s="1205"/>
      <c r="E57" s="1205"/>
      <c r="F57" s="1205"/>
      <c r="G57" s="1205"/>
      <c r="H57" s="699" t="s">
        <v>217</v>
      </c>
      <c r="I57" s="700">
        <f>+(PI()*((I50^2)/4)*(I51))*(I52/100)</f>
        <v>229.95869175654741</v>
      </c>
      <c r="J57" s="700">
        <f t="shared" ref="J57:Q57" si="12">+(PI()*((J50^2)/4)*(J51))*(J52/100)</f>
        <v>113.04922203774281</v>
      </c>
      <c r="K57" s="700">
        <f t="shared" si="12"/>
        <v>229.95869175654741</v>
      </c>
      <c r="L57" s="700">
        <f t="shared" si="12"/>
        <v>113.04922203774281</v>
      </c>
      <c r="M57" s="700">
        <f t="shared" si="12"/>
        <v>312.09465779784142</v>
      </c>
      <c r="N57" s="700">
        <f t="shared" si="12"/>
        <v>93.629278554018313</v>
      </c>
      <c r="O57" s="700">
        <f t="shared" si="12"/>
        <v>121.07860460151363</v>
      </c>
      <c r="P57" s="700">
        <f t="shared" si="12"/>
        <v>0</v>
      </c>
      <c r="Q57" s="700">
        <f t="shared" si="12"/>
        <v>0</v>
      </c>
      <c r="R57" s="264"/>
    </row>
    <row r="58" spans="2:18" ht="14.25" customHeight="1" x14ac:dyDescent="0.2">
      <c r="B58" s="253"/>
      <c r="C58" s="1206" t="s">
        <v>182</v>
      </c>
      <c r="D58" s="1206"/>
      <c r="E58" s="1206"/>
      <c r="F58" s="1206"/>
      <c r="G58" s="1206"/>
      <c r="H58" s="653" t="s">
        <v>90</v>
      </c>
      <c r="I58" s="721">
        <v>100</v>
      </c>
      <c r="J58" s="721">
        <v>100</v>
      </c>
      <c r="K58" s="721">
        <v>100</v>
      </c>
      <c r="L58" s="721">
        <v>100</v>
      </c>
      <c r="M58" s="721">
        <v>100</v>
      </c>
      <c r="N58" s="721">
        <v>100</v>
      </c>
      <c r="O58" s="721">
        <v>100</v>
      </c>
      <c r="P58" s="721">
        <v>100</v>
      </c>
      <c r="Q58" s="721">
        <v>100</v>
      </c>
      <c r="R58" s="264"/>
    </row>
    <row r="59" spans="2:18" ht="15.75" customHeight="1" x14ac:dyDescent="0.2">
      <c r="B59" s="253"/>
      <c r="C59" s="1204" t="s">
        <v>179</v>
      </c>
      <c r="D59" s="1204"/>
      <c r="E59" s="1204"/>
      <c r="F59" s="1204"/>
      <c r="G59" s="1204"/>
      <c r="H59" s="713" t="s">
        <v>230</v>
      </c>
      <c r="I59" s="46">
        <f>I60*I58/100</f>
        <v>229.95869175654741</v>
      </c>
      <c r="J59" s="46">
        <f t="shared" ref="J59:Q59" si="13">J60*J58/100</f>
        <v>113.04922203774281</v>
      </c>
      <c r="K59" s="46">
        <f t="shared" si="13"/>
        <v>229.95869175654741</v>
      </c>
      <c r="L59" s="46">
        <f t="shared" si="13"/>
        <v>113.04922203774281</v>
      </c>
      <c r="M59" s="46">
        <f t="shared" si="13"/>
        <v>312.09465779784142</v>
      </c>
      <c r="N59" s="46">
        <f t="shared" si="13"/>
        <v>93.629278554018313</v>
      </c>
      <c r="O59" s="46">
        <f t="shared" si="13"/>
        <v>121.07860460151363</v>
      </c>
      <c r="P59" s="46">
        <f t="shared" si="13"/>
        <v>0</v>
      </c>
      <c r="Q59" s="46">
        <f t="shared" si="13"/>
        <v>0</v>
      </c>
      <c r="R59" s="264"/>
    </row>
    <row r="60" spans="2:18" ht="12.75" customHeight="1" x14ac:dyDescent="0.2">
      <c r="B60" s="253"/>
      <c r="C60" s="1204" t="s">
        <v>80</v>
      </c>
      <c r="D60" s="1204"/>
      <c r="E60" s="1204"/>
      <c r="F60" s="1204"/>
      <c r="G60" s="1204"/>
      <c r="H60" s="722" t="s">
        <v>230</v>
      </c>
      <c r="I60" s="46">
        <f t="shared" ref="I60:Q60" si="14">I49*I57</f>
        <v>229.95869175654741</v>
      </c>
      <c r="J60" s="46">
        <f t="shared" si="14"/>
        <v>113.04922203774281</v>
      </c>
      <c r="K60" s="46">
        <f t="shared" si="14"/>
        <v>229.95869175654741</v>
      </c>
      <c r="L60" s="46">
        <f t="shared" si="14"/>
        <v>113.04922203774281</v>
      </c>
      <c r="M60" s="46">
        <f t="shared" si="14"/>
        <v>312.09465779784142</v>
      </c>
      <c r="N60" s="46">
        <f t="shared" si="14"/>
        <v>93.629278554018313</v>
      </c>
      <c r="O60" s="46">
        <f t="shared" si="14"/>
        <v>121.07860460151363</v>
      </c>
      <c r="P60" s="46">
        <f t="shared" si="14"/>
        <v>0</v>
      </c>
      <c r="Q60" s="46">
        <f t="shared" si="14"/>
        <v>0</v>
      </c>
      <c r="R60" s="264"/>
    </row>
    <row r="61" spans="2:18" ht="12.75" customHeight="1" x14ac:dyDescent="0.2">
      <c r="B61" s="253"/>
      <c r="C61" s="1"/>
      <c r="D61" s="1"/>
      <c r="E61" s="1"/>
      <c r="F61" s="1"/>
      <c r="G61" s="1"/>
      <c r="H61" s="1"/>
      <c r="I61" s="1"/>
      <c r="J61" s="1"/>
      <c r="K61" s="1"/>
      <c r="L61" s="1"/>
      <c r="M61" s="1"/>
      <c r="N61" s="1"/>
      <c r="O61" s="1"/>
      <c r="P61" s="1"/>
      <c r="Q61" s="1"/>
      <c r="R61" s="264"/>
    </row>
    <row r="62" spans="2:18" ht="12.75" customHeight="1" x14ac:dyDescent="0.2">
      <c r="B62" s="710"/>
      <c r="C62" s="711" t="s">
        <v>17</v>
      </c>
      <c r="D62" s="688"/>
      <c r="E62" s="688"/>
      <c r="F62" s="688"/>
      <c r="G62" s="688"/>
      <c r="H62" s="688"/>
      <c r="I62" s="688"/>
      <c r="J62" s="688"/>
      <c r="K62" s="688"/>
      <c r="L62" s="688"/>
      <c r="M62" s="688"/>
      <c r="N62" s="688"/>
      <c r="O62" s="688"/>
      <c r="P62" s="688"/>
      <c r="Q62" s="688"/>
      <c r="R62" s="712"/>
    </row>
    <row r="63" spans="2:18" ht="12.75" customHeight="1" x14ac:dyDescent="0.2">
      <c r="B63" s="253"/>
      <c r="C63" s="1" t="s">
        <v>89</v>
      </c>
      <c r="D63" s="1"/>
      <c r="E63" s="1"/>
      <c r="F63" s="1"/>
      <c r="G63" s="1"/>
      <c r="H63" s="1"/>
      <c r="I63" s="1"/>
      <c r="J63" s="1"/>
      <c r="K63" s="1"/>
      <c r="L63" s="1"/>
      <c r="M63" s="1"/>
      <c r="N63" s="1"/>
      <c r="O63" s="1"/>
      <c r="P63" s="1"/>
      <c r="Q63" s="1"/>
      <c r="R63" s="264"/>
    </row>
    <row r="64" spans="2:18" ht="12.75" customHeight="1" x14ac:dyDescent="0.2">
      <c r="B64" s="253"/>
      <c r="C64" s="259" t="s">
        <v>976</v>
      </c>
      <c r="D64" s="1"/>
      <c r="E64" s="1"/>
      <c r="F64" s="1"/>
      <c r="G64" s="1"/>
      <c r="H64" s="1"/>
      <c r="I64" s="1"/>
      <c r="J64" s="1"/>
      <c r="K64" s="1"/>
      <c r="L64" s="1"/>
      <c r="M64" s="1"/>
      <c r="N64" s="1"/>
      <c r="O64" s="1"/>
      <c r="P64" s="1"/>
      <c r="Q64" s="1"/>
      <c r="R64" s="264"/>
    </row>
    <row r="65" spans="2:18" ht="12.75" customHeight="1" x14ac:dyDescent="0.2">
      <c r="B65" s="253"/>
      <c r="C65" s="1"/>
      <c r="D65" s="1"/>
      <c r="E65" s="1"/>
      <c r="F65" s="1"/>
      <c r="G65" s="1"/>
      <c r="H65" s="1"/>
      <c r="I65" s="1"/>
      <c r="J65" s="1"/>
      <c r="K65" s="1"/>
      <c r="L65" s="1"/>
      <c r="M65" s="1"/>
      <c r="N65" s="1"/>
      <c r="O65" s="1"/>
      <c r="P65" s="1"/>
      <c r="Q65" s="1"/>
      <c r="R65" s="264"/>
    </row>
    <row r="66" spans="2:18" ht="12.75" customHeight="1" x14ac:dyDescent="0.2">
      <c r="B66" s="253"/>
      <c r="C66" s="1"/>
      <c r="D66" s="1"/>
      <c r="E66" s="1"/>
      <c r="F66" s="1"/>
      <c r="G66" s="1"/>
      <c r="H66" s="1"/>
      <c r="I66" s="1"/>
      <c r="J66" s="1"/>
      <c r="K66" s="1"/>
      <c r="L66" s="1"/>
      <c r="M66" s="1"/>
      <c r="N66" s="1"/>
      <c r="O66" s="1"/>
      <c r="P66" s="1"/>
      <c r="Q66" s="1"/>
      <c r="R66" s="264"/>
    </row>
    <row r="67" spans="2:18" ht="12.75" customHeight="1" x14ac:dyDescent="0.2">
      <c r="B67" s="253"/>
      <c r="C67" s="1"/>
      <c r="D67" s="1"/>
      <c r="E67" s="1"/>
      <c r="F67" s="1"/>
      <c r="G67" s="1"/>
      <c r="H67" s="1"/>
      <c r="I67" s="1"/>
      <c r="J67" s="1"/>
      <c r="K67" s="1"/>
      <c r="L67" s="1"/>
      <c r="M67" s="1"/>
      <c r="N67" s="1"/>
      <c r="O67" s="1"/>
      <c r="P67" s="1"/>
      <c r="Q67" s="1"/>
      <c r="R67" s="264"/>
    </row>
    <row r="68" spans="2:18" ht="12.75" customHeight="1" x14ac:dyDescent="0.2">
      <c r="B68" s="253"/>
      <c r="C68" s="1"/>
      <c r="D68" s="1"/>
      <c r="E68" s="1"/>
      <c r="F68" s="1"/>
      <c r="G68" s="1"/>
      <c r="H68" s="1"/>
      <c r="I68" s="1"/>
      <c r="J68" s="1"/>
      <c r="K68" s="1"/>
      <c r="L68" s="1"/>
      <c r="M68" s="1"/>
      <c r="N68" s="1"/>
      <c r="O68" s="1"/>
      <c r="P68" s="1"/>
      <c r="Q68" s="1"/>
      <c r="R68" s="264"/>
    </row>
    <row r="69" spans="2:18" ht="12.75" customHeight="1" x14ac:dyDescent="0.2">
      <c r="B69" s="253"/>
      <c r="C69" s="1"/>
      <c r="D69" s="1"/>
      <c r="E69" s="1"/>
      <c r="F69" s="1"/>
      <c r="G69" s="1"/>
      <c r="H69" s="1"/>
      <c r="I69" s="1"/>
      <c r="J69" s="1"/>
      <c r="K69" s="1"/>
      <c r="L69" s="1"/>
      <c r="M69" s="1"/>
      <c r="N69" s="1"/>
      <c r="O69" s="1"/>
      <c r="P69" s="1"/>
      <c r="Q69" s="1"/>
      <c r="R69" s="264"/>
    </row>
    <row r="70" spans="2:18" ht="12.75" customHeight="1" x14ac:dyDescent="0.2">
      <c r="B70" s="253"/>
      <c r="C70" s="1"/>
      <c r="D70" s="1"/>
      <c r="E70" s="1"/>
      <c r="F70" s="1"/>
      <c r="G70" s="1"/>
      <c r="H70" s="1"/>
      <c r="I70" s="1"/>
      <c r="J70" s="1"/>
      <c r="K70" s="1"/>
      <c r="L70" s="1"/>
      <c r="M70" s="1"/>
      <c r="N70" s="1"/>
      <c r="O70" s="1"/>
      <c r="P70" s="1"/>
      <c r="Q70" s="1"/>
      <c r="R70" s="264"/>
    </row>
    <row r="71" spans="2:18" ht="12.75" customHeight="1" x14ac:dyDescent="0.2">
      <c r="B71" s="253"/>
      <c r="C71" s="1"/>
      <c r="D71" s="1"/>
      <c r="E71" s="1"/>
      <c r="F71" s="1"/>
      <c r="G71" s="1"/>
      <c r="H71" s="1"/>
      <c r="I71" s="1"/>
      <c r="J71" s="1"/>
      <c r="K71" s="1"/>
      <c r="L71" s="1"/>
      <c r="M71" s="1"/>
      <c r="N71" s="1"/>
      <c r="O71" s="1"/>
      <c r="P71" s="1"/>
      <c r="Q71" s="1"/>
      <c r="R71" s="264"/>
    </row>
    <row r="72" spans="2:18" ht="12.75" customHeight="1" x14ac:dyDescent="0.2">
      <c r="B72" s="253"/>
      <c r="C72" s="1"/>
      <c r="D72" s="1"/>
      <c r="E72" s="1"/>
      <c r="F72" s="1"/>
      <c r="G72" s="1"/>
      <c r="H72" s="1"/>
      <c r="I72" s="1"/>
      <c r="J72" s="1"/>
      <c r="K72" s="1"/>
      <c r="L72" s="1"/>
      <c r="M72" s="1"/>
      <c r="N72" s="1"/>
      <c r="O72" s="1"/>
      <c r="P72" s="1"/>
      <c r="Q72" s="1"/>
      <c r="R72" s="264"/>
    </row>
    <row r="73" spans="2:18" ht="12.75" customHeight="1" x14ac:dyDescent="0.2">
      <c r="B73" s="253"/>
      <c r="C73" s="1"/>
      <c r="D73" s="1"/>
      <c r="E73" s="1"/>
      <c r="F73" s="1"/>
      <c r="G73" s="1"/>
      <c r="H73" s="1"/>
      <c r="I73" s="1"/>
      <c r="J73" s="1"/>
      <c r="K73" s="1"/>
      <c r="L73" s="1"/>
      <c r="M73" s="1"/>
      <c r="N73" s="1"/>
      <c r="O73" s="1"/>
      <c r="P73" s="1"/>
      <c r="Q73" s="1"/>
      <c r="R73" s="264"/>
    </row>
    <row r="74" spans="2:18" ht="12.75" customHeight="1" x14ac:dyDescent="0.2">
      <c r="B74" s="253"/>
      <c r="C74" s="1"/>
      <c r="D74" s="1"/>
      <c r="E74" s="1"/>
      <c r="F74" s="1"/>
      <c r="G74" s="1"/>
      <c r="H74" s="1"/>
      <c r="I74" s="1"/>
      <c r="J74" s="1"/>
      <c r="K74" s="1"/>
      <c r="L74" s="1"/>
      <c r="M74" s="1"/>
      <c r="N74" s="1"/>
      <c r="O74" s="1"/>
      <c r="P74" s="1"/>
      <c r="Q74" s="1"/>
      <c r="R74" s="264"/>
    </row>
    <row r="75" spans="2:18" ht="12.75" customHeight="1" x14ac:dyDescent="0.2">
      <c r="B75" s="253"/>
      <c r="C75" s="1"/>
      <c r="D75" s="1"/>
      <c r="E75" s="1"/>
      <c r="F75" s="1"/>
      <c r="G75" s="1"/>
      <c r="H75" s="1"/>
      <c r="I75" s="1"/>
      <c r="J75" s="1"/>
      <c r="K75" s="1"/>
      <c r="L75" s="1"/>
      <c r="M75" s="1"/>
      <c r="N75" s="1"/>
      <c r="O75" s="1"/>
      <c r="P75" s="1"/>
      <c r="Q75" s="1"/>
      <c r="R75" s="264"/>
    </row>
    <row r="76" spans="2:18" ht="12.75" customHeight="1" x14ac:dyDescent="0.2">
      <c r="B76" s="253"/>
      <c r="C76" s="1"/>
      <c r="D76" s="1"/>
      <c r="E76" s="1"/>
      <c r="F76" s="1"/>
      <c r="G76" s="1"/>
      <c r="H76" s="1"/>
      <c r="I76" s="1"/>
      <c r="J76" s="1"/>
      <c r="K76" s="1"/>
      <c r="L76" s="1"/>
      <c r="M76" s="1"/>
      <c r="N76" s="1"/>
      <c r="O76" s="1"/>
      <c r="P76" s="1"/>
      <c r="Q76" s="1"/>
      <c r="R76" s="264"/>
    </row>
    <row r="77" spans="2:18" ht="12.75" customHeight="1" x14ac:dyDescent="0.2">
      <c r="B77" s="253"/>
      <c r="C77" s="1"/>
      <c r="D77" s="1"/>
      <c r="E77" s="1"/>
      <c r="F77" s="1"/>
      <c r="G77" s="1"/>
      <c r="H77" s="1"/>
      <c r="I77" s="1"/>
      <c r="J77" s="1"/>
      <c r="K77" s="1"/>
      <c r="L77" s="1"/>
      <c r="M77" s="1"/>
      <c r="N77" s="1"/>
      <c r="O77" s="1"/>
      <c r="P77" s="1"/>
      <c r="Q77" s="1"/>
      <c r="R77" s="264"/>
    </row>
    <row r="78" spans="2:18" ht="12.75" customHeight="1" x14ac:dyDescent="0.2">
      <c r="B78" s="253"/>
      <c r="C78" s="1"/>
      <c r="D78" s="1"/>
      <c r="E78" s="1"/>
      <c r="F78" s="1"/>
      <c r="G78" s="1"/>
      <c r="H78" s="1"/>
      <c r="I78" s="1"/>
      <c r="J78" s="1"/>
      <c r="K78" s="1"/>
      <c r="L78" s="1"/>
      <c r="M78" s="1"/>
      <c r="N78" s="1"/>
      <c r="O78" s="1"/>
      <c r="P78" s="1"/>
      <c r="Q78" s="1"/>
      <c r="R78" s="264"/>
    </row>
    <row r="79" spans="2:18" ht="12.75" customHeight="1" x14ac:dyDescent="0.2">
      <c r="B79" s="253"/>
      <c r="C79" s="1"/>
      <c r="D79" s="1"/>
      <c r="E79" s="1"/>
      <c r="F79" s="1"/>
      <c r="G79" s="1"/>
      <c r="H79" s="1"/>
      <c r="I79" s="1"/>
      <c r="J79" s="1"/>
      <c r="K79" s="1"/>
      <c r="L79" s="1"/>
      <c r="M79" s="1"/>
      <c r="N79" s="1"/>
      <c r="O79" s="1"/>
      <c r="P79" s="1"/>
      <c r="Q79" s="1"/>
      <c r="R79" s="264"/>
    </row>
    <row r="80" spans="2:18" ht="12.75" customHeight="1" x14ac:dyDescent="0.2">
      <c r="B80" s="253"/>
      <c r="C80" s="1"/>
      <c r="D80" s="1"/>
      <c r="E80" s="1"/>
      <c r="F80" s="1"/>
      <c r="G80" s="1"/>
      <c r="H80" s="1"/>
      <c r="I80" s="1"/>
      <c r="J80" s="1"/>
      <c r="K80" s="1"/>
      <c r="L80" s="1"/>
      <c r="M80" s="1"/>
      <c r="N80" s="1"/>
      <c r="O80" s="1"/>
      <c r="P80" s="1"/>
      <c r="Q80" s="1"/>
      <c r="R80" s="264"/>
    </row>
    <row r="81" spans="2:18" ht="12.75" customHeight="1" x14ac:dyDescent="0.2">
      <c r="B81" s="253"/>
      <c r="C81" s="1"/>
      <c r="D81" s="1"/>
      <c r="E81" s="1"/>
      <c r="F81" s="1"/>
      <c r="G81" s="1"/>
      <c r="H81" s="1"/>
      <c r="I81" s="1"/>
      <c r="J81" s="1"/>
      <c r="K81" s="1"/>
      <c r="L81" s="1"/>
      <c r="M81" s="1"/>
      <c r="N81" s="1"/>
      <c r="O81" s="1"/>
      <c r="P81" s="1"/>
      <c r="Q81" s="1"/>
      <c r="R81" s="264"/>
    </row>
    <row r="82" spans="2:18" ht="12.75" customHeight="1" x14ac:dyDescent="0.2">
      <c r="B82" s="253"/>
      <c r="C82" s="1"/>
      <c r="D82" s="1"/>
      <c r="E82" s="1"/>
      <c r="F82" s="1"/>
      <c r="G82" s="1"/>
      <c r="H82" s="1"/>
      <c r="I82" s="1"/>
      <c r="J82" s="1"/>
      <c r="K82" s="1"/>
      <c r="L82" s="1"/>
      <c r="M82" s="1"/>
      <c r="N82" s="1"/>
      <c r="O82" s="1"/>
      <c r="P82" s="1"/>
      <c r="Q82" s="1"/>
      <c r="R82" s="264"/>
    </row>
    <row r="83" spans="2:18" ht="12.75" customHeight="1" x14ac:dyDescent="0.2">
      <c r="B83" s="253"/>
      <c r="C83" s="1"/>
      <c r="D83" s="1"/>
      <c r="E83" s="1"/>
      <c r="F83" s="1"/>
      <c r="G83" s="1"/>
      <c r="H83" s="1"/>
      <c r="I83" s="1"/>
      <c r="J83" s="1"/>
      <c r="K83" s="1"/>
      <c r="L83" s="1"/>
      <c r="M83" s="1"/>
      <c r="N83" s="1"/>
      <c r="O83" s="1"/>
      <c r="P83" s="1"/>
      <c r="Q83" s="1"/>
      <c r="R83" s="264"/>
    </row>
    <row r="84" spans="2:18" ht="12.75" customHeight="1" x14ac:dyDescent="0.2">
      <c r="B84" s="253"/>
      <c r="C84" s="1"/>
      <c r="D84" s="1"/>
      <c r="E84" s="1"/>
      <c r="F84" s="1"/>
      <c r="G84" s="1"/>
      <c r="H84" s="1"/>
      <c r="I84" s="1"/>
      <c r="J84" s="1"/>
      <c r="K84" s="1"/>
      <c r="L84" s="1"/>
      <c r="M84" s="1"/>
      <c r="N84" s="1"/>
      <c r="O84" s="1"/>
      <c r="P84" s="1"/>
      <c r="Q84" s="1"/>
      <c r="R84" s="264"/>
    </row>
    <row r="85" spans="2:18" ht="9" customHeight="1" thickBot="1" x14ac:dyDescent="0.25">
      <c r="B85" s="269"/>
      <c r="C85" s="271"/>
      <c r="D85" s="271"/>
      <c r="E85" s="271"/>
      <c r="F85" s="271"/>
      <c r="G85" s="271"/>
      <c r="H85" s="271"/>
      <c r="I85" s="271"/>
      <c r="J85" s="271"/>
      <c r="K85" s="271"/>
      <c r="L85" s="271"/>
      <c r="M85" s="271"/>
      <c r="N85" s="271"/>
      <c r="O85" s="271"/>
      <c r="P85" s="271"/>
      <c r="Q85" s="271"/>
      <c r="R85" s="305"/>
    </row>
    <row r="86" spans="2:18" ht="20.100000000000001" customHeight="1" x14ac:dyDescent="0.2"/>
    <row r="87" spans="2:18" ht="20.100000000000001" customHeight="1" x14ac:dyDescent="0.2"/>
    <row r="88" spans="2:18" ht="20.100000000000001" customHeight="1" x14ac:dyDescent="0.2"/>
    <row r="89" spans="2:18" ht="20.100000000000001" customHeight="1" x14ac:dyDescent="0.2"/>
    <row r="90" spans="2:18" ht="20.100000000000001" customHeight="1" x14ac:dyDescent="0.2"/>
    <row r="91" spans="2:18" ht="20.100000000000001" customHeight="1" x14ac:dyDescent="0.2"/>
    <row r="92" spans="2:18" ht="20.100000000000001" customHeight="1" x14ac:dyDescent="0.2"/>
    <row r="93" spans="2:18" ht="20.100000000000001" customHeight="1" x14ac:dyDescent="0.2"/>
    <row r="94" spans="2:18" ht="20.100000000000001" customHeight="1" x14ac:dyDescent="0.2"/>
    <row r="95" spans="2:18" ht="20.100000000000001" customHeight="1" x14ac:dyDescent="0.2"/>
    <row r="96" spans="2:18"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20.100000000000001" customHeight="1" x14ac:dyDescent="0.2"/>
    <row r="110" ht="20.100000000000001" customHeight="1" x14ac:dyDescent="0.2"/>
    <row r="111" ht="20.100000000000001" customHeight="1" x14ac:dyDescent="0.2"/>
    <row r="112" ht="20.100000000000001" customHeight="1" x14ac:dyDescent="0.2"/>
    <row r="113" ht="20.100000000000001" customHeight="1" x14ac:dyDescent="0.2"/>
    <row r="114" ht="20.100000000000001" customHeight="1" x14ac:dyDescent="0.2"/>
    <row r="115" ht="20.100000000000001" customHeight="1" x14ac:dyDescent="0.2"/>
    <row r="116" ht="20.100000000000001" customHeight="1" x14ac:dyDescent="0.2"/>
    <row r="117" ht="20.100000000000001" customHeight="1" x14ac:dyDescent="0.2"/>
    <row r="118" ht="20.100000000000001" customHeight="1" x14ac:dyDescent="0.2"/>
    <row r="119" ht="20.100000000000001" customHeight="1" x14ac:dyDescent="0.2"/>
    <row r="120" ht="20.100000000000001" customHeight="1" x14ac:dyDescent="0.2"/>
    <row r="121" ht="20.100000000000001" customHeight="1" x14ac:dyDescent="0.2"/>
    <row r="122" ht="20.100000000000001" customHeight="1" x14ac:dyDescent="0.2"/>
    <row r="123" ht="20.100000000000001" customHeight="1" x14ac:dyDescent="0.2"/>
    <row r="124" ht="20.100000000000001" customHeight="1" x14ac:dyDescent="0.2"/>
    <row r="125" ht="20.100000000000001" customHeight="1" x14ac:dyDescent="0.2"/>
    <row r="126" ht="20.100000000000001" customHeight="1" x14ac:dyDescent="0.2"/>
    <row r="127" ht="20.100000000000001" customHeight="1" x14ac:dyDescent="0.2"/>
    <row r="128" ht="20.100000000000001" customHeight="1" x14ac:dyDescent="0.2"/>
    <row r="129" ht="20.100000000000001" customHeight="1" x14ac:dyDescent="0.2"/>
    <row r="130" ht="20.100000000000001" customHeight="1" x14ac:dyDescent="0.2"/>
  </sheetData>
  <mergeCells count="53">
    <mergeCell ref="C58:G58"/>
    <mergeCell ref="C59:G59"/>
    <mergeCell ref="C60:G60"/>
    <mergeCell ref="C25:Q25"/>
    <mergeCell ref="C14:Q14"/>
    <mergeCell ref="C45:Q45"/>
    <mergeCell ref="C48:Q48"/>
    <mergeCell ref="C17:G17"/>
    <mergeCell ref="C18:G18"/>
    <mergeCell ref="C19:G19"/>
    <mergeCell ref="C20:G20"/>
    <mergeCell ref="C21:G21"/>
    <mergeCell ref="C22:G22"/>
    <mergeCell ref="C23:G23"/>
    <mergeCell ref="C53:G53"/>
    <mergeCell ref="C54:G54"/>
    <mergeCell ref="C55:G55"/>
    <mergeCell ref="C56:G56"/>
    <mergeCell ref="C57:G57"/>
    <mergeCell ref="C49:G49"/>
    <mergeCell ref="C50:G50"/>
    <mergeCell ref="C51:G51"/>
    <mergeCell ref="C52:G52"/>
    <mergeCell ref="C27:G27"/>
    <mergeCell ref="C28:G28"/>
    <mergeCell ref="C29:G29"/>
    <mergeCell ref="C30:G30"/>
    <mergeCell ref="C47:G47"/>
    <mergeCell ref="C26:G26"/>
    <mergeCell ref="E2:O5"/>
    <mergeCell ref="P2:Q2"/>
    <mergeCell ref="P3:Q3"/>
    <mergeCell ref="P4:Q4"/>
    <mergeCell ref="P5:Q5"/>
    <mergeCell ref="B6:D6"/>
    <mergeCell ref="E6:I6"/>
    <mergeCell ref="J6:L6"/>
    <mergeCell ref="M6:R6"/>
    <mergeCell ref="B7:D7"/>
    <mergeCell ref="E7:I7"/>
    <mergeCell ref="J7:L7"/>
    <mergeCell ref="M7:R7"/>
    <mergeCell ref="B8:D8"/>
    <mergeCell ref="C11:G11"/>
    <mergeCell ref="E8:I8"/>
    <mergeCell ref="J8:L8"/>
    <mergeCell ref="M8:R8"/>
    <mergeCell ref="B9:R9"/>
    <mergeCell ref="C24:G24"/>
    <mergeCell ref="C12:G12"/>
    <mergeCell ref="C13:G13"/>
    <mergeCell ref="C15:G15"/>
    <mergeCell ref="C16:G16"/>
  </mergeCells>
  <phoneticPr fontId="0" type="noConversion"/>
  <printOptions horizontalCentered="1"/>
  <pageMargins left="0.51181102362204722" right="0.51181102362204722" top="0.51181102362204722" bottom="0.51181102362204722" header="0.51181102362204722" footer="0.51181102362204722"/>
  <pageSetup scale="50"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O111"/>
  <sheetViews>
    <sheetView zoomScale="59" zoomScaleNormal="59" workbookViewId="0">
      <selection activeCell="AP76" sqref="AP76"/>
    </sheetView>
  </sheetViews>
  <sheetFormatPr defaultColWidth="11.42578125" defaultRowHeight="12.75" x14ac:dyDescent="0.2"/>
  <cols>
    <col min="2" max="2" width="10.85546875" customWidth="1"/>
    <col min="3" max="3" width="37.42578125" customWidth="1"/>
    <col min="4" max="4" width="29.5703125" customWidth="1"/>
    <col min="5" max="5" width="11.85546875" customWidth="1"/>
    <col min="6" max="6" width="18.5703125" customWidth="1"/>
    <col min="7" max="7" width="14.140625" customWidth="1"/>
    <col min="8" max="8" width="14.85546875" customWidth="1"/>
    <col min="9" max="9" width="15.140625" customWidth="1"/>
    <col min="10" max="10" width="15.28515625" customWidth="1"/>
    <col min="11" max="11" width="15" customWidth="1"/>
    <col min="12" max="17" width="11.42578125" customWidth="1"/>
    <col min="18" max="18" width="8.7109375" hidden="1" customWidth="1"/>
    <col min="19" max="19" width="13" hidden="1" customWidth="1"/>
    <col min="20" max="38" width="11.42578125" hidden="1" customWidth="1"/>
    <col min="39" max="40" width="9.140625" customWidth="1"/>
  </cols>
  <sheetData>
    <row r="1" spans="2:23" ht="16.5" customHeight="1" thickBot="1" x14ac:dyDescent="0.25">
      <c r="B1" s="541"/>
      <c r="C1" s="541"/>
      <c r="D1" s="541"/>
      <c r="E1" s="541"/>
      <c r="F1" s="541"/>
      <c r="G1" s="541"/>
      <c r="H1" s="541"/>
      <c r="I1" s="541"/>
      <c r="J1" s="541"/>
      <c r="K1" s="541"/>
      <c r="L1" s="541"/>
      <c r="M1" s="541"/>
      <c r="N1" s="542" t="s">
        <v>957</v>
      </c>
      <c r="O1" s="543" t="e">
        <f>'Exchangers Volumes'!R1+1</f>
        <v>#REF!</v>
      </c>
    </row>
    <row r="2" spans="2:23" ht="16.5" customHeight="1" x14ac:dyDescent="0.25">
      <c r="B2" s="544"/>
      <c r="C2" s="281"/>
      <c r="D2" s="984" t="s">
        <v>970</v>
      </c>
      <c r="E2" s="984"/>
      <c r="F2" s="984"/>
      <c r="G2" s="984"/>
      <c r="H2" s="984"/>
      <c r="I2" s="984"/>
      <c r="J2" s="984"/>
      <c r="K2" s="984"/>
      <c r="L2" s="640"/>
      <c r="M2" s="987" t="s">
        <v>851</v>
      </c>
      <c r="N2" s="988"/>
      <c r="O2" s="926" t="str">
        <f>IF(ISBLANK(General!$E$6),"",General!$E$6)</f>
        <v/>
      </c>
    </row>
    <row r="3" spans="2:23" ht="16.5" customHeight="1" x14ac:dyDescent="0.2">
      <c r="B3" s="547"/>
      <c r="C3" s="555"/>
      <c r="D3" s="985"/>
      <c r="E3" s="985"/>
      <c r="F3" s="985"/>
      <c r="G3" s="985"/>
      <c r="H3" s="985"/>
      <c r="I3" s="985"/>
      <c r="J3" s="985"/>
      <c r="K3" s="985"/>
      <c r="L3" s="555"/>
      <c r="M3" s="989" t="s">
        <v>958</v>
      </c>
      <c r="N3" s="990"/>
      <c r="O3" s="550" t="str">
        <f>IF(ISBLANK(General!$E$12),"",General!$E$12)</f>
        <v/>
      </c>
    </row>
    <row r="4" spans="2:23" ht="16.5" customHeight="1" x14ac:dyDescent="0.2">
      <c r="B4" s="547"/>
      <c r="C4" s="555"/>
      <c r="D4" s="985"/>
      <c r="E4" s="985"/>
      <c r="F4" s="985"/>
      <c r="G4" s="985"/>
      <c r="H4" s="985"/>
      <c r="I4" s="985"/>
      <c r="J4" s="985"/>
      <c r="K4" s="985"/>
      <c r="L4" s="555"/>
      <c r="M4" s="989" t="s">
        <v>959</v>
      </c>
      <c r="N4" s="990"/>
      <c r="O4" s="551" t="str">
        <f>IF(ISBLANK(General!$E$13),"",General!$E$13)</f>
        <v/>
      </c>
    </row>
    <row r="5" spans="2:23" ht="16.5" customHeight="1" x14ac:dyDescent="0.2">
      <c r="B5" s="552"/>
      <c r="C5" s="556"/>
      <c r="D5" s="986"/>
      <c r="E5" s="986"/>
      <c r="F5" s="986"/>
      <c r="G5" s="986"/>
      <c r="H5" s="986"/>
      <c r="I5" s="986"/>
      <c r="J5" s="986"/>
      <c r="K5" s="986"/>
      <c r="L5" s="556"/>
      <c r="M5" s="1089" t="s">
        <v>960</v>
      </c>
      <c r="N5" s="1090"/>
      <c r="O5" s="554" t="str">
        <f>IF(ISBLANK(General!$E$14),"",General!$E$14)</f>
        <v/>
      </c>
    </row>
    <row r="6" spans="2:23" ht="16.5" customHeight="1" x14ac:dyDescent="0.2">
      <c r="B6" s="925" t="s">
        <v>897</v>
      </c>
      <c r="C6" s="927" t="str">
        <f>IF(ISBLANK(General!$E$8),"",General!$E$8)</f>
        <v/>
      </c>
      <c r="D6" s="920"/>
      <c r="E6" s="920"/>
      <c r="F6" s="920"/>
      <c r="G6" s="970" t="s">
        <v>961</v>
      </c>
      <c r="H6" s="971"/>
      <c r="I6" s="971"/>
      <c r="J6" s="1243"/>
      <c r="K6" s="1244"/>
      <c r="L6" s="1244"/>
      <c r="M6" s="1244"/>
      <c r="N6" s="1244"/>
      <c r="O6" s="1245"/>
    </row>
    <row r="7" spans="2:23" ht="16.5" customHeight="1" x14ac:dyDescent="0.2">
      <c r="B7" s="923" t="s">
        <v>962</v>
      </c>
      <c r="C7" s="928" t="str">
        <f>IF(ISBLANK(General!$E$9),"",General!$E$9)</f>
        <v/>
      </c>
      <c r="D7" s="921"/>
      <c r="E7" s="921"/>
      <c r="F7" s="921"/>
      <c r="G7" s="975" t="s">
        <v>963</v>
      </c>
      <c r="H7" s="976"/>
      <c r="I7" s="976"/>
      <c r="J7" s="1246"/>
      <c r="K7" s="1247"/>
      <c r="L7" s="1247"/>
      <c r="M7" s="1247"/>
      <c r="N7" s="1247"/>
      <c r="O7" s="1248"/>
    </row>
    <row r="8" spans="2:23" ht="16.5" customHeight="1" x14ac:dyDescent="0.2">
      <c r="B8" s="924" t="s">
        <v>932</v>
      </c>
      <c r="C8" s="929" t="str">
        <f>IF(ISBLANK(General!$E$17),"",General!$E$17)</f>
        <v/>
      </c>
      <c r="D8" s="922"/>
      <c r="E8" s="922"/>
      <c r="F8" s="922"/>
      <c r="G8" s="954" t="s">
        <v>930</v>
      </c>
      <c r="H8" s="955"/>
      <c r="I8" s="955"/>
      <c r="J8" s="1249"/>
      <c r="K8" s="1250"/>
      <c r="L8" s="1250"/>
      <c r="M8" s="1250"/>
      <c r="N8" s="1250"/>
      <c r="O8" s="1251"/>
    </row>
    <row r="9" spans="2:23" ht="15" customHeight="1" x14ac:dyDescent="0.25">
      <c r="B9" s="1013" t="s">
        <v>977</v>
      </c>
      <c r="C9" s="1014"/>
      <c r="D9" s="1014"/>
      <c r="E9" s="1014"/>
      <c r="F9" s="1014"/>
      <c r="G9" s="1014"/>
      <c r="H9" s="1014"/>
      <c r="I9" s="1014"/>
      <c r="J9" s="1014"/>
      <c r="K9" s="1014"/>
      <c r="L9" s="1014"/>
      <c r="M9" s="1014"/>
      <c r="N9" s="1014"/>
      <c r="O9" s="1082"/>
    </row>
    <row r="10" spans="2:23" ht="15.75" customHeight="1" x14ac:dyDescent="0.2">
      <c r="B10" s="253"/>
      <c r="C10" s="1"/>
      <c r="D10" s="1"/>
      <c r="E10" s="1"/>
      <c r="F10" s="1"/>
      <c r="G10" s="1"/>
      <c r="H10" s="1"/>
      <c r="I10" s="1"/>
      <c r="J10" s="1"/>
      <c r="K10" s="1"/>
      <c r="L10" s="1"/>
      <c r="M10" s="1"/>
      <c r="N10" s="1"/>
      <c r="O10" s="264"/>
    </row>
    <row r="11" spans="2:23" ht="15.75" customHeight="1" x14ac:dyDescent="0.2">
      <c r="B11" s="253"/>
      <c r="C11" s="1229" t="s">
        <v>137</v>
      </c>
      <c r="D11" s="1229"/>
      <c r="E11" s="1229"/>
      <c r="F11" s="1229"/>
      <c r="G11" s="1229"/>
      <c r="H11" s="1229"/>
      <c r="I11" s="1229"/>
      <c r="J11" s="1229"/>
      <c r="K11" s="1229"/>
      <c r="L11" s="1229"/>
      <c r="M11" s="1229"/>
      <c r="N11" s="1229"/>
      <c r="O11" s="264"/>
      <c r="W11" s="30" t="s">
        <v>94</v>
      </c>
    </row>
    <row r="12" spans="2:23" ht="30" customHeight="1" x14ac:dyDescent="0.25">
      <c r="B12" s="253"/>
      <c r="C12" s="1180" t="s">
        <v>793</v>
      </c>
      <c r="D12" s="1180"/>
      <c r="E12" s="744"/>
      <c r="F12" s="716" t="s">
        <v>240</v>
      </c>
      <c r="G12" s="716" t="s">
        <v>241</v>
      </c>
      <c r="H12" s="716" t="s">
        <v>193</v>
      </c>
      <c r="I12" s="716" t="s">
        <v>199</v>
      </c>
      <c r="J12" s="716" t="s">
        <v>201</v>
      </c>
      <c r="K12" s="716" t="s">
        <v>716</v>
      </c>
      <c r="L12" s="745"/>
      <c r="M12" s="745"/>
      <c r="N12" s="745"/>
      <c r="O12" s="264"/>
      <c r="R12" s="50" t="s">
        <v>135</v>
      </c>
      <c r="T12" t="s">
        <v>97</v>
      </c>
      <c r="W12" s="30" t="s">
        <v>95</v>
      </c>
    </row>
    <row r="13" spans="2:23" ht="15.75" customHeight="1" x14ac:dyDescent="0.25">
      <c r="B13" s="253"/>
      <c r="C13" s="1237" t="s">
        <v>234</v>
      </c>
      <c r="D13" s="1237"/>
      <c r="E13" s="733" t="s">
        <v>216</v>
      </c>
      <c r="F13" s="733">
        <v>14.5</v>
      </c>
      <c r="G13" s="733">
        <v>6</v>
      </c>
      <c r="H13" s="733">
        <v>12</v>
      </c>
      <c r="I13" s="733">
        <v>13</v>
      </c>
      <c r="J13" s="733">
        <v>12</v>
      </c>
      <c r="K13" s="733">
        <v>8</v>
      </c>
      <c r="L13" s="729"/>
      <c r="M13" s="729"/>
      <c r="N13" s="729"/>
      <c r="O13" s="264"/>
      <c r="R13" s="50" t="s">
        <v>136</v>
      </c>
      <c r="T13" t="s">
        <v>98</v>
      </c>
      <c r="W13" s="30" t="s">
        <v>96</v>
      </c>
    </row>
    <row r="14" spans="2:23" ht="18" customHeight="1" x14ac:dyDescent="0.2">
      <c r="B14" s="253"/>
      <c r="C14" s="1238" t="s">
        <v>235</v>
      </c>
      <c r="D14" s="1238"/>
      <c r="E14" s="734" t="s">
        <v>216</v>
      </c>
      <c r="F14" s="734">
        <v>100.5</v>
      </c>
      <c r="G14" s="734">
        <v>9.375</v>
      </c>
      <c r="H14" s="734">
        <v>18</v>
      </c>
      <c r="I14" s="734">
        <v>110.5</v>
      </c>
      <c r="J14" s="734">
        <v>18</v>
      </c>
      <c r="K14" s="734">
        <v>24</v>
      </c>
      <c r="L14" s="730"/>
      <c r="M14" s="730"/>
      <c r="N14" s="731" t="str">
        <f>+IF(AND(N22&lt;100,N19=$R$17),"ERROR: If the vessel is full of liquid, the liquid level must be 100%",IF(AND(N22=100,N19=$S$17),"ATTENTION: If the liquid level is 100%, the vessel must be completely full of liquid.",""))</f>
        <v/>
      </c>
      <c r="O14" s="264"/>
    </row>
    <row r="15" spans="2:23" ht="15.75" hidden="1" customHeight="1" x14ac:dyDescent="0.25">
      <c r="B15" s="253"/>
      <c r="C15" s="1239"/>
      <c r="D15" s="1239"/>
      <c r="E15" s="934"/>
      <c r="F15" s="933"/>
      <c r="G15" s="933"/>
      <c r="H15" s="933"/>
      <c r="I15" s="735" t="str">
        <f>+IF(AND(I21&lt;100,I18=$R$17),"ERROR: If the vessel is full of liquid, the liquid level must be 100%",IF(AND(I21=100,I18=$S$17),"ATTENTION: If the liquid level is 100%, the vessel must be completely full of liquid.",""))</f>
        <v/>
      </c>
      <c r="J15" s="933"/>
      <c r="K15" s="933"/>
      <c r="L15" s="730"/>
      <c r="M15" s="730"/>
      <c r="N15" s="731"/>
      <c r="O15" s="264"/>
    </row>
    <row r="16" spans="2:23" ht="26.25" hidden="1" customHeight="1" x14ac:dyDescent="0.2">
      <c r="B16" s="253"/>
      <c r="C16" s="1240"/>
      <c r="D16" s="1240"/>
      <c r="E16" s="934"/>
      <c r="F16" s="933"/>
      <c r="G16" s="933"/>
      <c r="H16" s="933"/>
      <c r="I16" s="933"/>
      <c r="J16" s="735" t="str">
        <f>+IF(AND(J21&lt;100,J18=$R$17),"ERROR: If the vessel is full of liquid, the liquid level must be 100%",IF(AND(J21=100,J18=$S$17),"ATTENTION: If the liquid level is 100%, the vessel must be completely full of liquid.",""))</f>
        <v/>
      </c>
      <c r="K16" s="735" t="str">
        <f>+IF(AND(K21&lt;100,K18=$R$17),"ERROR: If the vessel is full of liquid, the liquid level must be 100%",IF(AND(K21=100,K18=$S$17),"ATTENTION: If the liquid level is 100%, the vessel must be completely full of liquid.",""))</f>
        <v/>
      </c>
      <c r="L16" s="730"/>
      <c r="M16" s="730"/>
      <c r="N16" s="730"/>
      <c r="O16" s="746" t="str">
        <f>+IF(AND(O22&lt;100,O19=$R$17),"ERROR: If the vessel is full of liquid, the liquid level must be 100%",IF(AND(O22=100,O19=$S$17),"ATTENTION: If the liquid level is 100%, the vessel must be completely full of liquid.",""))</f>
        <v/>
      </c>
    </row>
    <row r="17" spans="2:41" ht="15.75" customHeight="1" x14ac:dyDescent="0.2">
      <c r="B17" s="253"/>
      <c r="C17" s="1241" t="s">
        <v>156</v>
      </c>
      <c r="D17" s="1241"/>
      <c r="E17" s="736"/>
      <c r="F17" s="737" t="s">
        <v>97</v>
      </c>
      <c r="G17" s="737" t="s">
        <v>97</v>
      </c>
      <c r="H17" s="737" t="s">
        <v>97</v>
      </c>
      <c r="I17" s="737" t="s">
        <v>97</v>
      </c>
      <c r="J17" s="737" t="s">
        <v>97</v>
      </c>
      <c r="K17" s="737" t="s">
        <v>97</v>
      </c>
      <c r="L17" s="731" t="str">
        <f>+IF(AND(L22&lt;100,L19=$R$17),"ERROR: If the vessel is full of liquid, the liquid level must be 100%",IF(AND(L22=100,L19=$S$17),"ATTENTION: If the liquid level is 100%, the vessel must be completely full of liquid.",""))</f>
        <v/>
      </c>
      <c r="M17" s="730"/>
      <c r="N17" s="730"/>
      <c r="O17" s="264"/>
      <c r="R17" t="s">
        <v>97</v>
      </c>
      <c r="S17" t="s">
        <v>98</v>
      </c>
    </row>
    <row r="18" spans="2:41" ht="15.75" customHeight="1" x14ac:dyDescent="0.2">
      <c r="B18" s="253"/>
      <c r="C18" s="1241" t="s">
        <v>93</v>
      </c>
      <c r="D18" s="1241"/>
      <c r="E18" s="738"/>
      <c r="F18" s="705" t="s">
        <v>98</v>
      </c>
      <c r="G18" s="705" t="s">
        <v>98</v>
      </c>
      <c r="H18" s="705" t="s">
        <v>98</v>
      </c>
      <c r="I18" s="705" t="s">
        <v>98</v>
      </c>
      <c r="J18" s="705" t="s">
        <v>98</v>
      </c>
      <c r="K18" s="705" t="s">
        <v>98</v>
      </c>
      <c r="L18" s="730"/>
      <c r="M18" s="730"/>
      <c r="N18" s="730"/>
      <c r="O18" s="264"/>
      <c r="P18" s="48" t="str">
        <f t="shared" ref="P18:AN18" si="0">+IF(AND(P23&lt;100,P20=$R$17),"ERROR: If the vessel is full of liquid, the liquid level must be 100%",IF(AND(P23=100,P20=$S$17),"ATTENTION: If the liquid level is 100%, the vessel must be completely full of liquid.",""))</f>
        <v/>
      </c>
      <c r="Q18" s="48" t="str">
        <f t="shared" si="0"/>
        <v/>
      </c>
      <c r="R18" s="48" t="str">
        <f t="shared" si="0"/>
        <v/>
      </c>
      <c r="S18" s="48" t="str">
        <f t="shared" si="0"/>
        <v/>
      </c>
      <c r="T18" s="48" t="str">
        <f t="shared" si="0"/>
        <v/>
      </c>
      <c r="U18" s="48" t="str">
        <f t="shared" si="0"/>
        <v/>
      </c>
      <c r="V18" s="48" t="str">
        <f t="shared" si="0"/>
        <v/>
      </c>
      <c r="W18" s="48" t="str">
        <f t="shared" si="0"/>
        <v/>
      </c>
      <c r="X18" s="48" t="str">
        <f t="shared" si="0"/>
        <v/>
      </c>
      <c r="Y18" s="48" t="str">
        <f t="shared" si="0"/>
        <v/>
      </c>
      <c r="Z18" s="48" t="str">
        <f t="shared" si="0"/>
        <v/>
      </c>
      <c r="AA18" s="48" t="str">
        <f t="shared" si="0"/>
        <v/>
      </c>
      <c r="AB18" s="48" t="str">
        <f t="shared" si="0"/>
        <v/>
      </c>
      <c r="AC18" s="48" t="str">
        <f t="shared" si="0"/>
        <v/>
      </c>
      <c r="AD18" s="48" t="str">
        <f t="shared" si="0"/>
        <v/>
      </c>
      <c r="AE18" s="48" t="str">
        <f t="shared" si="0"/>
        <v/>
      </c>
      <c r="AF18" s="48" t="str">
        <f t="shared" si="0"/>
        <v/>
      </c>
      <c r="AG18" s="48" t="str">
        <f t="shared" si="0"/>
        <v/>
      </c>
      <c r="AH18" s="48" t="str">
        <f t="shared" si="0"/>
        <v/>
      </c>
      <c r="AI18" s="48" t="str">
        <f t="shared" si="0"/>
        <v/>
      </c>
      <c r="AJ18" s="48" t="str">
        <f t="shared" si="0"/>
        <v/>
      </c>
      <c r="AK18" s="48" t="str">
        <f t="shared" si="0"/>
        <v/>
      </c>
      <c r="AL18" s="48" t="str">
        <f t="shared" si="0"/>
        <v/>
      </c>
      <c r="AM18" s="48" t="str">
        <f t="shared" si="0"/>
        <v/>
      </c>
      <c r="AN18" s="48" t="str">
        <f t="shared" si="0"/>
        <v/>
      </c>
      <c r="AO18" s="48"/>
    </row>
    <row r="19" spans="2:41" ht="15.75" customHeight="1" x14ac:dyDescent="0.2">
      <c r="B19" s="253"/>
      <c r="C19" s="1241" t="s">
        <v>159</v>
      </c>
      <c r="D19" s="1241"/>
      <c r="E19" s="738"/>
      <c r="F19" s="706" t="s">
        <v>96</v>
      </c>
      <c r="G19" s="706" t="s">
        <v>96</v>
      </c>
      <c r="H19" s="706" t="s">
        <v>96</v>
      </c>
      <c r="I19" s="706" t="s">
        <v>96</v>
      </c>
      <c r="J19" s="706" t="s">
        <v>96</v>
      </c>
      <c r="K19" s="706" t="s">
        <v>96</v>
      </c>
      <c r="L19" s="730"/>
      <c r="M19" s="730"/>
      <c r="N19" s="730"/>
      <c r="O19" s="264"/>
    </row>
    <row r="20" spans="2:41" ht="15.75" hidden="1" customHeight="1" x14ac:dyDescent="0.2">
      <c r="B20" s="253"/>
      <c r="C20" s="1241" t="s">
        <v>160</v>
      </c>
      <c r="D20" s="1241"/>
      <c r="E20" s="738" t="s">
        <v>77</v>
      </c>
      <c r="F20" s="739">
        <v>15</v>
      </c>
      <c r="G20" s="739">
        <v>15</v>
      </c>
      <c r="H20" s="739">
        <v>15</v>
      </c>
      <c r="I20" s="739">
        <v>15</v>
      </c>
      <c r="J20" s="739">
        <v>15</v>
      </c>
      <c r="K20" s="739">
        <v>15</v>
      </c>
      <c r="L20" s="730"/>
      <c r="M20" s="730"/>
      <c r="N20" s="730"/>
      <c r="O20" s="264"/>
    </row>
    <row r="21" spans="2:41" ht="15.75" customHeight="1" x14ac:dyDescent="0.2">
      <c r="B21" s="253"/>
      <c r="C21" s="1242" t="s">
        <v>184</v>
      </c>
      <c r="D21" s="1242"/>
      <c r="E21" s="740" t="s">
        <v>90</v>
      </c>
      <c r="F21" s="741">
        <v>27.45</v>
      </c>
      <c r="G21" s="741">
        <v>27.45</v>
      </c>
      <c r="H21" s="741">
        <v>6.47</v>
      </c>
      <c r="I21" s="741">
        <v>50</v>
      </c>
      <c r="J21" s="742">
        <v>10</v>
      </c>
      <c r="K21" s="742">
        <v>75</v>
      </c>
      <c r="L21" s="732"/>
      <c r="M21" s="732"/>
      <c r="N21" s="732"/>
      <c r="O21" s="264"/>
    </row>
    <row r="22" spans="2:41" ht="15.75" hidden="1" customHeight="1" x14ac:dyDescent="0.2">
      <c r="B22" s="253"/>
      <c r="C22" s="1235" t="s">
        <v>133</v>
      </c>
      <c r="D22" s="1235"/>
      <c r="E22" s="115" t="s">
        <v>13</v>
      </c>
      <c r="F22" s="45">
        <f t="shared" ref="F22:K22" si="1">+F14*0.3048</f>
        <v>30.632400000000001</v>
      </c>
      <c r="G22" s="45">
        <f t="shared" si="1"/>
        <v>2.8574999999999999</v>
      </c>
      <c r="H22" s="45">
        <f t="shared" si="1"/>
        <v>5.4864000000000006</v>
      </c>
      <c r="I22" s="45">
        <f t="shared" si="1"/>
        <v>33.680399999999999</v>
      </c>
      <c r="J22" s="45">
        <f t="shared" si="1"/>
        <v>5.4864000000000006</v>
      </c>
      <c r="K22" s="45">
        <f t="shared" si="1"/>
        <v>7.3152000000000008</v>
      </c>
      <c r="L22" s="725"/>
      <c r="M22" s="725"/>
      <c r="N22" s="725"/>
      <c r="O22" s="264"/>
    </row>
    <row r="23" spans="2:41" ht="15.75" hidden="1" customHeight="1" x14ac:dyDescent="0.2">
      <c r="B23" s="253"/>
      <c r="C23" s="1236" t="s">
        <v>134</v>
      </c>
      <c r="D23" s="1236"/>
      <c r="E23" s="726" t="s">
        <v>13</v>
      </c>
      <c r="F23" s="45">
        <f t="shared" ref="F23:K23" si="2">+F13*0.3048</f>
        <v>4.4196</v>
      </c>
      <c r="G23" s="45">
        <f t="shared" si="2"/>
        <v>1.8288000000000002</v>
      </c>
      <c r="H23" s="45">
        <f t="shared" si="2"/>
        <v>3.6576000000000004</v>
      </c>
      <c r="I23" s="45">
        <f t="shared" si="2"/>
        <v>3.9624000000000001</v>
      </c>
      <c r="J23" s="45">
        <f t="shared" si="2"/>
        <v>3.6576000000000004</v>
      </c>
      <c r="K23" s="45">
        <f t="shared" si="2"/>
        <v>2.4384000000000001</v>
      </c>
      <c r="L23" s="725"/>
      <c r="M23" s="725"/>
      <c r="N23" s="725"/>
      <c r="O23" s="264"/>
    </row>
    <row r="24" spans="2:41" ht="15.75" hidden="1" customHeight="1" x14ac:dyDescent="0.2">
      <c r="B24" s="253"/>
      <c r="C24" s="1234" t="s">
        <v>131</v>
      </c>
      <c r="D24" s="1234"/>
      <c r="E24" s="45" t="s">
        <v>90</v>
      </c>
      <c r="F24" s="45">
        <f t="shared" ref="F24:K24" si="3">+IF(F18=$R$17,100,50)</f>
        <v>50</v>
      </c>
      <c r="G24" s="45">
        <f t="shared" si="3"/>
        <v>50</v>
      </c>
      <c r="H24" s="45">
        <f t="shared" si="3"/>
        <v>50</v>
      </c>
      <c r="I24" s="45">
        <f t="shared" si="3"/>
        <v>50</v>
      </c>
      <c r="J24" s="45">
        <f t="shared" si="3"/>
        <v>50</v>
      </c>
      <c r="K24" s="45">
        <f t="shared" si="3"/>
        <v>50</v>
      </c>
      <c r="L24" s="725"/>
      <c r="M24" s="725"/>
      <c r="N24" s="725"/>
      <c r="O24" s="264"/>
    </row>
    <row r="25" spans="2:41" ht="17.25" hidden="1" customHeight="1" x14ac:dyDescent="0.2">
      <c r="B25" s="253"/>
      <c r="C25" s="1235" t="s">
        <v>100</v>
      </c>
      <c r="D25" s="1235"/>
      <c r="E25" s="45" t="s">
        <v>90</v>
      </c>
      <c r="F25" s="45">
        <f t="shared" ref="F25:K25" si="4">+F21</f>
        <v>27.45</v>
      </c>
      <c r="G25" s="45">
        <f t="shared" si="4"/>
        <v>27.45</v>
      </c>
      <c r="H25" s="45">
        <f t="shared" si="4"/>
        <v>6.47</v>
      </c>
      <c r="I25" s="45">
        <f t="shared" si="4"/>
        <v>50</v>
      </c>
      <c r="J25" s="45">
        <f t="shared" si="4"/>
        <v>10</v>
      </c>
      <c r="K25" s="45">
        <f t="shared" si="4"/>
        <v>75</v>
      </c>
      <c r="L25" s="725"/>
      <c r="M25" s="725"/>
      <c r="N25" s="725"/>
      <c r="O25" s="264"/>
    </row>
    <row r="26" spans="2:41" ht="16.5" hidden="1" customHeight="1" x14ac:dyDescent="0.2">
      <c r="B26" s="253"/>
      <c r="C26" s="1228" t="s">
        <v>101</v>
      </c>
      <c r="D26" s="1228"/>
      <c r="E26" s="45" t="s">
        <v>15</v>
      </c>
      <c r="F26" s="46">
        <f t="shared" ref="F26:K26" si="5">F22/F23</f>
        <v>6.931034482758621</v>
      </c>
      <c r="G26" s="46">
        <f t="shared" si="5"/>
        <v>1.5624999999999998</v>
      </c>
      <c r="H26" s="46">
        <f t="shared" si="5"/>
        <v>1.5</v>
      </c>
      <c r="I26" s="46">
        <f t="shared" si="5"/>
        <v>8.5</v>
      </c>
      <c r="J26" s="46">
        <f t="shared" si="5"/>
        <v>1.5</v>
      </c>
      <c r="K26" s="46">
        <f t="shared" si="5"/>
        <v>3</v>
      </c>
      <c r="L26" s="725"/>
      <c r="M26" s="725"/>
      <c r="N26" s="725"/>
      <c r="O26" s="264"/>
    </row>
    <row r="27" spans="2:41" ht="15.75" hidden="1" customHeight="1" x14ac:dyDescent="0.2">
      <c r="B27" s="253"/>
      <c r="C27" s="1227" t="s">
        <v>161</v>
      </c>
      <c r="D27" s="1227"/>
      <c r="E27" s="46" t="s">
        <v>141</v>
      </c>
      <c r="F27" s="46">
        <f>+IF(F18=$R$17,2,1)*S79+F31*F25/100</f>
        <v>140.29710980224866</v>
      </c>
      <c r="G27" s="46">
        <f>+IF(G18=$R$17,2,1)*T79+G31*G25/100</f>
        <v>8.4655167360479577</v>
      </c>
      <c r="H27" s="46">
        <f>+IF(H18=$R$17,2,1)*T79+H31*H25/100</f>
        <v>10.134821059999595</v>
      </c>
      <c r="I27" s="46">
        <f>+IF(I18=$R$17,2,1)*U79+I31*I25/100</f>
        <v>215.80397993796913</v>
      </c>
      <c r="J27" s="46">
        <f>+IF(J18=$R$17,2,1)*V79+J31*J25/100</f>
        <v>12.169727620551875</v>
      </c>
      <c r="K27" s="46">
        <f>+IF(K18=$R$17,2,1)*W79+K31*K25/100</f>
        <v>27.518292475321974</v>
      </c>
      <c r="L27" s="725"/>
      <c r="M27" s="725"/>
      <c r="N27" s="725"/>
      <c r="O27" s="264"/>
    </row>
    <row r="28" spans="2:41" ht="15.75" hidden="1" customHeight="1" x14ac:dyDescent="0.2">
      <c r="B28" s="747"/>
      <c r="C28" s="1227" t="s">
        <v>162</v>
      </c>
      <c r="D28" s="1227"/>
      <c r="E28" s="46" t="s">
        <v>141</v>
      </c>
      <c r="F28" s="46">
        <f t="shared" ref="F28:K28" si="6">F33*F21/100</f>
        <v>128.99687348791966</v>
      </c>
      <c r="G28" s="46">
        <f t="shared" si="6"/>
        <v>2.0603969357574976</v>
      </c>
      <c r="H28" s="46">
        <f t="shared" si="6"/>
        <v>3.729701259709135</v>
      </c>
      <c r="I28" s="46">
        <f t="shared" si="6"/>
        <v>207.66043352521558</v>
      </c>
      <c r="J28" s="46">
        <f t="shared" si="6"/>
        <v>5.764607820261415</v>
      </c>
      <c r="K28" s="46">
        <f t="shared" si="6"/>
        <v>25.620479201161839</v>
      </c>
      <c r="L28" s="727"/>
      <c r="M28" s="727"/>
      <c r="N28" s="727"/>
      <c r="O28" s="748"/>
    </row>
    <row r="29" spans="2:41" s="31" customFormat="1" ht="15.75" hidden="1" customHeight="1" x14ac:dyDescent="0.2">
      <c r="B29" s="747"/>
      <c r="C29" s="1235" t="s">
        <v>102</v>
      </c>
      <c r="D29" s="1235"/>
      <c r="E29" s="45" t="s">
        <v>90</v>
      </c>
      <c r="F29" s="45">
        <f t="shared" ref="F29:K29" si="7">F27/F32*100</f>
        <v>28.484731012658234</v>
      </c>
      <c r="G29" s="45">
        <f t="shared" si="7"/>
        <v>92.953296703296701</v>
      </c>
      <c r="H29" s="45">
        <f t="shared" si="7"/>
        <v>14.384545454545453</v>
      </c>
      <c r="I29" s="45">
        <f t="shared" si="7"/>
        <v>50</v>
      </c>
      <c r="J29" s="45">
        <f t="shared" si="7"/>
        <v>17.27272727272727</v>
      </c>
      <c r="K29" s="45">
        <f t="shared" si="7"/>
        <v>72.500000000000014</v>
      </c>
      <c r="L29" s="727"/>
      <c r="M29" s="727"/>
      <c r="N29" s="727"/>
      <c r="O29" s="748"/>
    </row>
    <row r="30" spans="2:41" s="31" customFormat="1" ht="15.75" hidden="1" customHeight="1" x14ac:dyDescent="0.2">
      <c r="B30" s="253"/>
      <c r="C30" s="1235" t="s">
        <v>104</v>
      </c>
      <c r="D30" s="1235"/>
      <c r="E30" s="45" t="s">
        <v>7</v>
      </c>
      <c r="F30" s="47">
        <f t="shared" ref="F30:K30" si="8">2*IF(F19=$W$11,0.05*F23^3+1.65*F20/1000*F23^2,IF(F19=$W$12,0.0809*F23^3,IF(F19=$W$13,PI()/24*F23^3,PI()/12*F23^3)))</f>
        <v>22.600472628657982</v>
      </c>
      <c r="G30" s="47">
        <f t="shared" si="8"/>
        <v>1.6012799500726151</v>
      </c>
      <c r="H30" s="47">
        <f t="shared" si="8"/>
        <v>12.810239600580921</v>
      </c>
      <c r="I30" s="47">
        <f t="shared" si="8"/>
        <v>16.287092825507106</v>
      </c>
      <c r="J30" s="47">
        <f t="shared" si="8"/>
        <v>12.810239600580921</v>
      </c>
      <c r="K30" s="47">
        <f t="shared" si="8"/>
        <v>3.7956265483202722</v>
      </c>
      <c r="L30" s="725"/>
      <c r="M30" s="725"/>
      <c r="N30" s="725"/>
      <c r="O30" s="264"/>
    </row>
    <row r="31" spans="2:41" ht="15.75" hidden="1" customHeight="1" x14ac:dyDescent="0.2">
      <c r="B31" s="253"/>
      <c r="C31" s="1235" t="s">
        <v>103</v>
      </c>
      <c r="D31" s="1235"/>
      <c r="E31" s="45" t="s">
        <v>7</v>
      </c>
      <c r="F31" s="45">
        <f t="shared" ref="F31:K31" si="9">F23^2*PI()/4*F22</f>
        <v>469.93396534761257</v>
      </c>
      <c r="G31" s="45">
        <f t="shared" si="9"/>
        <v>7.5059997659653837</v>
      </c>
      <c r="H31" s="45">
        <f t="shared" si="9"/>
        <v>57.646078202614149</v>
      </c>
      <c r="I31" s="45">
        <f t="shared" si="9"/>
        <v>415.32086705043116</v>
      </c>
      <c r="J31" s="45">
        <f t="shared" si="9"/>
        <v>57.646078202614149</v>
      </c>
      <c r="K31" s="45">
        <f t="shared" si="9"/>
        <v>34.160638934882449</v>
      </c>
      <c r="L31" s="725"/>
      <c r="M31" s="725"/>
      <c r="N31" s="725"/>
      <c r="O31" s="264"/>
    </row>
    <row r="32" spans="2:41" ht="15.75" hidden="1" customHeight="1" x14ac:dyDescent="0.2">
      <c r="B32" s="253"/>
      <c r="C32" s="1227" t="s">
        <v>163</v>
      </c>
      <c r="D32" s="1227"/>
      <c r="E32" s="46" t="s">
        <v>141</v>
      </c>
      <c r="F32" s="46">
        <f t="shared" ref="F32:K32" si="10">F31+F30</f>
        <v>492.53443797627057</v>
      </c>
      <c r="G32" s="46">
        <f t="shared" si="10"/>
        <v>9.1072797160379988</v>
      </c>
      <c r="H32" s="46">
        <f t="shared" si="10"/>
        <v>70.456317803195077</v>
      </c>
      <c r="I32" s="46">
        <f t="shared" si="10"/>
        <v>431.60795987593826</v>
      </c>
      <c r="J32" s="46">
        <f t="shared" si="10"/>
        <v>70.456317803195077</v>
      </c>
      <c r="K32" s="46">
        <f t="shared" si="10"/>
        <v>37.956265483202721</v>
      </c>
      <c r="L32" s="725"/>
      <c r="M32" s="725"/>
      <c r="N32" s="725"/>
      <c r="O32" s="264"/>
    </row>
    <row r="33" spans="2:15" ht="15.75" hidden="1" customHeight="1" x14ac:dyDescent="0.2">
      <c r="B33" s="747"/>
      <c r="C33" s="1227" t="s">
        <v>164</v>
      </c>
      <c r="D33" s="1227"/>
      <c r="E33" s="46" t="s">
        <v>141</v>
      </c>
      <c r="F33" s="46">
        <f t="shared" ref="F33:K33" si="11">PI()/4*F23^2*F22</f>
        <v>469.93396534761257</v>
      </c>
      <c r="G33" s="46">
        <f t="shared" si="11"/>
        <v>7.5059997659653837</v>
      </c>
      <c r="H33" s="46">
        <f t="shared" si="11"/>
        <v>57.646078202614149</v>
      </c>
      <c r="I33" s="46">
        <f t="shared" si="11"/>
        <v>415.32086705043116</v>
      </c>
      <c r="J33" s="46">
        <f t="shared" si="11"/>
        <v>57.646078202614149</v>
      </c>
      <c r="K33" s="46">
        <f t="shared" si="11"/>
        <v>34.160638934882449</v>
      </c>
      <c r="L33" s="727"/>
      <c r="M33" s="727"/>
      <c r="N33" s="727"/>
      <c r="O33" s="748"/>
    </row>
    <row r="34" spans="2:15" s="31" customFormat="1" ht="15.75" hidden="1" customHeight="1" x14ac:dyDescent="0.2">
      <c r="B34" s="747"/>
      <c r="C34" s="1227" t="s">
        <v>165</v>
      </c>
      <c r="D34" s="1227"/>
      <c r="E34" s="46" t="s">
        <v>141</v>
      </c>
      <c r="F34" s="46">
        <f>F32-F27</f>
        <v>352.23732817402191</v>
      </c>
      <c r="G34" s="46">
        <f>G32-G27</f>
        <v>0.64176297999004106</v>
      </c>
      <c r="H34" s="46">
        <f t="shared" ref="F34:K35" si="12">H32-H27</f>
        <v>60.321496743195482</v>
      </c>
      <c r="I34" s="46">
        <f t="shared" si="12"/>
        <v>215.80397993796913</v>
      </c>
      <c r="J34" s="46">
        <f t="shared" si="12"/>
        <v>58.286590182643202</v>
      </c>
      <c r="K34" s="46">
        <f t="shared" si="12"/>
        <v>10.437973007880746</v>
      </c>
      <c r="L34" s="727"/>
      <c r="M34" s="727"/>
      <c r="N34" s="727"/>
      <c r="O34" s="748"/>
    </row>
    <row r="35" spans="2:15" s="31" customFormat="1" ht="15.75" hidden="1" customHeight="1" x14ac:dyDescent="0.2">
      <c r="B35" s="747"/>
      <c r="C35" s="1227" t="s">
        <v>166</v>
      </c>
      <c r="D35" s="1227"/>
      <c r="E35" s="46" t="s">
        <v>141</v>
      </c>
      <c r="F35" s="46">
        <f t="shared" si="12"/>
        <v>340.93709185969294</v>
      </c>
      <c r="G35" s="46">
        <f>G33-G28</f>
        <v>5.4456028302078856</v>
      </c>
      <c r="H35" s="46">
        <f t="shared" si="12"/>
        <v>53.916376942905011</v>
      </c>
      <c r="I35" s="46">
        <f t="shared" si="12"/>
        <v>207.66043352521558</v>
      </c>
      <c r="J35" s="46">
        <f t="shared" si="12"/>
        <v>51.881470382352731</v>
      </c>
      <c r="K35" s="46">
        <f t="shared" si="12"/>
        <v>8.5401597337206105</v>
      </c>
      <c r="L35" s="727"/>
      <c r="M35" s="727"/>
      <c r="N35" s="727"/>
      <c r="O35" s="748"/>
    </row>
    <row r="36" spans="2:15" s="31" customFormat="1" ht="16.5" hidden="1" customHeight="1" x14ac:dyDescent="0.2">
      <c r="B36" s="747"/>
      <c r="C36" s="1227"/>
      <c r="D36" s="1227"/>
      <c r="E36" s="46"/>
      <c r="F36" s="46"/>
      <c r="G36" s="46"/>
      <c r="H36" s="46"/>
      <c r="I36" s="46"/>
      <c r="J36" s="46"/>
      <c r="K36" s="46"/>
      <c r="L36" s="727"/>
      <c r="M36" s="727"/>
      <c r="N36" s="727"/>
      <c r="O36" s="748"/>
    </row>
    <row r="37" spans="2:15" s="31" customFormat="1" ht="15.75" customHeight="1" x14ac:dyDescent="0.2">
      <c r="B37" s="747"/>
      <c r="C37" s="1228" t="s">
        <v>161</v>
      </c>
      <c r="D37" s="1228"/>
      <c r="E37" s="46" t="s">
        <v>230</v>
      </c>
      <c r="F37" s="119">
        <f>+F27*35.315</f>
        <v>4954.5924326664108</v>
      </c>
      <c r="G37" s="119">
        <f t="shared" ref="G37:K37" si="13">+G27*35.315</f>
        <v>298.95972353353363</v>
      </c>
      <c r="H37" s="119">
        <f t="shared" si="13"/>
        <v>357.91120573388565</v>
      </c>
      <c r="I37" s="119">
        <f t="shared" si="13"/>
        <v>7621.1175515093792</v>
      </c>
      <c r="J37" s="119">
        <f t="shared" si="13"/>
        <v>429.77393091978945</v>
      </c>
      <c r="K37" s="119">
        <f t="shared" si="13"/>
        <v>971.80849876599541</v>
      </c>
      <c r="L37" s="727"/>
      <c r="M37" s="727"/>
      <c r="N37" s="727"/>
      <c r="O37" s="748"/>
    </row>
    <row r="38" spans="2:15" s="31" customFormat="1" ht="19.5" customHeight="1" x14ac:dyDescent="0.2">
      <c r="B38" s="253"/>
      <c r="C38" s="1228" t="s">
        <v>163</v>
      </c>
      <c r="D38" s="1228"/>
      <c r="E38" s="46" t="s">
        <v>230</v>
      </c>
      <c r="F38" s="119">
        <f t="shared" ref="F38:K38" si="14">+F32*35.315</f>
        <v>17393.853677131992</v>
      </c>
      <c r="G38" s="119">
        <f t="shared" si="14"/>
        <v>321.62358317188193</v>
      </c>
      <c r="H38" s="119">
        <f t="shared" si="14"/>
        <v>2488.1648632198339</v>
      </c>
      <c r="I38" s="119">
        <f t="shared" si="14"/>
        <v>15242.235103018758</v>
      </c>
      <c r="J38" s="119">
        <f t="shared" si="14"/>
        <v>2488.1648632198339</v>
      </c>
      <c r="K38" s="119">
        <f t="shared" si="14"/>
        <v>1340.4255155393039</v>
      </c>
      <c r="L38" s="725"/>
      <c r="M38" s="725"/>
      <c r="N38" s="725"/>
      <c r="O38" s="264"/>
    </row>
    <row r="39" spans="2:15" ht="15.75" customHeight="1" x14ac:dyDescent="0.2">
      <c r="B39" s="253"/>
      <c r="C39" s="1228" t="s">
        <v>165</v>
      </c>
      <c r="D39" s="1228"/>
      <c r="E39" s="46" t="s">
        <v>230</v>
      </c>
      <c r="F39" s="119">
        <f t="shared" ref="F39:K39" si="15">+F34*35.315</f>
        <v>12439.261244465582</v>
      </c>
      <c r="G39" s="119">
        <f t="shared" si="15"/>
        <v>22.663859638348299</v>
      </c>
      <c r="H39" s="119">
        <f t="shared" si="15"/>
        <v>2130.2536574859482</v>
      </c>
      <c r="I39" s="119">
        <f t="shared" si="15"/>
        <v>7621.1175515093792</v>
      </c>
      <c r="J39" s="119">
        <f t="shared" si="15"/>
        <v>2058.3909323000444</v>
      </c>
      <c r="K39" s="119">
        <f t="shared" si="15"/>
        <v>368.61701677330853</v>
      </c>
      <c r="L39" s="725"/>
      <c r="M39" s="725"/>
      <c r="N39" s="725"/>
      <c r="O39" s="264"/>
    </row>
    <row r="40" spans="2:15" ht="15.75" customHeight="1" x14ac:dyDescent="0.2">
      <c r="B40" s="253"/>
      <c r="C40" s="1211"/>
      <c r="D40" s="1212"/>
      <c r="E40" s="725"/>
      <c r="F40" s="725"/>
      <c r="G40" s="725"/>
      <c r="H40" s="725"/>
      <c r="I40" s="725"/>
      <c r="J40" s="725"/>
      <c r="K40" s="725"/>
      <c r="L40" s="725"/>
      <c r="M40" s="725"/>
      <c r="N40" s="725"/>
      <c r="O40" s="264"/>
    </row>
    <row r="41" spans="2:15" ht="15.75" customHeight="1" x14ac:dyDescent="0.2">
      <c r="B41" s="253"/>
      <c r="C41" s="1"/>
      <c r="D41" s="1"/>
      <c r="E41" s="1"/>
      <c r="F41" s="1"/>
      <c r="G41" s="1"/>
      <c r="H41" s="1"/>
      <c r="I41" s="1"/>
      <c r="J41" s="1"/>
      <c r="K41" s="1"/>
      <c r="L41" s="1"/>
      <c r="M41" s="1"/>
      <c r="N41" s="1"/>
      <c r="O41" s="264"/>
    </row>
    <row r="42" spans="2:15" ht="15.75" customHeight="1" x14ac:dyDescent="0.2">
      <c r="B42" s="253"/>
      <c r="C42" s="1229" t="s">
        <v>783</v>
      </c>
      <c r="D42" s="1229"/>
      <c r="E42" s="1229"/>
      <c r="F42" s="1229"/>
      <c r="G42" s="1229"/>
      <c r="H42" s="1229"/>
      <c r="I42" s="1229"/>
      <c r="J42" s="1229"/>
      <c r="K42" s="1229"/>
      <c r="L42" s="1229"/>
      <c r="M42" s="1229"/>
      <c r="N42" s="1229"/>
      <c r="O42" s="264"/>
    </row>
    <row r="43" spans="2:15" ht="22.5" customHeight="1" x14ac:dyDescent="0.2">
      <c r="B43" s="253"/>
      <c r="C43" s="1180" t="s">
        <v>794</v>
      </c>
      <c r="D43" s="1180"/>
      <c r="E43" s="744"/>
      <c r="F43" s="716" t="s">
        <v>167</v>
      </c>
      <c r="G43" s="716" t="s">
        <v>167</v>
      </c>
      <c r="H43" s="716" t="s">
        <v>128</v>
      </c>
      <c r="I43" s="716" t="s">
        <v>129</v>
      </c>
      <c r="J43" s="716" t="s">
        <v>130</v>
      </c>
      <c r="K43" s="716" t="s">
        <v>130</v>
      </c>
      <c r="L43" s="745"/>
      <c r="M43" s="745"/>
      <c r="N43" s="745"/>
      <c r="O43" s="264"/>
    </row>
    <row r="44" spans="2:15" ht="22.5" customHeight="1" x14ac:dyDescent="0.2">
      <c r="B44" s="253"/>
      <c r="C44" s="1230" t="s">
        <v>234</v>
      </c>
      <c r="D44" s="1231"/>
      <c r="E44" s="733" t="s">
        <v>216</v>
      </c>
      <c r="F44" s="733">
        <v>12</v>
      </c>
      <c r="G44" s="733">
        <v>12</v>
      </c>
      <c r="H44" s="733">
        <v>12</v>
      </c>
      <c r="I44" s="733">
        <v>12</v>
      </c>
      <c r="J44" s="733">
        <v>12</v>
      </c>
      <c r="K44" s="733">
        <v>12</v>
      </c>
      <c r="L44" s="729"/>
      <c r="M44" s="729"/>
      <c r="N44" s="729"/>
      <c r="O44" s="264"/>
    </row>
    <row r="45" spans="2:15" ht="16.5" customHeight="1" x14ac:dyDescent="0.2">
      <c r="B45" s="253"/>
      <c r="C45" s="1232" t="s">
        <v>237</v>
      </c>
      <c r="D45" s="1233"/>
      <c r="E45" s="734" t="s">
        <v>216</v>
      </c>
      <c r="F45" s="734">
        <v>18</v>
      </c>
      <c r="G45" s="734">
        <v>18</v>
      </c>
      <c r="H45" s="734">
        <v>18</v>
      </c>
      <c r="I45" s="734">
        <v>18</v>
      </c>
      <c r="J45" s="734">
        <v>18</v>
      </c>
      <c r="K45" s="734">
        <v>18</v>
      </c>
      <c r="L45" s="730"/>
      <c r="M45" s="730"/>
      <c r="N45" s="730"/>
      <c r="O45" s="264"/>
    </row>
    <row r="46" spans="2:15" ht="16.5" customHeight="1" x14ac:dyDescent="0.2">
      <c r="B46" s="253"/>
      <c r="C46" s="1225" t="s">
        <v>156</v>
      </c>
      <c r="D46" s="1226"/>
      <c r="E46" s="743"/>
      <c r="F46" s="737" t="s">
        <v>97</v>
      </c>
      <c r="G46" s="737" t="s">
        <v>97</v>
      </c>
      <c r="H46" s="737" t="s">
        <v>97</v>
      </c>
      <c r="I46" s="737" t="s">
        <v>97</v>
      </c>
      <c r="J46" s="737" t="s">
        <v>97</v>
      </c>
      <c r="K46" s="737" t="s">
        <v>97</v>
      </c>
      <c r="L46" s="730"/>
      <c r="M46" s="730"/>
      <c r="N46" s="730"/>
      <c r="O46" s="264"/>
    </row>
    <row r="47" spans="2:15" ht="16.5" customHeight="1" x14ac:dyDescent="0.2">
      <c r="B47" s="253"/>
      <c r="C47" s="1225" t="s">
        <v>159</v>
      </c>
      <c r="D47" s="1226"/>
      <c r="E47" s="706"/>
      <c r="F47" s="706" t="s">
        <v>96</v>
      </c>
      <c r="G47" s="706" t="s">
        <v>96</v>
      </c>
      <c r="H47" s="706" t="s">
        <v>96</v>
      </c>
      <c r="I47" s="706" t="s">
        <v>96</v>
      </c>
      <c r="J47" s="706" t="s">
        <v>96</v>
      </c>
      <c r="K47" s="706" t="s">
        <v>96</v>
      </c>
      <c r="L47" s="730"/>
      <c r="M47" s="730"/>
      <c r="N47" s="730"/>
      <c r="O47" s="264"/>
    </row>
    <row r="48" spans="2:15" ht="16.5" hidden="1" customHeight="1" x14ac:dyDescent="0.2">
      <c r="B48" s="253"/>
      <c r="C48" s="1225" t="s">
        <v>160</v>
      </c>
      <c r="D48" s="1226"/>
      <c r="E48" s="706" t="s">
        <v>77</v>
      </c>
      <c r="F48" s="739">
        <v>25</v>
      </c>
      <c r="G48" s="739">
        <v>25</v>
      </c>
      <c r="H48" s="739">
        <v>25</v>
      </c>
      <c r="I48" s="739">
        <v>25</v>
      </c>
      <c r="J48" s="739">
        <v>25</v>
      </c>
      <c r="K48" s="739">
        <v>25</v>
      </c>
      <c r="L48" s="730"/>
      <c r="M48" s="730"/>
      <c r="N48" s="730"/>
      <c r="O48" s="264"/>
    </row>
    <row r="49" spans="2:15" ht="15.75" customHeight="1" x14ac:dyDescent="0.2">
      <c r="B49" s="253"/>
      <c r="C49" s="1217" t="s">
        <v>185</v>
      </c>
      <c r="D49" s="1218"/>
      <c r="E49" s="741" t="s">
        <v>90</v>
      </c>
      <c r="F49" s="741">
        <v>50</v>
      </c>
      <c r="G49" s="741">
        <v>50</v>
      </c>
      <c r="H49" s="741">
        <v>50</v>
      </c>
      <c r="I49" s="741">
        <v>50</v>
      </c>
      <c r="J49" s="741">
        <v>50</v>
      </c>
      <c r="K49" s="741">
        <v>50</v>
      </c>
      <c r="L49" s="732"/>
      <c r="M49" s="732"/>
      <c r="N49" s="732"/>
      <c r="O49" s="264"/>
    </row>
    <row r="50" spans="2:15" ht="15.75" hidden="1" customHeight="1" x14ac:dyDescent="0.2">
      <c r="B50" s="253"/>
      <c r="C50" s="1219" t="s">
        <v>138</v>
      </c>
      <c r="D50" s="1220"/>
      <c r="E50" s="115" t="s">
        <v>13</v>
      </c>
      <c r="F50" s="45">
        <f t="shared" ref="F50:K50" si="16">+F45*0.3048</f>
        <v>5.4864000000000006</v>
      </c>
      <c r="G50" s="45">
        <f t="shared" si="16"/>
        <v>5.4864000000000006</v>
      </c>
      <c r="H50" s="45">
        <f t="shared" si="16"/>
        <v>5.4864000000000006</v>
      </c>
      <c r="I50" s="45">
        <f t="shared" si="16"/>
        <v>5.4864000000000006</v>
      </c>
      <c r="J50" s="45">
        <f t="shared" si="16"/>
        <v>5.4864000000000006</v>
      </c>
      <c r="K50" s="45">
        <f t="shared" si="16"/>
        <v>5.4864000000000006</v>
      </c>
      <c r="L50" s="725"/>
      <c r="M50" s="725"/>
      <c r="N50" s="725"/>
      <c r="O50" s="264"/>
    </row>
    <row r="51" spans="2:15" ht="15.75" hidden="1" customHeight="1" x14ac:dyDescent="0.2">
      <c r="B51" s="253"/>
      <c r="C51" s="1221" t="s">
        <v>134</v>
      </c>
      <c r="D51" s="1222"/>
      <c r="E51" s="726" t="s">
        <v>13</v>
      </c>
      <c r="F51" s="45">
        <f t="shared" ref="F51:K51" si="17">+F44*0.3048</f>
        <v>3.6576000000000004</v>
      </c>
      <c r="G51" s="45">
        <f t="shared" si="17"/>
        <v>3.6576000000000004</v>
      </c>
      <c r="H51" s="45">
        <f t="shared" si="17"/>
        <v>3.6576000000000004</v>
      </c>
      <c r="I51" s="45">
        <f t="shared" si="17"/>
        <v>3.6576000000000004</v>
      </c>
      <c r="J51" s="45">
        <f t="shared" si="17"/>
        <v>3.6576000000000004</v>
      </c>
      <c r="K51" s="45">
        <f t="shared" si="17"/>
        <v>3.6576000000000004</v>
      </c>
      <c r="L51" s="725"/>
      <c r="M51" s="725"/>
      <c r="N51" s="725"/>
      <c r="O51" s="264"/>
    </row>
    <row r="52" spans="2:15" ht="15.75" hidden="1" customHeight="1" x14ac:dyDescent="0.2">
      <c r="B52" s="253"/>
      <c r="C52" s="1223" t="s">
        <v>131</v>
      </c>
      <c r="D52" s="1224"/>
      <c r="E52" s="45" t="s">
        <v>90</v>
      </c>
      <c r="F52" s="115">
        <f t="shared" ref="F52:K52" si="18">100*(0.0000622408-0.00513*F49/100+3.09042*(F49/100)^2-2.59601*(F49/100)^3+1.79907*(F49/100)^4-2.7106*(F49/100)^5+1.99097*(F49/100)^6-0.56885*(F49/100)^7+0.000000456198*(F49/100)^8)</f>
        <v>50.000138320702334</v>
      </c>
      <c r="G52" s="115">
        <f t="shared" si="18"/>
        <v>50.000138320702334</v>
      </c>
      <c r="H52" s="115">
        <f t="shared" si="18"/>
        <v>50.000138320702334</v>
      </c>
      <c r="I52" s="115">
        <f t="shared" si="18"/>
        <v>50.000138320702334</v>
      </c>
      <c r="J52" s="115">
        <f t="shared" si="18"/>
        <v>50.000138320702334</v>
      </c>
      <c r="K52" s="115">
        <f t="shared" si="18"/>
        <v>50.000138320702334</v>
      </c>
      <c r="L52" s="725"/>
      <c r="M52" s="725"/>
      <c r="N52" s="725"/>
      <c r="O52" s="264"/>
    </row>
    <row r="53" spans="2:15" ht="15.75" hidden="1" customHeight="1" x14ac:dyDescent="0.2">
      <c r="B53" s="253"/>
      <c r="C53" s="1219" t="s">
        <v>100</v>
      </c>
      <c r="D53" s="1220"/>
      <c r="E53" s="45" t="s">
        <v>90</v>
      </c>
      <c r="F53" s="115">
        <f t="shared" ref="F53:K53" si="19">+F49</f>
        <v>50</v>
      </c>
      <c r="G53" s="115">
        <f t="shared" si="19"/>
        <v>50</v>
      </c>
      <c r="H53" s="115">
        <f t="shared" si="19"/>
        <v>50</v>
      </c>
      <c r="I53" s="115">
        <f t="shared" si="19"/>
        <v>50</v>
      </c>
      <c r="J53" s="115">
        <f t="shared" si="19"/>
        <v>50</v>
      </c>
      <c r="K53" s="115">
        <f t="shared" si="19"/>
        <v>50</v>
      </c>
      <c r="L53" s="725"/>
      <c r="M53" s="725"/>
      <c r="N53" s="725"/>
      <c r="O53" s="264"/>
    </row>
    <row r="54" spans="2:15" ht="15.75" hidden="1" customHeight="1" x14ac:dyDescent="0.2">
      <c r="B54" s="253"/>
      <c r="C54" s="1223" t="s">
        <v>101</v>
      </c>
      <c r="D54" s="1224"/>
      <c r="E54" s="45" t="s">
        <v>15</v>
      </c>
      <c r="F54" s="45">
        <f t="shared" ref="F54:K54" si="20">F50/F51</f>
        <v>1.5</v>
      </c>
      <c r="G54" s="45">
        <f t="shared" si="20"/>
        <v>1.5</v>
      </c>
      <c r="H54" s="45">
        <f t="shared" si="20"/>
        <v>1.5</v>
      </c>
      <c r="I54" s="45">
        <f t="shared" si="20"/>
        <v>1.5</v>
      </c>
      <c r="J54" s="45">
        <f t="shared" si="20"/>
        <v>1.5</v>
      </c>
      <c r="K54" s="45">
        <f t="shared" si="20"/>
        <v>1.5</v>
      </c>
      <c r="L54" s="725"/>
      <c r="M54" s="725"/>
      <c r="N54" s="725"/>
      <c r="O54" s="264"/>
    </row>
    <row r="55" spans="2:15" ht="15.75" hidden="1" customHeight="1" x14ac:dyDescent="0.2">
      <c r="B55" s="253"/>
      <c r="C55" s="1213" t="s">
        <v>161</v>
      </c>
      <c r="D55" s="1214"/>
      <c r="E55" s="46" t="s">
        <v>141</v>
      </c>
      <c r="F55" s="46">
        <f t="shared" ref="F55:K55" si="21">+F59*F53/100+F58*F52/100</f>
        <v>35.228176620810927</v>
      </c>
      <c r="G55" s="46">
        <f t="shared" si="21"/>
        <v>41.633314140314766</v>
      </c>
      <c r="H55" s="46">
        <f t="shared" si="21"/>
        <v>35.228176620810927</v>
      </c>
      <c r="I55" s="46">
        <f t="shared" si="21"/>
        <v>35.228176620810927</v>
      </c>
      <c r="J55" s="46">
        <f t="shared" si="21"/>
        <v>35.228176620810927</v>
      </c>
      <c r="K55" s="46">
        <f t="shared" si="21"/>
        <v>35.228176620810927</v>
      </c>
      <c r="L55" s="725"/>
      <c r="M55" s="725"/>
      <c r="N55" s="725"/>
      <c r="O55" s="264"/>
    </row>
    <row r="56" spans="2:15" ht="15.75" hidden="1" customHeight="1" x14ac:dyDescent="0.2">
      <c r="B56" s="253"/>
      <c r="C56" s="1213" t="s">
        <v>162</v>
      </c>
      <c r="D56" s="1214"/>
      <c r="E56" s="46" t="s">
        <v>141</v>
      </c>
      <c r="F56" s="46">
        <f t="shared" ref="F56:K56" si="22">F61*F53/100</f>
        <v>28.823039101307078</v>
      </c>
      <c r="G56" s="46">
        <f t="shared" si="22"/>
        <v>28.823039101307078</v>
      </c>
      <c r="H56" s="46">
        <f t="shared" si="22"/>
        <v>28.823039101307078</v>
      </c>
      <c r="I56" s="46">
        <f t="shared" si="22"/>
        <v>28.823039101307078</v>
      </c>
      <c r="J56" s="46">
        <f t="shared" si="22"/>
        <v>28.823039101307078</v>
      </c>
      <c r="K56" s="46">
        <f t="shared" si="22"/>
        <v>28.823039101307078</v>
      </c>
      <c r="L56" s="725"/>
      <c r="M56" s="725"/>
      <c r="N56" s="725"/>
      <c r="O56" s="264"/>
    </row>
    <row r="57" spans="2:15" ht="15.75" hidden="1" customHeight="1" x14ac:dyDescent="0.2">
      <c r="B57" s="749"/>
      <c r="C57" s="1219" t="s">
        <v>102</v>
      </c>
      <c r="D57" s="1220"/>
      <c r="E57" s="45" t="s">
        <v>90</v>
      </c>
      <c r="F57" s="45">
        <f t="shared" ref="F57:K57" si="23">F55/F60*100</f>
        <v>50.000025149218608</v>
      </c>
      <c r="G57" s="45">
        <f t="shared" si="23"/>
        <v>50.000042560216095</v>
      </c>
      <c r="H57" s="45">
        <f t="shared" si="23"/>
        <v>50.000025149218608</v>
      </c>
      <c r="I57" s="45">
        <f t="shared" si="23"/>
        <v>50.000025149218608</v>
      </c>
      <c r="J57" s="45">
        <f t="shared" si="23"/>
        <v>50.000025149218608</v>
      </c>
      <c r="K57" s="45">
        <f t="shared" si="23"/>
        <v>50.000025149218608</v>
      </c>
      <c r="L57" s="728"/>
      <c r="M57" s="728"/>
      <c r="N57" s="728"/>
      <c r="O57" s="750"/>
    </row>
    <row r="58" spans="2:15" s="49" customFormat="1" ht="14.25" hidden="1" customHeight="1" x14ac:dyDescent="0.2">
      <c r="B58" s="253"/>
      <c r="C58" s="1219" t="s">
        <v>104</v>
      </c>
      <c r="D58" s="1220"/>
      <c r="E58" s="45" t="s">
        <v>7</v>
      </c>
      <c r="F58" s="47">
        <f>2*IF(F47=W11,0.05*F51+1.65*F48/1000*F51^2,IF(F47=W12,0.0809*F51^3,IF(F47=W13,PI()/24*F51^3,PI()/12*F51^3)))</f>
        <v>12.810239600580921</v>
      </c>
      <c r="G58" s="47">
        <f>2*IF(G47=X11,0.05*G51+1.65*G48/1000*G51^2,IF(G47=X12,0.0809*G51^3,IF(G47=X13,PI()/24*G51^3,PI()/12*G51^3)))</f>
        <v>25.620479201161842</v>
      </c>
      <c r="H58" s="47">
        <f>2*IF(H47=$W$11,0.05*H51^3+1.65*H48/1000*H51^2,IF(H47=$W$12,0.0809*H51^3,IF(H47=$W$13,PI()/24*H51^3,PI()/12*H51^3)))</f>
        <v>12.810239600580921</v>
      </c>
      <c r="I58" s="47">
        <f>2*IF(I47=$W$11,0.05*I51^3+1.65*I48/1000*I51^2,IF(I47=$W$12,0.0809*I51^3,IF(I47=$W$13,PI()/24*I51^3,PI()/12*I51^3)))</f>
        <v>12.810239600580921</v>
      </c>
      <c r="J58" s="47">
        <f>2*IF(J47=$W$11,0.05*J51^3+1.65*J48/1000*J51^2,IF(J47=$W$12,0.0809*J51^3,IF(J47=$W$13,PI()/24*J51^3,PI()/12*J51^3)))</f>
        <v>12.810239600580921</v>
      </c>
      <c r="K58" s="47">
        <f>2*IF(K47=$W$11,0.05*K51^3+1.65*K48/1000*K51^2,IF(K47=$W$12,0.0809*K51^3,IF(K47=$W$13,PI()/24*K51^3,PI()/12*K51^3)))</f>
        <v>12.810239600580921</v>
      </c>
      <c r="L58" s="725"/>
      <c r="M58" s="725"/>
      <c r="N58" s="725"/>
      <c r="O58" s="264"/>
    </row>
    <row r="59" spans="2:15" ht="15.75" hidden="1" customHeight="1" x14ac:dyDescent="0.2">
      <c r="B59" s="253"/>
      <c r="C59" s="1219" t="s">
        <v>103</v>
      </c>
      <c r="D59" s="1220"/>
      <c r="E59" s="45" t="s">
        <v>7</v>
      </c>
      <c r="F59" s="45">
        <f t="shared" ref="F59:K59" si="24">F51^2*PI()/4*F50</f>
        <v>57.646078202614149</v>
      </c>
      <c r="G59" s="45">
        <f t="shared" si="24"/>
        <v>57.646078202614149</v>
      </c>
      <c r="H59" s="45">
        <f t="shared" si="24"/>
        <v>57.646078202614149</v>
      </c>
      <c r="I59" s="45">
        <f t="shared" si="24"/>
        <v>57.646078202614149</v>
      </c>
      <c r="J59" s="45">
        <f t="shared" si="24"/>
        <v>57.646078202614149</v>
      </c>
      <c r="K59" s="45">
        <f t="shared" si="24"/>
        <v>57.646078202614149</v>
      </c>
      <c r="L59" s="725"/>
      <c r="M59" s="725"/>
      <c r="N59" s="725"/>
      <c r="O59" s="264"/>
    </row>
    <row r="60" spans="2:15" ht="12.75" hidden="1" customHeight="1" x14ac:dyDescent="0.2">
      <c r="B60" s="253"/>
      <c r="C60" s="1213" t="s">
        <v>163</v>
      </c>
      <c r="D60" s="1214"/>
      <c r="E60" s="46" t="s">
        <v>141</v>
      </c>
      <c r="F60" s="46">
        <f t="shared" ref="F60:K60" si="25">F59+F58</f>
        <v>70.456317803195077</v>
      </c>
      <c r="G60" s="46">
        <f t="shared" si="25"/>
        <v>83.266557403775991</v>
      </c>
      <c r="H60" s="46">
        <f t="shared" si="25"/>
        <v>70.456317803195077</v>
      </c>
      <c r="I60" s="46">
        <f t="shared" si="25"/>
        <v>70.456317803195077</v>
      </c>
      <c r="J60" s="46">
        <f t="shared" si="25"/>
        <v>70.456317803195077</v>
      </c>
      <c r="K60" s="46">
        <f t="shared" si="25"/>
        <v>70.456317803195077</v>
      </c>
      <c r="L60" s="725"/>
      <c r="M60" s="725"/>
      <c r="N60" s="725"/>
      <c r="O60" s="264"/>
    </row>
    <row r="61" spans="2:15" ht="12.75" hidden="1" customHeight="1" x14ac:dyDescent="0.2">
      <c r="B61" s="253"/>
      <c r="C61" s="1213" t="s">
        <v>164</v>
      </c>
      <c r="D61" s="1214"/>
      <c r="E61" s="46" t="s">
        <v>141</v>
      </c>
      <c r="F61" s="46">
        <f t="shared" ref="F61:K61" si="26">F51^2*(PI()/4)*F50</f>
        <v>57.646078202614149</v>
      </c>
      <c r="G61" s="46">
        <f t="shared" si="26"/>
        <v>57.646078202614149</v>
      </c>
      <c r="H61" s="46">
        <f t="shared" si="26"/>
        <v>57.646078202614149</v>
      </c>
      <c r="I61" s="46">
        <f t="shared" si="26"/>
        <v>57.646078202614149</v>
      </c>
      <c r="J61" s="46">
        <f t="shared" si="26"/>
        <v>57.646078202614149</v>
      </c>
      <c r="K61" s="46">
        <f t="shared" si="26"/>
        <v>57.646078202614149</v>
      </c>
      <c r="L61" s="725"/>
      <c r="M61" s="725"/>
      <c r="N61" s="725"/>
      <c r="O61" s="264"/>
    </row>
    <row r="62" spans="2:15" ht="12.75" hidden="1" customHeight="1" x14ac:dyDescent="0.2">
      <c r="B62" s="253"/>
      <c r="C62" s="1213" t="s">
        <v>165</v>
      </c>
      <c r="D62" s="1214"/>
      <c r="E62" s="46" t="s">
        <v>141</v>
      </c>
      <c r="F62" s="46">
        <f t="shared" ref="F62:K63" si="27">F60-F55</f>
        <v>35.228141182384149</v>
      </c>
      <c r="G62" s="46">
        <f>G60-G55</f>
        <v>41.633243263461225</v>
      </c>
      <c r="H62" s="46">
        <f t="shared" si="27"/>
        <v>35.228141182384149</v>
      </c>
      <c r="I62" s="46">
        <f t="shared" si="27"/>
        <v>35.228141182384149</v>
      </c>
      <c r="J62" s="46">
        <f t="shared" si="27"/>
        <v>35.228141182384149</v>
      </c>
      <c r="K62" s="46">
        <f t="shared" si="27"/>
        <v>35.228141182384149</v>
      </c>
      <c r="L62" s="725"/>
      <c r="M62" s="725"/>
      <c r="N62" s="725"/>
      <c r="O62" s="264"/>
    </row>
    <row r="63" spans="2:15" ht="12.75" hidden="1" customHeight="1" x14ac:dyDescent="0.2">
      <c r="B63" s="253"/>
      <c r="C63" s="1213" t="s">
        <v>166</v>
      </c>
      <c r="D63" s="1214"/>
      <c r="E63" s="46" t="s">
        <v>141</v>
      </c>
      <c r="F63" s="46">
        <f t="shared" si="27"/>
        <v>28.823039101307071</v>
      </c>
      <c r="G63" s="46">
        <f>G61-G56</f>
        <v>28.823039101307071</v>
      </c>
      <c r="H63" s="46">
        <f t="shared" si="27"/>
        <v>28.823039101307071</v>
      </c>
      <c r="I63" s="46">
        <f t="shared" si="27"/>
        <v>28.823039101307071</v>
      </c>
      <c r="J63" s="46">
        <f t="shared" si="27"/>
        <v>28.823039101307071</v>
      </c>
      <c r="K63" s="46">
        <f t="shared" si="27"/>
        <v>28.823039101307071</v>
      </c>
      <c r="L63" s="725"/>
      <c r="M63" s="725"/>
      <c r="N63" s="725"/>
      <c r="O63" s="264"/>
    </row>
    <row r="64" spans="2:15" ht="12.75" customHeight="1" x14ac:dyDescent="0.2">
      <c r="B64" s="253"/>
      <c r="C64" s="1213" t="s">
        <v>161</v>
      </c>
      <c r="D64" s="1214"/>
      <c r="E64" s="46" t="s">
        <v>230</v>
      </c>
      <c r="F64" s="119">
        <f t="shared" ref="F64:K64" si="28">+F55*35.315</f>
        <v>1244.0830573639378</v>
      </c>
      <c r="G64" s="119">
        <f t="shared" si="28"/>
        <v>1470.2804888652158</v>
      </c>
      <c r="H64" s="119">
        <f t="shared" si="28"/>
        <v>1244.0830573639378</v>
      </c>
      <c r="I64" s="119">
        <f t="shared" si="28"/>
        <v>1244.0830573639378</v>
      </c>
      <c r="J64" s="119">
        <f t="shared" si="28"/>
        <v>1244.0830573639378</v>
      </c>
      <c r="K64" s="119">
        <f t="shared" si="28"/>
        <v>1244.0830573639378</v>
      </c>
      <c r="L64" s="725"/>
      <c r="M64" s="725"/>
      <c r="N64" s="725"/>
      <c r="O64" s="264"/>
    </row>
    <row r="65" spans="2:38" ht="12.75" customHeight="1" x14ac:dyDescent="0.2">
      <c r="B65" s="253"/>
      <c r="C65" s="1215" t="s">
        <v>163</v>
      </c>
      <c r="D65" s="1216"/>
      <c r="E65" s="46" t="s">
        <v>230</v>
      </c>
      <c r="F65" s="119">
        <f t="shared" ref="F65:K65" si="29">+F59*35.315</f>
        <v>2035.7712517253185</v>
      </c>
      <c r="G65" s="119">
        <f t="shared" si="29"/>
        <v>2035.7712517253185</v>
      </c>
      <c r="H65" s="119">
        <f t="shared" si="29"/>
        <v>2035.7712517253185</v>
      </c>
      <c r="I65" s="119">
        <f t="shared" si="29"/>
        <v>2035.7712517253185</v>
      </c>
      <c r="J65" s="119">
        <f t="shared" si="29"/>
        <v>2035.7712517253185</v>
      </c>
      <c r="K65" s="119">
        <f t="shared" si="29"/>
        <v>2035.7712517253185</v>
      </c>
      <c r="L65" s="725"/>
      <c r="M65" s="725"/>
      <c r="N65" s="725"/>
      <c r="O65" s="264"/>
    </row>
    <row r="66" spans="2:38" ht="12.75" customHeight="1" x14ac:dyDescent="0.2">
      <c r="B66" s="253"/>
      <c r="C66" s="1215" t="s">
        <v>165</v>
      </c>
      <c r="D66" s="1216"/>
      <c r="E66" s="46" t="s">
        <v>230</v>
      </c>
      <c r="F66" s="119">
        <f t="shared" ref="F66:K66" si="30">+F61*35.315</f>
        <v>2035.7712517253185</v>
      </c>
      <c r="G66" s="119">
        <f t="shared" si="30"/>
        <v>2035.7712517253185</v>
      </c>
      <c r="H66" s="119">
        <f t="shared" si="30"/>
        <v>2035.7712517253185</v>
      </c>
      <c r="I66" s="119">
        <f t="shared" si="30"/>
        <v>2035.7712517253185</v>
      </c>
      <c r="J66" s="119">
        <f t="shared" si="30"/>
        <v>2035.7712517253185</v>
      </c>
      <c r="K66" s="119">
        <f t="shared" si="30"/>
        <v>2035.7712517253185</v>
      </c>
      <c r="L66" s="725"/>
      <c r="M66" s="725"/>
      <c r="N66" s="725"/>
      <c r="O66" s="264"/>
    </row>
    <row r="67" spans="2:38" ht="12.75" customHeight="1" x14ac:dyDescent="0.2">
      <c r="B67" s="253"/>
      <c r="C67" s="1211"/>
      <c r="D67" s="1212"/>
      <c r="E67" s="725"/>
      <c r="F67" s="725"/>
      <c r="G67" s="725"/>
      <c r="H67" s="725"/>
      <c r="I67" s="725"/>
      <c r="J67" s="725"/>
      <c r="K67" s="725"/>
      <c r="L67" s="725"/>
      <c r="M67" s="725"/>
      <c r="N67" s="725"/>
      <c r="O67" s="264"/>
    </row>
    <row r="68" spans="2:38" ht="12.75" customHeight="1" x14ac:dyDescent="0.2">
      <c r="B68" s="253"/>
      <c r="C68" s="1"/>
      <c r="D68" s="1"/>
      <c r="E68" s="1"/>
      <c r="F68" s="1"/>
      <c r="G68" s="1"/>
      <c r="H68" s="1"/>
      <c r="I68" s="1"/>
      <c r="J68" s="1"/>
      <c r="K68" s="1"/>
      <c r="L68" s="1"/>
      <c r="M68" s="1"/>
      <c r="N68" s="1"/>
      <c r="O68" s="264"/>
    </row>
    <row r="69" spans="2:38" ht="12.75" customHeight="1" x14ac:dyDescent="0.2">
      <c r="B69" s="253"/>
      <c r="C69" s="1"/>
      <c r="D69" s="1"/>
      <c r="E69" s="1"/>
      <c r="F69" s="1"/>
      <c r="G69" s="1"/>
      <c r="H69" s="1"/>
      <c r="I69" s="1"/>
      <c r="J69" s="1"/>
      <c r="K69" s="1"/>
      <c r="L69" s="1"/>
      <c r="M69" s="1"/>
      <c r="N69" s="1"/>
      <c r="O69" s="264"/>
    </row>
    <row r="70" spans="2:38" ht="12.75" customHeight="1" x14ac:dyDescent="0.2">
      <c r="B70" s="751"/>
      <c r="C70" s="752"/>
      <c r="D70" s="752"/>
      <c r="E70" s="752"/>
      <c r="F70" s="752"/>
      <c r="G70" s="752"/>
      <c r="H70" s="752"/>
      <c r="I70" s="752"/>
      <c r="J70" s="753"/>
      <c r="K70" s="753"/>
      <c r="L70" s="753"/>
      <c r="M70" s="753"/>
      <c r="N70" s="753"/>
      <c r="O70" s="754"/>
    </row>
    <row r="71" spans="2:38" s="55" customFormat="1" ht="12.75" customHeight="1" x14ac:dyDescent="0.2">
      <c r="B71" s="755"/>
      <c r="C71" s="51"/>
      <c r="D71" s="51"/>
      <c r="E71" s="51"/>
      <c r="F71" s="51"/>
      <c r="G71" s="1"/>
      <c r="H71" s="1"/>
      <c r="I71" s="1"/>
      <c r="J71" s="1"/>
      <c r="K71" s="1"/>
      <c r="L71" s="1"/>
      <c r="M71" s="1"/>
      <c r="N71" s="1"/>
      <c r="O71" s="264"/>
    </row>
    <row r="72" spans="2:38" ht="12.75" customHeight="1" x14ac:dyDescent="0.2">
      <c r="B72" s="253"/>
      <c r="C72" s="1"/>
      <c r="D72" s="1"/>
      <c r="E72" s="1"/>
      <c r="F72" s="1"/>
      <c r="G72" s="1"/>
      <c r="H72" s="1"/>
      <c r="I72" s="1"/>
      <c r="J72" s="1"/>
      <c r="K72" s="1"/>
      <c r="L72" s="1"/>
      <c r="M72" s="1"/>
      <c r="N72" s="1"/>
      <c r="O72" s="264"/>
    </row>
    <row r="73" spans="2:38" ht="12.75" customHeight="1" x14ac:dyDescent="0.2">
      <c r="B73" s="253"/>
      <c r="C73" s="1"/>
      <c r="D73" s="1"/>
      <c r="E73" s="1"/>
      <c r="F73" s="1"/>
      <c r="G73" s="1"/>
      <c r="H73" s="1"/>
      <c r="I73" s="1"/>
      <c r="J73" s="1"/>
      <c r="K73" s="1"/>
      <c r="L73" s="1"/>
      <c r="M73" s="1"/>
      <c r="N73" s="1"/>
      <c r="O73" s="264"/>
    </row>
    <row r="74" spans="2:38" ht="12.75" customHeight="1" x14ac:dyDescent="0.2">
      <c r="B74" s="253"/>
      <c r="C74" s="1"/>
      <c r="D74" s="1"/>
      <c r="E74" s="1"/>
      <c r="F74" s="1"/>
      <c r="G74" s="1"/>
      <c r="H74" s="1"/>
      <c r="I74" s="1"/>
      <c r="J74" s="1"/>
      <c r="K74" s="1"/>
      <c r="L74" s="1"/>
      <c r="M74" s="1"/>
      <c r="N74" s="1"/>
      <c r="O74" s="264"/>
    </row>
    <row r="75" spans="2:38" ht="12.75" customHeight="1" x14ac:dyDescent="0.2">
      <c r="B75" s="253"/>
      <c r="C75" s="1"/>
      <c r="D75" s="1"/>
      <c r="E75" s="1"/>
      <c r="F75" s="1"/>
      <c r="G75" s="1"/>
      <c r="H75" s="1"/>
      <c r="I75" s="1"/>
      <c r="J75" s="1"/>
      <c r="K75" s="1"/>
      <c r="L75" s="1"/>
      <c r="M75" s="1"/>
      <c r="N75" s="1"/>
      <c r="O75" s="264"/>
    </row>
    <row r="76" spans="2:38" ht="12.75" customHeight="1" x14ac:dyDescent="0.2">
      <c r="B76" s="253"/>
      <c r="C76" s="1"/>
      <c r="D76" s="1"/>
      <c r="E76" s="1"/>
      <c r="F76" s="1"/>
      <c r="G76" s="1"/>
      <c r="H76" s="1"/>
      <c r="I76" s="1"/>
      <c r="J76" s="1"/>
      <c r="K76" s="1"/>
      <c r="L76" s="1"/>
      <c r="M76" s="1"/>
      <c r="N76" s="1"/>
      <c r="O76" s="264"/>
    </row>
    <row r="77" spans="2:38" ht="12.75" customHeight="1" x14ac:dyDescent="0.2">
      <c r="B77" s="253"/>
      <c r="C77" s="1"/>
      <c r="D77" s="1"/>
      <c r="E77" s="1"/>
      <c r="F77" s="1"/>
      <c r="G77" s="1"/>
      <c r="H77" s="1"/>
      <c r="I77" s="1"/>
      <c r="J77" s="1"/>
      <c r="K77" s="1"/>
      <c r="L77" s="1"/>
      <c r="M77" s="1"/>
      <c r="N77" s="1"/>
      <c r="O77" s="264"/>
      <c r="S77" t="s">
        <v>132</v>
      </c>
    </row>
    <row r="78" spans="2:38" ht="12.75" customHeight="1" x14ac:dyDescent="0.2">
      <c r="B78" s="253"/>
      <c r="C78" s="1"/>
      <c r="D78" s="1"/>
      <c r="E78" s="1"/>
      <c r="F78" s="1"/>
      <c r="G78" s="1"/>
      <c r="H78" s="1"/>
      <c r="I78" s="1"/>
      <c r="J78" s="1"/>
      <c r="K78" s="1"/>
      <c r="L78" s="1"/>
      <c r="M78" s="1"/>
      <c r="N78" s="1"/>
      <c r="O78" s="264"/>
    </row>
    <row r="79" spans="2:38" ht="12.75" customHeight="1" x14ac:dyDescent="0.2">
      <c r="B79" s="253"/>
      <c r="C79" s="1"/>
      <c r="D79" s="1"/>
      <c r="E79" s="1"/>
      <c r="F79" s="1"/>
      <c r="G79" s="1"/>
      <c r="H79" s="1"/>
      <c r="I79" s="1"/>
      <c r="J79" s="1"/>
      <c r="K79" s="1"/>
      <c r="L79" s="1"/>
      <c r="M79" s="1"/>
      <c r="N79" s="1"/>
      <c r="O79" s="264"/>
      <c r="S79" s="44">
        <f>+IF(F19=$W$11,0.05*F23^3+1.65*F20/1000*F23^2,IF(F19=$W$12,0.0809*F23^3,IF(F19=$W$13,PI()/24*F23^3,PI()/12*F23^3)))</f>
        <v>11.300236314328991</v>
      </c>
      <c r="T79" s="44">
        <f>+IF(H19=$W$11,0.05*H23^3+1.65*H20/1000*H23^2,IF(H19=$W$12,0.0809*H23^3,IF(H19=$W$13,PI()/24*H23^3,PI()/12*H23^3)))</f>
        <v>6.4051198002904606</v>
      </c>
      <c r="U79" s="44">
        <f>+IF(I19=$W$11,0.05*I23^3+1.65*I20/1000*I23^2,IF(I19=$W$12,0.0809*I23^3,IF(I19=$W$13,PI()/24*I23^3,PI()/12*I23^3)))</f>
        <v>8.1435464127535528</v>
      </c>
      <c r="V79" s="44">
        <f>+IF(J19=$W$11,0.05*J23^3+1.65*J20/1000*J23^2,IF(J19=$W$12,0.0809*J23^3,IF(J19=$W$13,PI()/24*J23^3,PI()/12*J23^3)))</f>
        <v>6.4051198002904606</v>
      </c>
      <c r="W79" s="44">
        <f>+IF(K19=$W$11,0.05*K23^3+1.65*K20/1000*K23^2,IF(K19=$W$12,0.0809*K23^3,IF(K19=$W$13,PI()/24*K23^3,PI()/12*K23^3)))</f>
        <v>1.8978132741601361</v>
      </c>
      <c r="X79" s="44">
        <f>+IF(K19=$W$11,0.05*K23^3+1.65*K20/1000*K23^2,IF(K19=$W$12,0.0809*K23^3,IF(K19=$W$13,PI()/24*K23^3,PI()/12*K23^3)))</f>
        <v>1.8978132741601361</v>
      </c>
      <c r="Y79" s="44" t="e">
        <f>+IF(#REF!=$W$11,0.05*#REF!^3+1.65*#REF!/1000*#REF!^2,IF(#REF!=$W$12,0.0809*#REF!^3,IF(#REF!=$W$13,PI()/24*#REF!^3,PI()/12*#REF!^3)))</f>
        <v>#REF!</v>
      </c>
      <c r="Z79" s="44" t="e">
        <f>+IF(#REF!=$W$11,0.05*#REF!^3+1.65*#REF!/1000*#REF!^2,IF(#REF!=$W$12,0.0809*#REF!^3,IF(#REF!=$W$13,PI()/24*#REF!^3,PI()/12*#REF!^3)))</f>
        <v>#REF!</v>
      </c>
      <c r="AA79" s="44">
        <f>+IF(L20=$W$11,0.05*L24^3+1.65*L21/1000*L24^2,IF(L20=$W$12,0.0809*L24^3,IF(L20=$W$13,PI()/24*L24^3,PI()/12*L24^3)))</f>
        <v>0</v>
      </c>
      <c r="AB79" s="44">
        <f>+IF(M20=$W$11,0.05*M24^3+1.65*M21/1000*M24^2,IF(M20=$W$12,0.0809*M24^3,IF(M20=$W$13,PI()/24*M24^3,PI()/12*M24^3)))</f>
        <v>0</v>
      </c>
      <c r="AC79" s="44">
        <f>+IF(N20=$W$11,0.05*N24^3+1.65*N21/1000*N24^2,IF(N20=$W$12,0.0809*N24^3,IF(N20=$W$13,PI()/24*N24^3,PI()/12*N24^3)))</f>
        <v>0</v>
      </c>
      <c r="AD79" s="44">
        <f>+IF(O20=$W$11,0.05*O24^3+1.65*O21/1000*O24^2,IF(O20=$W$12,0.0809*O24^3,IF(O20=$W$13,PI()/24*O24^3,PI()/12*O24^3)))</f>
        <v>0</v>
      </c>
      <c r="AE79" s="44">
        <f t="shared" ref="AE79:AL79" si="31">+IF(P21=$W$11,0.05*P25^3+1.65*P22/1000*P25^2,IF(P21=$W$12,0.0809*P25^3,IF(P21=$W$13,PI()/24*P25^3,PI()/12*P25^3)))</f>
        <v>0</v>
      </c>
      <c r="AF79" s="44">
        <f t="shared" si="31"/>
        <v>0</v>
      </c>
      <c r="AG79" s="44">
        <f t="shared" si="31"/>
        <v>0</v>
      </c>
      <c r="AH79" s="44">
        <f t="shared" si="31"/>
        <v>0</v>
      </c>
      <c r="AI79" s="44">
        <f t="shared" si="31"/>
        <v>0</v>
      </c>
      <c r="AJ79" s="44">
        <f t="shared" si="31"/>
        <v>0</v>
      </c>
      <c r="AK79" s="44">
        <f t="shared" si="31"/>
        <v>0</v>
      </c>
      <c r="AL79" s="44">
        <f t="shared" si="31"/>
        <v>0</v>
      </c>
    </row>
    <row r="80" spans="2:38" ht="12.75" customHeight="1" x14ac:dyDescent="0.2">
      <c r="B80" s="253"/>
      <c r="C80" s="1"/>
      <c r="D80" s="1"/>
      <c r="E80" s="1"/>
      <c r="F80" s="1"/>
      <c r="G80" s="1"/>
      <c r="H80" s="1"/>
      <c r="I80" s="1"/>
      <c r="J80" s="1"/>
      <c r="K80" s="1"/>
      <c r="L80" s="1"/>
      <c r="M80" s="1"/>
      <c r="N80" s="1"/>
      <c r="O80" s="264"/>
    </row>
    <row r="81" spans="2:38" ht="12.75" customHeight="1" x14ac:dyDescent="0.2">
      <c r="B81" s="253"/>
      <c r="C81" s="1"/>
      <c r="D81" s="1"/>
      <c r="E81" s="1"/>
      <c r="F81" s="1"/>
      <c r="G81" s="1"/>
      <c r="H81" s="1"/>
      <c r="I81" s="1"/>
      <c r="J81" s="1"/>
      <c r="K81" s="1"/>
      <c r="L81" s="1"/>
      <c r="M81" s="1"/>
      <c r="N81" s="1"/>
      <c r="O81" s="264"/>
    </row>
    <row r="82" spans="2:38" ht="12.75" customHeight="1" x14ac:dyDescent="0.2">
      <c r="B82" s="253"/>
      <c r="C82" s="1"/>
      <c r="D82" s="1"/>
      <c r="E82" s="1"/>
      <c r="F82" s="1"/>
      <c r="G82" s="1"/>
      <c r="H82" s="1"/>
      <c r="I82" s="1"/>
      <c r="J82" s="1"/>
      <c r="K82" s="1"/>
      <c r="L82" s="1"/>
      <c r="M82" s="1"/>
      <c r="N82" s="1"/>
      <c r="O82" s="264"/>
      <c r="S82" s="30" t="s">
        <v>236</v>
      </c>
    </row>
    <row r="83" spans="2:38" ht="12.75" customHeight="1" x14ac:dyDescent="0.2">
      <c r="B83" s="253"/>
      <c r="C83" s="1"/>
      <c r="D83" s="1"/>
      <c r="E83" s="1"/>
      <c r="F83" s="1"/>
      <c r="G83" s="1"/>
      <c r="H83" s="1"/>
      <c r="I83" s="1"/>
      <c r="J83" s="1"/>
      <c r="K83" s="1"/>
      <c r="L83" s="1"/>
      <c r="M83" s="1"/>
      <c r="N83" s="1"/>
      <c r="O83" s="264"/>
      <c r="R83" s="31"/>
      <c r="S83" s="31"/>
      <c r="T83" s="31"/>
      <c r="U83" s="31"/>
      <c r="V83" s="31"/>
      <c r="W83" s="31"/>
      <c r="X83" s="31"/>
    </row>
    <row r="84" spans="2:38" ht="12.75" customHeight="1" x14ac:dyDescent="0.2">
      <c r="B84" s="253"/>
      <c r="C84" s="1"/>
      <c r="D84" s="1"/>
      <c r="E84" s="1"/>
      <c r="F84" s="1"/>
      <c r="G84" s="1"/>
      <c r="H84" s="1"/>
      <c r="I84" s="1"/>
      <c r="J84" s="1"/>
      <c r="K84" s="1"/>
      <c r="L84" s="1"/>
      <c r="M84" s="1"/>
      <c r="N84" s="1"/>
      <c r="O84" s="264"/>
      <c r="S84" s="33" t="s">
        <v>118</v>
      </c>
      <c r="T84" s="33" t="s">
        <v>119</v>
      </c>
      <c r="U84" s="33" t="s">
        <v>120</v>
      </c>
      <c r="V84" s="33" t="s">
        <v>121</v>
      </c>
      <c r="W84" s="33" t="s">
        <v>122</v>
      </c>
      <c r="X84" s="33" t="s">
        <v>127</v>
      </c>
      <c r="Y84" s="33" t="s">
        <v>128</v>
      </c>
      <c r="Z84" s="33" t="s">
        <v>129</v>
      </c>
      <c r="AA84" s="33" t="s">
        <v>130</v>
      </c>
      <c r="AB84" s="33" t="s">
        <v>145</v>
      </c>
      <c r="AC84" s="33" t="s">
        <v>146</v>
      </c>
      <c r="AD84" s="33" t="s">
        <v>147</v>
      </c>
      <c r="AE84" s="33" t="s">
        <v>148</v>
      </c>
      <c r="AF84" s="33" t="s">
        <v>149</v>
      </c>
      <c r="AG84" s="33" t="s">
        <v>150</v>
      </c>
      <c r="AH84" s="33" t="s">
        <v>151</v>
      </c>
      <c r="AI84" s="33" t="s">
        <v>152</v>
      </c>
      <c r="AJ84" s="33" t="s">
        <v>153</v>
      </c>
      <c r="AK84" s="33" t="s">
        <v>154</v>
      </c>
      <c r="AL84" s="33" t="s">
        <v>155</v>
      </c>
    </row>
    <row r="85" spans="2:38" ht="9" customHeight="1" x14ac:dyDescent="0.2">
      <c r="B85" s="253"/>
      <c r="C85" s="1"/>
      <c r="D85" s="1"/>
      <c r="E85" s="1"/>
      <c r="F85" s="1"/>
      <c r="G85" s="1"/>
      <c r="H85" s="1"/>
      <c r="I85" s="1"/>
      <c r="J85" s="1"/>
      <c r="K85" s="1"/>
      <c r="L85" s="1"/>
      <c r="M85" s="1"/>
      <c r="N85" s="1"/>
      <c r="O85" s="264"/>
      <c r="S85" s="34" t="s">
        <v>105</v>
      </c>
      <c r="T85" s="32">
        <f>(PI()/4)*(F21/100)*F26+0.05*IF(F18=$R$17,2,1)</f>
        <v>1.5442741712542243</v>
      </c>
      <c r="U85" s="32">
        <f>(PI()/4)*(H21/100)*H26+0.05*IF(H18=$R$17,2,1)</f>
        <v>0.12622289175772233</v>
      </c>
      <c r="V85" s="32">
        <f>(PI()/4)*(I21/100)*I26+0.05*IF(I18=$R$17,2,1)</f>
        <v>3.3879421944391552</v>
      </c>
      <c r="W85" s="32">
        <f>(PI()/4)*(J21/100)*J26+0.05*IF(J18=$R$17,2,1)</f>
        <v>0.16780972450961723</v>
      </c>
      <c r="X85" s="32">
        <f>(PI()/4)*(K21/100)*K26+0.05*IF(K18=$R$17,2,1)</f>
        <v>1.8171458676442587</v>
      </c>
      <c r="Y85" s="32" t="e">
        <f>(PI()/4)*(#REF!/100)*#REF!+0.05*IF(#REF!=$R$17,2,1)</f>
        <v>#REF!</v>
      </c>
      <c r="Z85" s="32" t="e">
        <f>(PI()/4)*(#REF!/100)*#REF!+0.05*IF(#REF!=$R$17,2,1)</f>
        <v>#REF!</v>
      </c>
      <c r="AA85" s="32">
        <f>(PI()/4)*(L22/100)*L27+0.05*IF(L19=$R$17,2,1)</f>
        <v>0.05</v>
      </c>
      <c r="AB85" s="32">
        <f>(PI()/4)*(M22/100)*M27+0.05*IF(M19=$R$17,2,1)</f>
        <v>0.05</v>
      </c>
      <c r="AC85" s="32">
        <f>(PI()/4)*(N22/100)*N27+0.05*IF(N19=$R$17,2,1)</f>
        <v>0.05</v>
      </c>
      <c r="AD85" s="32">
        <f>(PI()/4)*(O22/100)*O27+0.05*IF(O19=$R$17,2,1)</f>
        <v>0.05</v>
      </c>
      <c r="AE85" s="32">
        <f>(PI()/4)*(O22/100)*O27+0.05*IF(O19=$R$17,2,1)</f>
        <v>0.05</v>
      </c>
      <c r="AF85" s="32">
        <f t="shared" ref="AF85:AL85" si="32">(PI()/4)*(P23/100)*P28+0.05*IF(P20=$R$17,2,1)</f>
        <v>0.05</v>
      </c>
      <c r="AG85" s="32">
        <f t="shared" si="32"/>
        <v>0.05</v>
      </c>
      <c r="AH85" s="32">
        <f t="shared" si="32"/>
        <v>0.05</v>
      </c>
      <c r="AI85" s="32">
        <f t="shared" si="32"/>
        <v>0.05</v>
      </c>
      <c r="AJ85" s="32">
        <f t="shared" si="32"/>
        <v>0.05</v>
      </c>
      <c r="AK85" s="32">
        <f t="shared" si="32"/>
        <v>0.05</v>
      </c>
      <c r="AL85" s="32">
        <f t="shared" si="32"/>
        <v>0.05</v>
      </c>
    </row>
    <row r="86" spans="2:38" x14ac:dyDescent="0.2">
      <c r="B86" s="253"/>
      <c r="C86" s="1"/>
      <c r="D86" s="1"/>
      <c r="E86" s="1"/>
      <c r="F86" s="1"/>
      <c r="G86" s="1"/>
      <c r="H86" s="1"/>
      <c r="I86" s="1"/>
      <c r="J86" s="1"/>
      <c r="K86" s="1"/>
      <c r="L86" s="1"/>
      <c r="M86" s="1"/>
      <c r="N86" s="1"/>
      <c r="O86" s="264"/>
      <c r="S86" s="35" t="s">
        <v>106</v>
      </c>
      <c r="T86" s="38">
        <f>+IF(F18=$R$17,2,1)*1.65*F20/1000</f>
        <v>2.4750000000000001E-2</v>
      </c>
      <c r="U86" s="38">
        <f>+IF(H18=$R$17,2,1)*1.65*H20/1000</f>
        <v>2.4750000000000001E-2</v>
      </c>
      <c r="V86" s="38">
        <f>+IF(I18=$R$17,2,1)*1.65*I20/1000</f>
        <v>2.4750000000000001E-2</v>
      </c>
      <c r="W86" s="38">
        <f>+IF(J18=$R$17,2,1)*1.65*J20/1000</f>
        <v>2.4750000000000001E-2</v>
      </c>
      <c r="X86" s="38">
        <f>+IF(K18=$R$17,2,1)*1.65*K20/1000</f>
        <v>2.4750000000000001E-2</v>
      </c>
      <c r="Y86" s="38" t="e">
        <f>+IF(#REF!=$R$17,2,1)*1.65*#REF!/1000</f>
        <v>#REF!</v>
      </c>
      <c r="Z86" s="38" t="e">
        <f>+IF(#REF!=$R$17,2,1)*1.65*#REF!/1000</f>
        <v>#REF!</v>
      </c>
      <c r="AA86" s="38">
        <f>+IF(L19=$R$17,2,1)*1.65*L21/1000</f>
        <v>0</v>
      </c>
      <c r="AB86" s="38">
        <f>+IF(M19=$R$17,2,1)*1.65*M21/1000</f>
        <v>0</v>
      </c>
      <c r="AC86" s="38">
        <f>+IF(M19=$R$17,2,1)*1.65*M21/1000</f>
        <v>0</v>
      </c>
      <c r="AD86" s="38">
        <f>+IF(N19=$R$17,2,1)*1.65*N21/1000</f>
        <v>0</v>
      </c>
      <c r="AE86" s="38">
        <f>+IF(O19=$R$17,2,1)*1.65*O21/1000</f>
        <v>0</v>
      </c>
      <c r="AF86" s="38">
        <f t="shared" ref="AF86:AL86" si="33">+IF(P20=$R$17,2,1)*1.65*P22/1000</f>
        <v>0</v>
      </c>
      <c r="AG86" s="38">
        <f t="shared" si="33"/>
        <v>0</v>
      </c>
      <c r="AH86" s="38">
        <f t="shared" si="33"/>
        <v>0</v>
      </c>
      <c r="AI86" s="38">
        <f t="shared" si="33"/>
        <v>0</v>
      </c>
      <c r="AJ86" s="38">
        <f t="shared" si="33"/>
        <v>0</v>
      </c>
      <c r="AK86" s="38">
        <f t="shared" si="33"/>
        <v>0</v>
      </c>
      <c r="AL86" s="38">
        <f t="shared" si="33"/>
        <v>0</v>
      </c>
    </row>
    <row r="87" spans="2:38" x14ac:dyDescent="0.2">
      <c r="B87" s="253"/>
      <c r="C87" s="1"/>
      <c r="D87" s="1"/>
      <c r="E87" s="1"/>
      <c r="F87" s="1"/>
      <c r="G87" s="1"/>
      <c r="H87" s="1"/>
      <c r="I87" s="1"/>
      <c r="J87" s="1"/>
      <c r="K87" s="1"/>
      <c r="L87" s="1"/>
      <c r="M87" s="1"/>
      <c r="N87" s="1"/>
      <c r="O87" s="264"/>
      <c r="R87" s="31"/>
      <c r="S87" s="36" t="s">
        <v>99</v>
      </c>
      <c r="T87" s="39">
        <f>-F27</f>
        <v>-140.29710980224866</v>
      </c>
      <c r="U87" s="39">
        <f>-H27</f>
        <v>-10.134821059999595</v>
      </c>
      <c r="V87" s="39">
        <f>-I27</f>
        <v>-215.80397993796913</v>
      </c>
      <c r="W87" s="39">
        <f>-J27</f>
        <v>-12.169727620551875</v>
      </c>
      <c r="X87" s="39">
        <f>-K27</f>
        <v>-27.518292475321974</v>
      </c>
      <c r="Y87" s="39">
        <f>-K27</f>
        <v>-27.518292475321974</v>
      </c>
      <c r="Z87" s="39" t="e">
        <f>-#REF!</f>
        <v>#REF!</v>
      </c>
      <c r="AA87" s="39" t="e">
        <f>-#REF!</f>
        <v>#REF!</v>
      </c>
      <c r="AB87" s="39">
        <f>-L28</f>
        <v>0</v>
      </c>
      <c r="AC87" s="39">
        <f>-M28</f>
        <v>0</v>
      </c>
      <c r="AD87" s="39">
        <f>-N28</f>
        <v>0</v>
      </c>
      <c r="AE87" s="39">
        <f>-O28</f>
        <v>0</v>
      </c>
      <c r="AF87" s="39">
        <f t="shared" ref="AF87:AL87" si="34">-P29</f>
        <v>0</v>
      </c>
      <c r="AG87" s="39">
        <f t="shared" si="34"/>
        <v>0</v>
      </c>
      <c r="AH87" s="39">
        <f t="shared" si="34"/>
        <v>0</v>
      </c>
      <c r="AI87" s="39">
        <f t="shared" si="34"/>
        <v>0</v>
      </c>
      <c r="AJ87" s="39">
        <f t="shared" si="34"/>
        <v>0</v>
      </c>
      <c r="AK87" s="39">
        <f t="shared" si="34"/>
        <v>0</v>
      </c>
      <c r="AL87" s="39">
        <f t="shared" si="34"/>
        <v>0</v>
      </c>
    </row>
    <row r="88" spans="2:38" x14ac:dyDescent="0.2">
      <c r="B88" s="253"/>
      <c r="C88" s="1"/>
      <c r="D88" s="1"/>
      <c r="E88" s="1"/>
      <c r="F88" s="1"/>
      <c r="G88" s="1"/>
      <c r="H88" s="1"/>
      <c r="I88" s="1"/>
      <c r="J88" s="1"/>
      <c r="K88" s="1"/>
      <c r="L88" s="1"/>
      <c r="M88" s="1"/>
      <c r="N88" s="1"/>
      <c r="O88" s="264"/>
      <c r="R88" s="31"/>
      <c r="S88" s="37"/>
      <c r="T88" s="31"/>
      <c r="U88" s="31"/>
      <c r="V88" s="31"/>
      <c r="W88" s="31"/>
      <c r="X88" s="31"/>
      <c r="Y88" s="31"/>
      <c r="Z88" s="31"/>
      <c r="AA88" s="31"/>
      <c r="AB88" s="31"/>
      <c r="AC88" s="31"/>
      <c r="AD88" s="31"/>
      <c r="AE88" s="31"/>
      <c r="AF88" s="31"/>
      <c r="AG88" s="31"/>
      <c r="AH88" s="31"/>
      <c r="AI88" s="31"/>
      <c r="AJ88" s="31"/>
      <c r="AK88" s="31"/>
      <c r="AL88" s="31"/>
    </row>
    <row r="89" spans="2:38" x14ac:dyDescent="0.2">
      <c r="B89" s="253"/>
      <c r="C89" s="1"/>
      <c r="D89" s="1"/>
      <c r="E89" s="1"/>
      <c r="F89" s="1"/>
      <c r="G89" s="1"/>
      <c r="H89" s="1"/>
      <c r="I89" s="1"/>
      <c r="J89" s="1"/>
      <c r="K89" s="1"/>
      <c r="L89" s="1"/>
      <c r="M89" s="1"/>
      <c r="N89" s="1"/>
      <c r="O89" s="264"/>
      <c r="S89" s="35" t="s">
        <v>107</v>
      </c>
      <c r="T89" s="38">
        <f t="shared" ref="T89:AL89" si="35">-T86^2/3/T85/T85</f>
        <v>8.5621007997841388E-5</v>
      </c>
      <c r="U89" s="38">
        <f t="shared" si="35"/>
        <v>1.2816011858889373E-2</v>
      </c>
      <c r="V89" s="38">
        <f t="shared" si="35"/>
        <v>1.7789230743279927E-5</v>
      </c>
      <c r="W89" s="38">
        <f t="shared" si="35"/>
        <v>7.2509498761221961E-3</v>
      </c>
      <c r="X89" s="38">
        <f>-X86^2/3/X85/X85</f>
        <v>6.1837164943809707E-5</v>
      </c>
      <c r="Y89" s="38" t="e">
        <f t="shared" si="35"/>
        <v>#REF!</v>
      </c>
      <c r="Z89" s="38" t="e">
        <f t="shared" si="35"/>
        <v>#REF!</v>
      </c>
      <c r="AA89" s="38">
        <f t="shared" si="35"/>
        <v>0</v>
      </c>
      <c r="AB89" s="38">
        <f t="shared" si="35"/>
        <v>0</v>
      </c>
      <c r="AC89" s="38">
        <f t="shared" si="35"/>
        <v>0</v>
      </c>
      <c r="AD89" s="38">
        <f t="shared" si="35"/>
        <v>0</v>
      </c>
      <c r="AE89" s="38">
        <f t="shared" si="35"/>
        <v>0</v>
      </c>
      <c r="AF89" s="38">
        <f t="shared" si="35"/>
        <v>0</v>
      </c>
      <c r="AG89" s="38">
        <f t="shared" si="35"/>
        <v>0</v>
      </c>
      <c r="AH89" s="38">
        <f t="shared" si="35"/>
        <v>0</v>
      </c>
      <c r="AI89" s="38">
        <f t="shared" si="35"/>
        <v>0</v>
      </c>
      <c r="AJ89" s="38">
        <f t="shared" si="35"/>
        <v>0</v>
      </c>
      <c r="AK89" s="38">
        <f t="shared" si="35"/>
        <v>0</v>
      </c>
      <c r="AL89" s="38">
        <f t="shared" si="35"/>
        <v>0</v>
      </c>
    </row>
    <row r="90" spans="2:38" x14ac:dyDescent="0.2">
      <c r="B90" s="253"/>
      <c r="C90" s="1"/>
      <c r="D90" s="1"/>
      <c r="E90" s="1"/>
      <c r="F90" s="1"/>
      <c r="G90" s="1"/>
      <c r="H90" s="1"/>
      <c r="I90" s="1"/>
      <c r="J90" s="1"/>
      <c r="K90" s="1"/>
      <c r="L90" s="1"/>
      <c r="M90" s="1"/>
      <c r="N90" s="1"/>
      <c r="O90" s="264"/>
      <c r="S90" s="35" t="s">
        <v>108</v>
      </c>
      <c r="T90" s="38">
        <f t="shared" ref="T90:AL90" si="36">-T87/T85-2*T86^3/(27*T85^3)</f>
        <v>90.849871054559571</v>
      </c>
      <c r="U90" s="38">
        <f t="shared" si="36"/>
        <v>80.292492358576681</v>
      </c>
      <c r="V90" s="38">
        <f t="shared" si="36"/>
        <v>63.697657000860623</v>
      </c>
      <c r="W90" s="38">
        <f t="shared" si="36"/>
        <v>72.520753942541077</v>
      </c>
      <c r="X90" s="38">
        <f>-X87/X85-2*X86^3/(27*X85^3)</f>
        <v>15.143689136465516</v>
      </c>
      <c r="Y90" s="38" t="e">
        <f t="shared" si="36"/>
        <v>#REF!</v>
      </c>
      <c r="Z90" s="38" t="e">
        <f t="shared" si="36"/>
        <v>#REF!</v>
      </c>
      <c r="AA90" s="38" t="e">
        <f t="shared" si="36"/>
        <v>#REF!</v>
      </c>
      <c r="AB90" s="38">
        <f t="shared" si="36"/>
        <v>0</v>
      </c>
      <c r="AC90" s="38">
        <f t="shared" si="36"/>
        <v>0</v>
      </c>
      <c r="AD90" s="38">
        <f t="shared" si="36"/>
        <v>0</v>
      </c>
      <c r="AE90" s="38">
        <f t="shared" si="36"/>
        <v>0</v>
      </c>
      <c r="AF90" s="38">
        <f t="shared" si="36"/>
        <v>0</v>
      </c>
      <c r="AG90" s="38">
        <f t="shared" si="36"/>
        <v>0</v>
      </c>
      <c r="AH90" s="38">
        <f t="shared" si="36"/>
        <v>0</v>
      </c>
      <c r="AI90" s="38">
        <f t="shared" si="36"/>
        <v>0</v>
      </c>
      <c r="AJ90" s="38">
        <f t="shared" si="36"/>
        <v>0</v>
      </c>
      <c r="AK90" s="38">
        <f t="shared" si="36"/>
        <v>0</v>
      </c>
      <c r="AL90" s="38">
        <f t="shared" si="36"/>
        <v>0</v>
      </c>
    </row>
    <row r="91" spans="2:38" x14ac:dyDescent="0.2">
      <c r="B91" s="253"/>
      <c r="C91" s="1"/>
      <c r="D91" s="1"/>
      <c r="E91" s="1"/>
      <c r="F91" s="1"/>
      <c r="G91" s="1"/>
      <c r="H91" s="1"/>
      <c r="I91" s="1"/>
      <c r="J91" s="1"/>
      <c r="K91" s="1"/>
      <c r="L91" s="1"/>
      <c r="M91" s="1"/>
      <c r="N91" s="1"/>
      <c r="O91" s="264"/>
      <c r="S91" s="35"/>
    </row>
    <row r="92" spans="2:38" x14ac:dyDescent="0.2">
      <c r="B92" s="253"/>
      <c r="C92" s="1"/>
      <c r="D92" s="1"/>
      <c r="E92" s="1"/>
      <c r="F92" s="1"/>
      <c r="G92" s="1"/>
      <c r="H92" s="1"/>
      <c r="I92" s="1"/>
      <c r="J92" s="1"/>
      <c r="K92" s="1"/>
      <c r="L92" s="1"/>
      <c r="M92" s="1"/>
      <c r="N92" s="1"/>
      <c r="O92" s="264"/>
      <c r="S92" s="35" t="s">
        <v>109</v>
      </c>
      <c r="T92" s="42">
        <f t="shared" ref="T92:AL92" si="37">+(-T90+(T90^2-4*(-T89^3/27))^(1/2))/2</f>
        <v>0</v>
      </c>
      <c r="U92" s="42">
        <f t="shared" si="37"/>
        <v>9.7099928098032251E-10</v>
      </c>
      <c r="V92" s="42">
        <f t="shared" si="37"/>
        <v>0</v>
      </c>
      <c r="W92" s="42">
        <f t="shared" si="37"/>
        <v>1.9469581502562505E-10</v>
      </c>
      <c r="X92" s="42">
        <f>+(-X90+(X90^2-4*(-X89^3/27))^(1/2))/2</f>
        <v>8.8817841970012523E-16</v>
      </c>
      <c r="Y92" s="42" t="e">
        <f t="shared" si="37"/>
        <v>#REF!</v>
      </c>
      <c r="Z92" s="42" t="e">
        <f t="shared" si="37"/>
        <v>#REF!</v>
      </c>
      <c r="AA92" s="42" t="e">
        <f t="shared" si="37"/>
        <v>#REF!</v>
      </c>
      <c r="AB92" s="42">
        <f t="shared" si="37"/>
        <v>0</v>
      </c>
      <c r="AC92" s="42">
        <f t="shared" si="37"/>
        <v>0</v>
      </c>
      <c r="AD92" s="42">
        <f t="shared" si="37"/>
        <v>0</v>
      </c>
      <c r="AE92" s="42">
        <f t="shared" si="37"/>
        <v>0</v>
      </c>
      <c r="AF92" s="42">
        <f t="shared" si="37"/>
        <v>0</v>
      </c>
      <c r="AG92" s="42">
        <f t="shared" si="37"/>
        <v>0</v>
      </c>
      <c r="AH92" s="42">
        <f t="shared" si="37"/>
        <v>0</v>
      </c>
      <c r="AI92" s="42">
        <f t="shared" si="37"/>
        <v>0</v>
      </c>
      <c r="AJ92" s="42">
        <f t="shared" si="37"/>
        <v>0</v>
      </c>
      <c r="AK92" s="42">
        <f t="shared" si="37"/>
        <v>0</v>
      </c>
      <c r="AL92" s="42">
        <f t="shared" si="37"/>
        <v>0</v>
      </c>
    </row>
    <row r="93" spans="2:38" x14ac:dyDescent="0.2">
      <c r="B93" s="253"/>
      <c r="C93" s="1"/>
      <c r="D93" s="1"/>
      <c r="E93" s="1"/>
      <c r="F93" s="1"/>
      <c r="G93" s="1"/>
      <c r="H93" s="1"/>
      <c r="I93" s="1"/>
      <c r="J93" s="1"/>
      <c r="K93" s="1"/>
      <c r="L93" s="1"/>
      <c r="M93" s="1"/>
      <c r="N93" s="1"/>
      <c r="O93" s="264"/>
      <c r="S93" s="35" t="s">
        <v>110</v>
      </c>
      <c r="T93" s="40">
        <f t="shared" ref="T93:AL93" si="38">+(-T90-(T90^2-4*(-T89^3/27))^(1/2))/2</f>
        <v>-90.849871054559571</v>
      </c>
      <c r="U93" s="40">
        <f t="shared" si="38"/>
        <v>-80.29249235954768</v>
      </c>
      <c r="V93" s="40">
        <f t="shared" si="38"/>
        <v>-63.697657000860623</v>
      </c>
      <c r="W93" s="40">
        <f t="shared" si="38"/>
        <v>-72.52075394273578</v>
      </c>
      <c r="X93" s="40">
        <f>+(-X90-(X90^2-4*(-X89^3/27))^(1/2))/2</f>
        <v>-15.143689136465518</v>
      </c>
      <c r="Y93" s="40" t="e">
        <f t="shared" si="38"/>
        <v>#REF!</v>
      </c>
      <c r="Z93" s="40" t="e">
        <f t="shared" si="38"/>
        <v>#REF!</v>
      </c>
      <c r="AA93" s="40" t="e">
        <f t="shared" si="38"/>
        <v>#REF!</v>
      </c>
      <c r="AB93" s="40">
        <f t="shared" si="38"/>
        <v>0</v>
      </c>
      <c r="AC93" s="40">
        <f t="shared" si="38"/>
        <v>0</v>
      </c>
      <c r="AD93" s="40">
        <f t="shared" si="38"/>
        <v>0</v>
      </c>
      <c r="AE93" s="40">
        <f t="shared" si="38"/>
        <v>0</v>
      </c>
      <c r="AF93" s="40">
        <f t="shared" si="38"/>
        <v>0</v>
      </c>
      <c r="AG93" s="40">
        <f t="shared" si="38"/>
        <v>0</v>
      </c>
      <c r="AH93" s="40">
        <f t="shared" si="38"/>
        <v>0</v>
      </c>
      <c r="AI93" s="40">
        <f t="shared" si="38"/>
        <v>0</v>
      </c>
      <c r="AJ93" s="40">
        <f t="shared" si="38"/>
        <v>0</v>
      </c>
      <c r="AK93" s="40">
        <f t="shared" si="38"/>
        <v>0</v>
      </c>
      <c r="AL93" s="40">
        <f t="shared" si="38"/>
        <v>0</v>
      </c>
    </row>
    <row r="94" spans="2:38" ht="13.5" thickBot="1" x14ac:dyDescent="0.25">
      <c r="B94" s="269"/>
      <c r="C94" s="271"/>
      <c r="D94" s="271"/>
      <c r="E94" s="271"/>
      <c r="F94" s="271"/>
      <c r="G94" s="271"/>
      <c r="H94" s="271"/>
      <c r="I94" s="271"/>
      <c r="J94" s="271"/>
      <c r="K94" s="271"/>
      <c r="L94" s="271"/>
      <c r="M94" s="271"/>
      <c r="N94" s="271"/>
      <c r="O94" s="305"/>
      <c r="S94" s="35"/>
    </row>
    <row r="95" spans="2:38" x14ac:dyDescent="0.2">
      <c r="S95" s="35" t="s">
        <v>6</v>
      </c>
      <c r="T95" s="42">
        <f t="shared" ref="T95:W96" si="39">+T92^(1/3)</f>
        <v>0</v>
      </c>
      <c r="U95" s="42">
        <f t="shared" si="39"/>
        <v>9.9023810923364389E-4</v>
      </c>
      <c r="V95" s="42">
        <f t="shared" si="39"/>
        <v>0</v>
      </c>
      <c r="W95" s="42">
        <f t="shared" si="39"/>
        <v>5.7958731545685975E-4</v>
      </c>
      <c r="X95" s="42">
        <f>+X92^(1/3)</f>
        <v>9.6124347678747124E-6</v>
      </c>
      <c r="Y95" s="42" t="e">
        <f t="shared" ref="Y95:AJ96" si="40">+Y92^(1/3)</f>
        <v>#REF!</v>
      </c>
      <c r="Z95" s="42" t="e">
        <f t="shared" si="40"/>
        <v>#REF!</v>
      </c>
      <c r="AA95" s="42" t="e">
        <f t="shared" si="40"/>
        <v>#REF!</v>
      </c>
      <c r="AB95" s="42">
        <f t="shared" si="40"/>
        <v>0</v>
      </c>
      <c r="AC95" s="42">
        <f t="shared" si="40"/>
        <v>0</v>
      </c>
      <c r="AD95" s="42">
        <f t="shared" si="40"/>
        <v>0</v>
      </c>
      <c r="AE95" s="42">
        <f t="shared" si="40"/>
        <v>0</v>
      </c>
      <c r="AF95" s="42">
        <f t="shared" si="40"/>
        <v>0</v>
      </c>
      <c r="AG95" s="42">
        <f t="shared" si="40"/>
        <v>0</v>
      </c>
      <c r="AH95" s="42">
        <f t="shared" si="40"/>
        <v>0</v>
      </c>
      <c r="AI95" s="42">
        <f t="shared" si="40"/>
        <v>0</v>
      </c>
      <c r="AJ95" s="42">
        <f t="shared" si="40"/>
        <v>0</v>
      </c>
      <c r="AK95" s="42">
        <f>+AK92^(1/3)</f>
        <v>0</v>
      </c>
      <c r="AL95" s="42">
        <f>+AL92^(1/3)</f>
        <v>0</v>
      </c>
    </row>
    <row r="96" spans="2:38" x14ac:dyDescent="0.2">
      <c r="S96" s="35" t="s">
        <v>111</v>
      </c>
      <c r="T96" s="38">
        <f t="shared" si="39"/>
        <v>-4.4954665628811119</v>
      </c>
      <c r="U96" s="38">
        <f t="shared" si="39"/>
        <v>-4.3141142905631735</v>
      </c>
      <c r="V96" s="38">
        <f t="shared" si="39"/>
        <v>-3.993691242644152</v>
      </c>
      <c r="W96" s="38">
        <f t="shared" si="39"/>
        <v>-4.1701733014933406</v>
      </c>
      <c r="X96" s="38">
        <f>+X93^(1/3)</f>
        <v>-2.4740619040567489</v>
      </c>
      <c r="Y96" s="38" t="e">
        <f t="shared" si="40"/>
        <v>#REF!</v>
      </c>
      <c r="Z96" s="38" t="e">
        <f t="shared" si="40"/>
        <v>#REF!</v>
      </c>
      <c r="AA96" s="38" t="e">
        <f t="shared" si="40"/>
        <v>#REF!</v>
      </c>
      <c r="AB96" s="38">
        <f t="shared" si="40"/>
        <v>0</v>
      </c>
      <c r="AC96" s="38">
        <f t="shared" si="40"/>
        <v>0</v>
      </c>
      <c r="AD96" s="38">
        <f t="shared" si="40"/>
        <v>0</v>
      </c>
      <c r="AE96" s="38">
        <f t="shared" si="40"/>
        <v>0</v>
      </c>
      <c r="AF96" s="38">
        <f t="shared" si="40"/>
        <v>0</v>
      </c>
      <c r="AG96" s="38">
        <f t="shared" si="40"/>
        <v>0</v>
      </c>
      <c r="AH96" s="38">
        <f t="shared" si="40"/>
        <v>0</v>
      </c>
      <c r="AI96" s="38">
        <f t="shared" si="40"/>
        <v>0</v>
      </c>
      <c r="AJ96" s="38">
        <f t="shared" si="40"/>
        <v>0</v>
      </c>
      <c r="AK96" s="38">
        <f>+AK93^(1/3)</f>
        <v>0</v>
      </c>
      <c r="AL96" s="38">
        <f>+AL93^(1/3)</f>
        <v>0</v>
      </c>
    </row>
    <row r="97" spans="19:38" x14ac:dyDescent="0.2">
      <c r="S97" s="35"/>
    </row>
    <row r="98" spans="19:38" x14ac:dyDescent="0.2">
      <c r="S98" s="35" t="s">
        <v>112</v>
      </c>
      <c r="T98" s="40" t="e">
        <f t="shared" ref="T98:AL98" si="41">+T89/(3*T95)</f>
        <v>#DIV/0!</v>
      </c>
      <c r="U98" s="43">
        <f t="shared" si="41"/>
        <v>4.3141179006625743</v>
      </c>
      <c r="V98" s="40" t="e">
        <f t="shared" si="41"/>
        <v>#DIV/0!</v>
      </c>
      <c r="W98" s="43">
        <f>+W89/(3*W95)</f>
        <v>4.1701797599478949</v>
      </c>
      <c r="X98" s="43">
        <f>+X89/(3*X95)</f>
        <v>2.1443462361368604</v>
      </c>
      <c r="Y98" s="43" t="e">
        <f t="shared" si="41"/>
        <v>#REF!</v>
      </c>
      <c r="Z98" s="43" t="e">
        <f t="shared" si="41"/>
        <v>#REF!</v>
      </c>
      <c r="AA98" s="43" t="e">
        <f t="shared" si="41"/>
        <v>#REF!</v>
      </c>
      <c r="AB98" s="43" t="e">
        <f t="shared" si="41"/>
        <v>#DIV/0!</v>
      </c>
      <c r="AC98" s="43" t="e">
        <f t="shared" si="41"/>
        <v>#DIV/0!</v>
      </c>
      <c r="AD98" s="43" t="e">
        <f t="shared" si="41"/>
        <v>#DIV/0!</v>
      </c>
      <c r="AE98" s="43" t="e">
        <f t="shared" si="41"/>
        <v>#DIV/0!</v>
      </c>
      <c r="AF98" s="43" t="e">
        <f t="shared" si="41"/>
        <v>#DIV/0!</v>
      </c>
      <c r="AG98" s="43" t="e">
        <f t="shared" si="41"/>
        <v>#DIV/0!</v>
      </c>
      <c r="AH98" s="43" t="e">
        <f t="shared" si="41"/>
        <v>#DIV/0!</v>
      </c>
      <c r="AI98" s="43" t="e">
        <f t="shared" si="41"/>
        <v>#DIV/0!</v>
      </c>
      <c r="AJ98" s="43" t="e">
        <f t="shared" si="41"/>
        <v>#DIV/0!</v>
      </c>
      <c r="AK98" s="43" t="e">
        <f t="shared" si="41"/>
        <v>#DIV/0!</v>
      </c>
      <c r="AL98" s="43" t="e">
        <f t="shared" si="41"/>
        <v>#DIV/0!</v>
      </c>
    </row>
    <row r="99" spans="19:38" x14ac:dyDescent="0.2">
      <c r="S99" s="35" t="s">
        <v>113</v>
      </c>
      <c r="T99" s="42">
        <f t="shared" ref="T99:AL99" si="42">+T89/(3*T96)</f>
        <v>-6.3486927552607955E-6</v>
      </c>
      <c r="U99" s="42">
        <f t="shared" si="42"/>
        <v>-9.9023893787604034E-4</v>
      </c>
      <c r="V99" s="42">
        <f t="shared" si="42"/>
        <v>-1.4847776707864204E-6</v>
      </c>
      <c r="W99" s="42">
        <f t="shared" si="42"/>
        <v>-5.7958821307862898E-4</v>
      </c>
      <c r="X99" s="42">
        <f>+X89/(3*X96)</f>
        <v>-8.3313955405904987E-6</v>
      </c>
      <c r="Y99" s="42" t="e">
        <f>+Y89/(3*Y96)</f>
        <v>#REF!</v>
      </c>
      <c r="Z99" s="42" t="e">
        <f t="shared" si="42"/>
        <v>#REF!</v>
      </c>
      <c r="AA99" s="42" t="e">
        <f t="shared" si="42"/>
        <v>#REF!</v>
      </c>
      <c r="AB99" s="42" t="e">
        <f t="shared" si="42"/>
        <v>#DIV/0!</v>
      </c>
      <c r="AC99" s="42" t="e">
        <f t="shared" si="42"/>
        <v>#DIV/0!</v>
      </c>
      <c r="AD99" s="42" t="e">
        <f t="shared" si="42"/>
        <v>#DIV/0!</v>
      </c>
      <c r="AE99" s="42" t="e">
        <f t="shared" si="42"/>
        <v>#DIV/0!</v>
      </c>
      <c r="AF99" s="42" t="e">
        <f t="shared" si="42"/>
        <v>#DIV/0!</v>
      </c>
      <c r="AG99" s="42" t="e">
        <f t="shared" si="42"/>
        <v>#DIV/0!</v>
      </c>
      <c r="AH99" s="42" t="e">
        <f t="shared" si="42"/>
        <v>#DIV/0!</v>
      </c>
      <c r="AI99" s="42" t="e">
        <f t="shared" si="42"/>
        <v>#DIV/0!</v>
      </c>
      <c r="AJ99" s="42" t="e">
        <f t="shared" si="42"/>
        <v>#DIV/0!</v>
      </c>
      <c r="AK99" s="42" t="e">
        <f t="shared" si="42"/>
        <v>#DIV/0!</v>
      </c>
      <c r="AL99" s="42" t="e">
        <f t="shared" si="42"/>
        <v>#DIV/0!</v>
      </c>
    </row>
    <row r="100" spans="19:38" x14ac:dyDescent="0.2">
      <c r="S100" s="35"/>
    </row>
    <row r="101" spans="19:38" x14ac:dyDescent="0.2">
      <c r="S101" s="35" t="s">
        <v>114</v>
      </c>
      <c r="T101" s="41" t="e">
        <f t="shared" ref="T101:W102" si="43">+T98-T95</f>
        <v>#DIV/0!</v>
      </c>
      <c r="U101" s="41">
        <f t="shared" si="43"/>
        <v>4.3131276625533408</v>
      </c>
      <c r="V101" s="41" t="e">
        <f t="shared" si="43"/>
        <v>#DIV/0!</v>
      </c>
      <c r="W101" s="41">
        <f t="shared" si="43"/>
        <v>4.1696001726324381</v>
      </c>
      <c r="X101" s="41">
        <f>+X98-X95</f>
        <v>2.1443366237020927</v>
      </c>
      <c r="Y101" s="41" t="e">
        <f t="shared" ref="Y101:AJ102" si="44">+Y98-Y95</f>
        <v>#REF!</v>
      </c>
      <c r="Z101" s="41" t="e">
        <f t="shared" si="44"/>
        <v>#REF!</v>
      </c>
      <c r="AA101" s="41" t="e">
        <f t="shared" si="44"/>
        <v>#REF!</v>
      </c>
      <c r="AB101" s="41" t="e">
        <f t="shared" si="44"/>
        <v>#DIV/0!</v>
      </c>
      <c r="AC101" s="41" t="e">
        <f t="shared" si="44"/>
        <v>#DIV/0!</v>
      </c>
      <c r="AD101" s="41" t="e">
        <f t="shared" si="44"/>
        <v>#DIV/0!</v>
      </c>
      <c r="AE101" s="41" t="e">
        <f t="shared" si="44"/>
        <v>#DIV/0!</v>
      </c>
      <c r="AF101" s="41" t="e">
        <f t="shared" si="44"/>
        <v>#DIV/0!</v>
      </c>
      <c r="AG101" s="41" t="e">
        <f t="shared" si="44"/>
        <v>#DIV/0!</v>
      </c>
      <c r="AH101" s="41" t="e">
        <f t="shared" si="44"/>
        <v>#DIV/0!</v>
      </c>
      <c r="AI101" s="41" t="e">
        <f t="shared" si="44"/>
        <v>#DIV/0!</v>
      </c>
      <c r="AJ101" s="41" t="e">
        <f t="shared" si="44"/>
        <v>#DIV/0!</v>
      </c>
      <c r="AK101" s="41" t="e">
        <f>+AK98-AK95</f>
        <v>#DIV/0!</v>
      </c>
      <c r="AL101" s="41" t="e">
        <f>+AL98-AL95</f>
        <v>#DIV/0!</v>
      </c>
    </row>
    <row r="102" spans="19:38" x14ac:dyDescent="0.2">
      <c r="S102" s="35" t="s">
        <v>115</v>
      </c>
      <c r="T102" s="38">
        <f t="shared" si="43"/>
        <v>4.4954602141883564</v>
      </c>
      <c r="U102" s="38">
        <f t="shared" si="43"/>
        <v>4.3131240516252971</v>
      </c>
      <c r="V102" s="38">
        <f t="shared" si="43"/>
        <v>3.9936897578664814</v>
      </c>
      <c r="W102" s="38">
        <f t="shared" si="43"/>
        <v>4.1695937132802623</v>
      </c>
      <c r="X102" s="38">
        <f>+X99-X96</f>
        <v>2.4740535726612083</v>
      </c>
      <c r="Y102" s="38" t="e">
        <f t="shared" si="44"/>
        <v>#REF!</v>
      </c>
      <c r="Z102" s="38" t="e">
        <f t="shared" si="44"/>
        <v>#REF!</v>
      </c>
      <c r="AA102" s="38" t="e">
        <f t="shared" si="44"/>
        <v>#REF!</v>
      </c>
      <c r="AB102" s="38" t="e">
        <f t="shared" si="44"/>
        <v>#DIV/0!</v>
      </c>
      <c r="AC102" s="38" t="e">
        <f t="shared" si="44"/>
        <v>#DIV/0!</v>
      </c>
      <c r="AD102" s="38" t="e">
        <f t="shared" si="44"/>
        <v>#DIV/0!</v>
      </c>
      <c r="AE102" s="38" t="e">
        <f t="shared" si="44"/>
        <v>#DIV/0!</v>
      </c>
      <c r="AF102" s="38" t="e">
        <f t="shared" si="44"/>
        <v>#DIV/0!</v>
      </c>
      <c r="AG102" s="38" t="e">
        <f t="shared" si="44"/>
        <v>#DIV/0!</v>
      </c>
      <c r="AH102" s="38" t="e">
        <f t="shared" si="44"/>
        <v>#DIV/0!</v>
      </c>
      <c r="AI102" s="38" t="e">
        <f t="shared" si="44"/>
        <v>#DIV/0!</v>
      </c>
      <c r="AJ102" s="38" t="e">
        <f t="shared" si="44"/>
        <v>#DIV/0!</v>
      </c>
      <c r="AK102" s="38" t="e">
        <f>+AK99-AK96</f>
        <v>#DIV/0!</v>
      </c>
      <c r="AL102" s="38" t="e">
        <f>+AL99-AL96</f>
        <v>#DIV/0!</v>
      </c>
    </row>
    <row r="103" spans="19:38" x14ac:dyDescent="0.2">
      <c r="S103" s="35"/>
    </row>
    <row r="104" spans="19:38" x14ac:dyDescent="0.2">
      <c r="S104" s="35" t="s">
        <v>116</v>
      </c>
      <c r="T104" s="32" t="e">
        <f t="shared" ref="T104:AL104" si="45">+T101-T86/3/T85</f>
        <v>#DIV/0!</v>
      </c>
      <c r="U104" s="32">
        <f t="shared" si="45"/>
        <v>4.2477670937601983</v>
      </c>
      <c r="V104" s="32" t="e">
        <f t="shared" si="45"/>
        <v>#DIV/0!</v>
      </c>
      <c r="W104" s="32">
        <f t="shared" si="45"/>
        <v>4.1204373483437466</v>
      </c>
      <c r="X104" s="32">
        <f>+X101-X86/3/X85</f>
        <v>2.1397965368841341</v>
      </c>
      <c r="Y104" s="32" t="e">
        <f t="shared" si="45"/>
        <v>#REF!</v>
      </c>
      <c r="Z104" s="32" t="e">
        <f t="shared" si="45"/>
        <v>#REF!</v>
      </c>
      <c r="AA104" s="32" t="e">
        <f t="shared" si="45"/>
        <v>#REF!</v>
      </c>
      <c r="AB104" s="32" t="e">
        <f t="shared" si="45"/>
        <v>#DIV/0!</v>
      </c>
      <c r="AC104" s="32" t="e">
        <f t="shared" si="45"/>
        <v>#DIV/0!</v>
      </c>
      <c r="AD104" s="32" t="e">
        <f t="shared" si="45"/>
        <v>#DIV/0!</v>
      </c>
      <c r="AE104" s="32" t="e">
        <f t="shared" si="45"/>
        <v>#DIV/0!</v>
      </c>
      <c r="AF104" s="32" t="e">
        <f t="shared" si="45"/>
        <v>#DIV/0!</v>
      </c>
      <c r="AG104" s="32" t="e">
        <f t="shared" si="45"/>
        <v>#DIV/0!</v>
      </c>
      <c r="AH104" s="32" t="e">
        <f t="shared" si="45"/>
        <v>#DIV/0!</v>
      </c>
      <c r="AI104" s="32" t="e">
        <f t="shared" si="45"/>
        <v>#DIV/0!</v>
      </c>
      <c r="AJ104" s="32" t="e">
        <f t="shared" si="45"/>
        <v>#DIV/0!</v>
      </c>
      <c r="AK104" s="32" t="e">
        <f t="shared" si="45"/>
        <v>#DIV/0!</v>
      </c>
      <c r="AL104" s="32" t="e">
        <f t="shared" si="45"/>
        <v>#DIV/0!</v>
      </c>
    </row>
    <row r="105" spans="19:38" x14ac:dyDescent="0.2">
      <c r="S105" s="35" t="s">
        <v>117</v>
      </c>
      <c r="T105" s="38">
        <f t="shared" ref="T105:AL105" si="46">+T102-T86/3/T85</f>
        <v>4.4901178985856163</v>
      </c>
      <c r="U105" s="38">
        <f t="shared" si="46"/>
        <v>4.2477634828321547</v>
      </c>
      <c r="V105" s="38">
        <f t="shared" si="46"/>
        <v>3.9912546513839855</v>
      </c>
      <c r="W105" s="38">
        <f t="shared" si="46"/>
        <v>4.1204308889915708</v>
      </c>
      <c r="X105" s="38">
        <f>+X102-X86/3/X85</f>
        <v>2.4695134858432497</v>
      </c>
      <c r="Y105" s="38" t="e">
        <f t="shared" si="46"/>
        <v>#REF!</v>
      </c>
      <c r="Z105" s="38" t="e">
        <f t="shared" si="46"/>
        <v>#REF!</v>
      </c>
      <c r="AA105" s="38" t="e">
        <f t="shared" si="46"/>
        <v>#REF!</v>
      </c>
      <c r="AB105" s="38" t="e">
        <f t="shared" si="46"/>
        <v>#DIV/0!</v>
      </c>
      <c r="AC105" s="38" t="e">
        <f t="shared" si="46"/>
        <v>#DIV/0!</v>
      </c>
      <c r="AD105" s="38" t="e">
        <f t="shared" si="46"/>
        <v>#DIV/0!</v>
      </c>
      <c r="AE105" s="38" t="e">
        <f t="shared" si="46"/>
        <v>#DIV/0!</v>
      </c>
      <c r="AF105" s="38" t="e">
        <f t="shared" si="46"/>
        <v>#DIV/0!</v>
      </c>
      <c r="AG105" s="38" t="e">
        <f t="shared" si="46"/>
        <v>#DIV/0!</v>
      </c>
      <c r="AH105" s="38" t="e">
        <f t="shared" si="46"/>
        <v>#DIV/0!</v>
      </c>
      <c r="AI105" s="38" t="e">
        <f t="shared" si="46"/>
        <v>#DIV/0!</v>
      </c>
      <c r="AJ105" s="38" t="e">
        <f t="shared" si="46"/>
        <v>#DIV/0!</v>
      </c>
      <c r="AK105" s="38" t="e">
        <f t="shared" si="46"/>
        <v>#DIV/0!</v>
      </c>
      <c r="AL105" s="38" t="e">
        <f t="shared" si="46"/>
        <v>#DIV/0!</v>
      </c>
    </row>
    <row r="106" spans="19:38" x14ac:dyDescent="0.2">
      <c r="S106" s="35"/>
    </row>
    <row r="108" spans="19:38" x14ac:dyDescent="0.2">
      <c r="S108" t="s">
        <v>123</v>
      </c>
      <c r="T108" s="32" t="e">
        <f t="shared" ref="T108:AL108" si="47">+MAX(T104:T105)</f>
        <v>#DIV/0!</v>
      </c>
      <c r="U108" s="32">
        <f t="shared" si="47"/>
        <v>4.2477670937601983</v>
      </c>
      <c r="V108" s="32" t="e">
        <f t="shared" si="47"/>
        <v>#DIV/0!</v>
      </c>
      <c r="W108" s="32">
        <f t="shared" si="47"/>
        <v>4.1204373483437466</v>
      </c>
      <c r="X108" s="32">
        <f>+MAX(X104:X105)</f>
        <v>2.4695134858432497</v>
      </c>
      <c r="Y108" s="32" t="e">
        <f t="shared" si="47"/>
        <v>#REF!</v>
      </c>
      <c r="Z108" s="32" t="e">
        <f t="shared" si="47"/>
        <v>#REF!</v>
      </c>
      <c r="AA108" s="32" t="e">
        <f t="shared" si="47"/>
        <v>#REF!</v>
      </c>
      <c r="AB108" s="32" t="e">
        <f t="shared" si="47"/>
        <v>#DIV/0!</v>
      </c>
      <c r="AC108" s="32" t="e">
        <f t="shared" si="47"/>
        <v>#DIV/0!</v>
      </c>
      <c r="AD108" s="32" t="e">
        <f t="shared" si="47"/>
        <v>#DIV/0!</v>
      </c>
      <c r="AE108" s="32" t="e">
        <f t="shared" si="47"/>
        <v>#DIV/0!</v>
      </c>
      <c r="AF108" s="32" t="e">
        <f t="shared" si="47"/>
        <v>#DIV/0!</v>
      </c>
      <c r="AG108" s="32" t="e">
        <f t="shared" si="47"/>
        <v>#DIV/0!</v>
      </c>
      <c r="AH108" s="32" t="e">
        <f t="shared" si="47"/>
        <v>#DIV/0!</v>
      </c>
      <c r="AI108" s="32" t="e">
        <f t="shared" si="47"/>
        <v>#DIV/0!</v>
      </c>
      <c r="AJ108" s="32" t="e">
        <f t="shared" si="47"/>
        <v>#DIV/0!</v>
      </c>
      <c r="AK108" s="32" t="e">
        <f t="shared" si="47"/>
        <v>#DIV/0!</v>
      </c>
      <c r="AL108" s="32" t="e">
        <f t="shared" si="47"/>
        <v>#DIV/0!</v>
      </c>
    </row>
    <row r="109" spans="19:38" x14ac:dyDescent="0.2">
      <c r="S109" s="35" t="s">
        <v>124</v>
      </c>
      <c r="T109" s="32">
        <f>+(F27/(F25/100*PI()/4*F26+F24/100*2*0.0809))^(1/3)</f>
        <v>4.4658765546613539</v>
      </c>
      <c r="U109" s="32">
        <f>+(H27/(H25/100*PI()/4*H26+H24/100*2*0.0809))^(1/3)</f>
        <v>4.0104416989811416</v>
      </c>
      <c r="V109" s="32">
        <f>+(I27/(I25/100*PI()/4*I26+I24/100*2*0.0809))^(1/3)</f>
        <v>3.9816229547378095</v>
      </c>
      <c r="W109" s="32">
        <f>+(J27/(J25/100*PI()/4*J26+J24/100*2*0.0809))^(1/3)</f>
        <v>3.9417333843526996</v>
      </c>
      <c r="X109" s="32">
        <f>+(K27/(K25/100*PI()/4*K26+K24/100*2*0.0809))^(1/3)</f>
        <v>2.4601952674290244</v>
      </c>
      <c r="Y109" s="32">
        <f>+(K27/(K25/100*PI()/4*K26+K24/100*2*0.0809))^(1/3)</f>
        <v>2.4601952674290244</v>
      </c>
      <c r="Z109" s="32" t="e">
        <f>+(#REF!/(#REF!/100*PI()/4*#REF!+#REF!/100*2*0.0809))^(1/3)</f>
        <v>#REF!</v>
      </c>
      <c r="AA109" s="32" t="e">
        <f>+(#REF!/(#REF!/100*PI()/4*#REF!+#REF!/100*2*0.0809))^(1/3)</f>
        <v>#REF!</v>
      </c>
      <c r="AB109" s="32" t="e">
        <f>+(L28/(L26/100*PI()/4*L27+L25/100*2*0.0809))^(1/3)</f>
        <v>#DIV/0!</v>
      </c>
      <c r="AC109" s="32" t="e">
        <f>+(M28/(M26/100*PI()/4*M27+M25/100*2*0.0809))^(1/3)</f>
        <v>#DIV/0!</v>
      </c>
      <c r="AD109" s="32" t="e">
        <f>+(N28/(N26/100*PI()/4*N27+N25/100*2*0.0809))^(1/3)</f>
        <v>#DIV/0!</v>
      </c>
      <c r="AE109" s="32" t="e">
        <f>+(O28/(O26/100*PI()/4*O27+O25/100*2*0.0809))^(1/3)</f>
        <v>#DIV/0!</v>
      </c>
      <c r="AF109" s="32" t="e">
        <f t="shared" ref="AF109:AL109" si="48">+(P29/(P27/100*PI()/4*P28+P26/100*2*0.0809))^(1/3)</f>
        <v>#DIV/0!</v>
      </c>
      <c r="AG109" s="32" t="e">
        <f t="shared" si="48"/>
        <v>#DIV/0!</v>
      </c>
      <c r="AH109" s="32" t="e">
        <f t="shared" si="48"/>
        <v>#DIV/0!</v>
      </c>
      <c r="AI109" s="32" t="e">
        <f t="shared" si="48"/>
        <v>#DIV/0!</v>
      </c>
      <c r="AJ109" s="32" t="e">
        <f t="shared" si="48"/>
        <v>#DIV/0!</v>
      </c>
      <c r="AK109" s="32" t="e">
        <f t="shared" si="48"/>
        <v>#DIV/0!</v>
      </c>
      <c r="AL109" s="32" t="e">
        <f t="shared" si="48"/>
        <v>#DIV/0!</v>
      </c>
    </row>
    <row r="110" spans="19:38" x14ac:dyDescent="0.2">
      <c r="S110" s="35" t="s">
        <v>125</v>
      </c>
      <c r="T110" s="32">
        <f>+(F27/(F25/100*PI()/4*F26+F24/100*2*PI()/24))^(1/3)</f>
        <v>4.4196000000000009</v>
      </c>
      <c r="U110" s="32">
        <f>+(H27/(H25/100*PI()/4*H26+H24/100*2*PI()/24))^(1/3)</f>
        <v>3.6576000000000004</v>
      </c>
      <c r="V110" s="32">
        <f>+(I27/(I25/100*PI()/4*I26+I24/100*2*PI()/24))^(1/3)</f>
        <v>3.9624000000000001</v>
      </c>
      <c r="W110" s="32">
        <f>+(J27/(J25/100*PI()/4*J26+J24/100*2*PI()/24))^(1/3)</f>
        <v>3.6576000000000004</v>
      </c>
      <c r="X110" s="32">
        <f>+(K27/(K25/100*PI()/4*K26+K24/100*2*PI()/24))^(1/3)</f>
        <v>2.4384000000000001</v>
      </c>
      <c r="Y110" s="32">
        <f>+(K27/(K25/100*PI()/4*K26+K24/100*2*PI()/24))^(1/3)</f>
        <v>2.4384000000000001</v>
      </c>
      <c r="Z110" s="32" t="e">
        <f>+(#REF!/(#REF!/100*PI()/4*#REF!+#REF!/100*2*PI()/24))^(1/3)</f>
        <v>#REF!</v>
      </c>
      <c r="AA110" s="32" t="e">
        <f>+(#REF!/(#REF!/100*PI()/4*#REF!+#REF!/100*2*PI()/24))^(1/3)</f>
        <v>#REF!</v>
      </c>
      <c r="AB110" s="32" t="e">
        <f>+(L28/(L26/100*PI()/4*L27+L25/100*2*PI()/24))^(1/3)</f>
        <v>#DIV/0!</v>
      </c>
      <c r="AC110" s="32" t="e">
        <f>+(M28/(M26/100*PI()/4*M27+M25/100*2*PI()/24))^(1/3)</f>
        <v>#DIV/0!</v>
      </c>
      <c r="AD110" s="32" t="e">
        <f>+(N28/(N26/100*PI()/4*N27+N25/100*2*PI()/24))^(1/3)</f>
        <v>#DIV/0!</v>
      </c>
      <c r="AE110" s="32" t="e">
        <f>+(O28/(O26/100*PI()/4*O27+O25/100*2*PI()/24))^(1/3)</f>
        <v>#DIV/0!</v>
      </c>
      <c r="AF110" s="32" t="e">
        <f t="shared" ref="AF110:AL110" si="49">+(P29/(P27/100*PI()/4*P28+P26/100*2*PI()/24))^(1/3)</f>
        <v>#DIV/0!</v>
      </c>
      <c r="AG110" s="32" t="e">
        <f t="shared" si="49"/>
        <v>#DIV/0!</v>
      </c>
      <c r="AH110" s="32" t="e">
        <f t="shared" si="49"/>
        <v>#DIV/0!</v>
      </c>
      <c r="AI110" s="32" t="e">
        <f t="shared" si="49"/>
        <v>#DIV/0!</v>
      </c>
      <c r="AJ110" s="32" t="e">
        <f t="shared" si="49"/>
        <v>#DIV/0!</v>
      </c>
      <c r="AK110" s="32" t="e">
        <f t="shared" si="49"/>
        <v>#DIV/0!</v>
      </c>
      <c r="AL110" s="32" t="e">
        <f t="shared" si="49"/>
        <v>#DIV/0!</v>
      </c>
    </row>
    <row r="111" spans="19:38" x14ac:dyDescent="0.2">
      <c r="S111" s="35" t="s">
        <v>126</v>
      </c>
      <c r="T111" s="32">
        <f>+(F27/(F25/100*PI()/4*F26+F24/100*2*PI()/12))^(1/3)</f>
        <v>4.3069385310734933</v>
      </c>
      <c r="U111" s="32">
        <f>+(H27/(H25/100*PI()/4*H26+H24/100*2*PI()/12))^(1/3)</f>
        <v>3.1066351588410921</v>
      </c>
      <c r="V111" s="32">
        <f>+(I27/(I25/100*PI()/4*I26+I24/100*2*PI()/12))^(1/3)</f>
        <v>3.9137766843253297</v>
      </c>
      <c r="W111" s="32">
        <f>+(J27/(J25/100*PI()/4*J26+J24/100*2*PI()/12))^(1/3)</f>
        <v>3.1767380853329246</v>
      </c>
      <c r="X111" s="32">
        <f>+(K27/(K25/100*PI()/4*K26+K24/100*2*PI()/12))^(1/3)</f>
        <v>2.3847913311777091</v>
      </c>
      <c r="Y111" s="32">
        <f>+(K27/(K25/100*PI()/4*K26+K24/100*2*PI()/12))^(1/3)</f>
        <v>2.3847913311777091</v>
      </c>
      <c r="Z111" s="32" t="e">
        <f>+(#REF!/(#REF!/100*PI()/4*#REF!+#REF!/100*2*PI()/12))^(1/3)</f>
        <v>#REF!</v>
      </c>
      <c r="AA111" s="32" t="e">
        <f>+(#REF!/(#REF!/100*PI()/4*#REF!+#REF!/100*2*PI()/12))^(1/3)</f>
        <v>#REF!</v>
      </c>
      <c r="AB111" s="32" t="e">
        <f>+(L28/(L26/100*PI()/4*L27+L25/100*2*PI()/12))^(1/3)</f>
        <v>#DIV/0!</v>
      </c>
      <c r="AC111" s="32" t="e">
        <f>+(M28/(M26/100*PI()/4*M27+M25/100*2*PI()/12))^(1/3)</f>
        <v>#DIV/0!</v>
      </c>
      <c r="AD111" s="32" t="e">
        <f>+(N28/(N26/100*PI()/4*N27+N25/100*2*PI()/12))^(1/3)</f>
        <v>#DIV/0!</v>
      </c>
      <c r="AE111" s="32" t="e">
        <f>+(O28/(O26/100*PI()/4*O27+O25/100*2*PI()/12))^(1/3)</f>
        <v>#DIV/0!</v>
      </c>
      <c r="AF111" s="32" t="e">
        <f t="shared" ref="AF111:AL111" si="50">+(P29/(P27/100*PI()/4*P28+P26/100*2*PI()/12))^(1/3)</f>
        <v>#DIV/0!</v>
      </c>
      <c r="AG111" s="32" t="e">
        <f t="shared" si="50"/>
        <v>#DIV/0!</v>
      </c>
      <c r="AH111" s="32" t="e">
        <f t="shared" si="50"/>
        <v>#DIV/0!</v>
      </c>
      <c r="AI111" s="32" t="e">
        <f t="shared" si="50"/>
        <v>#DIV/0!</v>
      </c>
      <c r="AJ111" s="32" t="e">
        <f t="shared" si="50"/>
        <v>#DIV/0!</v>
      </c>
      <c r="AK111" s="32" t="e">
        <f t="shared" si="50"/>
        <v>#DIV/0!</v>
      </c>
      <c r="AL111" s="32" t="e">
        <f t="shared" si="50"/>
        <v>#DIV/0!</v>
      </c>
    </row>
  </sheetData>
  <mergeCells count="68">
    <mergeCell ref="C11:N11"/>
    <mergeCell ref="D2:K5"/>
    <mergeCell ref="M2:N2"/>
    <mergeCell ref="M3:N3"/>
    <mergeCell ref="M4:N4"/>
    <mergeCell ref="M5:N5"/>
    <mergeCell ref="G6:I6"/>
    <mergeCell ref="J6:O6"/>
    <mergeCell ref="G7:I7"/>
    <mergeCell ref="J7:O7"/>
    <mergeCell ref="G8:I8"/>
    <mergeCell ref="J8:O8"/>
    <mergeCell ref="B9:O9"/>
    <mergeCell ref="C23:D23"/>
    <mergeCell ref="C12:D12"/>
    <mergeCell ref="C13:D13"/>
    <mergeCell ref="C14:D14"/>
    <mergeCell ref="C15:D15"/>
    <mergeCell ref="C16:D16"/>
    <mergeCell ref="C17:D17"/>
    <mergeCell ref="C18:D18"/>
    <mergeCell ref="C19:D19"/>
    <mergeCell ref="C20:D20"/>
    <mergeCell ref="C21:D21"/>
    <mergeCell ref="C22:D22"/>
    <mergeCell ref="C35:D35"/>
    <mergeCell ref="C24:D24"/>
    <mergeCell ref="C25:D25"/>
    <mergeCell ref="C26:D26"/>
    <mergeCell ref="C27:D27"/>
    <mergeCell ref="C28:D28"/>
    <mergeCell ref="C29:D29"/>
    <mergeCell ref="C30:D30"/>
    <mergeCell ref="C31:D31"/>
    <mergeCell ref="C32:D32"/>
    <mergeCell ref="C33:D33"/>
    <mergeCell ref="C34:D34"/>
    <mergeCell ref="C48:D48"/>
    <mergeCell ref="C36:D36"/>
    <mergeCell ref="C37:D37"/>
    <mergeCell ref="C38:D38"/>
    <mergeCell ref="C39:D39"/>
    <mergeCell ref="C40:D40"/>
    <mergeCell ref="C42:N42"/>
    <mergeCell ref="C43:D43"/>
    <mergeCell ref="C44:D44"/>
    <mergeCell ref="C45:D45"/>
    <mergeCell ref="C46:D46"/>
    <mergeCell ref="C47:D47"/>
    <mergeCell ref="C60:D60"/>
    <mergeCell ref="C49:D49"/>
    <mergeCell ref="C50:D50"/>
    <mergeCell ref="C51:D51"/>
    <mergeCell ref="C52:D52"/>
    <mergeCell ref="C53:D53"/>
    <mergeCell ref="C54:D54"/>
    <mergeCell ref="C55:D55"/>
    <mergeCell ref="C56:D56"/>
    <mergeCell ref="C57:D57"/>
    <mergeCell ref="C58:D58"/>
    <mergeCell ref="C59:D59"/>
    <mergeCell ref="C67:D67"/>
    <mergeCell ref="C61:D61"/>
    <mergeCell ref="C62:D62"/>
    <mergeCell ref="C63:D63"/>
    <mergeCell ref="C64:D64"/>
    <mergeCell ref="C65:D65"/>
    <mergeCell ref="C66:D66"/>
  </mergeCells>
  <conditionalFormatting sqref="F55:G55 F60:G60 F47:G47 F62:G62">
    <cfRule type="expression" dxfId="34" priority="3" stopIfTrue="1">
      <formula>$F$46=$T$13</formula>
    </cfRule>
  </conditionalFormatting>
  <conditionalFormatting sqref="F61:G61 F63:G63 F56:G56">
    <cfRule type="expression" dxfId="33" priority="4" stopIfTrue="1">
      <formula>$F$46=$T$12</formula>
    </cfRule>
  </conditionalFormatting>
  <conditionalFormatting sqref="H55 H60 H62 H47">
    <cfRule type="expression" dxfId="32" priority="5" stopIfTrue="1">
      <formula>$H$46=$T$13</formula>
    </cfRule>
  </conditionalFormatting>
  <conditionalFormatting sqref="H56 H61 H63">
    <cfRule type="expression" dxfId="31" priority="6" stopIfTrue="1">
      <formula>$H$46=$T$12</formula>
    </cfRule>
  </conditionalFormatting>
  <conditionalFormatting sqref="I62 I55 I60 I47">
    <cfRule type="expression" dxfId="30" priority="7" stopIfTrue="1">
      <formula>$I$46=$T$13</formula>
    </cfRule>
  </conditionalFormatting>
  <conditionalFormatting sqref="I56 I61 I63">
    <cfRule type="expression" dxfId="29" priority="8" stopIfTrue="1">
      <formula>$I$46=$T$12</formula>
    </cfRule>
  </conditionalFormatting>
  <conditionalFormatting sqref="J62 J55:K55 J60:K60 J47:K47">
    <cfRule type="expression" dxfId="28" priority="9" stopIfTrue="1">
      <formula>$J$46=$T$13</formula>
    </cfRule>
  </conditionalFormatting>
  <conditionalFormatting sqref="J61:K61 J63:K63 J56:K56">
    <cfRule type="expression" dxfId="27" priority="10" stopIfTrue="1">
      <formula>$J$46=$T$12</formula>
    </cfRule>
  </conditionalFormatting>
  <conditionalFormatting sqref="F27:G27 F32:G32 F19:G19 F34:G34">
    <cfRule type="expression" dxfId="26" priority="11" stopIfTrue="1">
      <formula>$F$17=$T$13</formula>
    </cfRule>
  </conditionalFormatting>
  <conditionalFormatting sqref="F33:G33 F35:G35 F28:G28">
    <cfRule type="expression" dxfId="25" priority="12" stopIfTrue="1">
      <formula>$F$17=$T$12</formula>
    </cfRule>
  </conditionalFormatting>
  <conditionalFormatting sqref="H34 H27 H32 H19">
    <cfRule type="expression" dxfId="24" priority="13" stopIfTrue="1">
      <formula>$H$17=$T$13</formula>
    </cfRule>
  </conditionalFormatting>
  <conditionalFormatting sqref="H28 H33 H35">
    <cfRule type="expression" dxfId="23" priority="14" stopIfTrue="1">
      <formula>$H$17=$T$12</formula>
    </cfRule>
  </conditionalFormatting>
  <conditionalFormatting sqref="I34 I27 I32 I19">
    <cfRule type="expression" dxfId="22" priority="15" stopIfTrue="1">
      <formula>$I$17=$T$13</formula>
    </cfRule>
  </conditionalFormatting>
  <conditionalFormatting sqref="I28 I33 I35">
    <cfRule type="expression" dxfId="21" priority="16" stopIfTrue="1">
      <formula>$I$17=$T$12</formula>
    </cfRule>
  </conditionalFormatting>
  <conditionalFormatting sqref="J34 J27:K27 J32:K32 J19:K19">
    <cfRule type="expression" dxfId="20" priority="17" stopIfTrue="1">
      <formula>$J$17=$T$13</formula>
    </cfRule>
  </conditionalFormatting>
  <conditionalFormatting sqref="J33:K33 J35:K35 J28:K28">
    <cfRule type="expression" dxfId="19" priority="18" stopIfTrue="1">
      <formula>$J$17=$T$12</formula>
    </cfRule>
  </conditionalFormatting>
  <conditionalFormatting sqref="F48:G48">
    <cfRule type="expression" dxfId="18" priority="19" stopIfTrue="1">
      <formula>$F$46=$T$13</formula>
    </cfRule>
    <cfRule type="expression" dxfId="17" priority="20" stopIfTrue="1">
      <formula>$F$47=$W$11</formula>
    </cfRule>
  </conditionalFormatting>
  <conditionalFormatting sqref="H48">
    <cfRule type="expression" dxfId="16" priority="21" stopIfTrue="1">
      <formula>$H$46=$T$13</formula>
    </cfRule>
    <cfRule type="expression" dxfId="15" priority="22" stopIfTrue="1">
      <formula>$H$47=$W$11</formula>
    </cfRule>
  </conditionalFormatting>
  <conditionalFormatting sqref="I48">
    <cfRule type="expression" dxfId="14" priority="23" stopIfTrue="1">
      <formula>$I$46=$T$13</formula>
    </cfRule>
    <cfRule type="expression" dxfId="13" priority="24" stopIfTrue="1">
      <formula>$I$47=$W$11</formula>
    </cfRule>
  </conditionalFormatting>
  <conditionalFormatting sqref="J48:K48">
    <cfRule type="expression" dxfId="12" priority="25" stopIfTrue="1">
      <formula>$J$46=$T$13</formula>
    </cfRule>
    <cfRule type="expression" dxfId="11" priority="26" stopIfTrue="1">
      <formula>$J$47=$W$11</formula>
    </cfRule>
  </conditionalFormatting>
  <conditionalFormatting sqref="F20:G20">
    <cfRule type="expression" dxfId="10" priority="27" stopIfTrue="1">
      <formula>$F$17=$T$13</formula>
    </cfRule>
    <cfRule type="expression" dxfId="9" priority="28" stopIfTrue="1">
      <formula>$F$19=$W$11</formula>
    </cfRule>
  </conditionalFormatting>
  <conditionalFormatting sqref="H20">
    <cfRule type="expression" dxfId="8" priority="29" stopIfTrue="1">
      <formula>$H$17=$T$13</formula>
    </cfRule>
    <cfRule type="expression" dxfId="7" priority="30" stopIfTrue="1">
      <formula>$H$19=$W$11</formula>
    </cfRule>
  </conditionalFormatting>
  <conditionalFormatting sqref="I20">
    <cfRule type="expression" dxfId="6" priority="31" stopIfTrue="1">
      <formula>$I$17=$T$13</formula>
    </cfRule>
    <cfRule type="expression" dxfId="5" priority="32" stopIfTrue="1">
      <formula>$I$19=$W$11</formula>
    </cfRule>
  </conditionalFormatting>
  <conditionalFormatting sqref="J20:K20">
    <cfRule type="expression" dxfId="4" priority="33" stopIfTrue="1">
      <formula>$J$17=$T$13</formula>
    </cfRule>
    <cfRule type="expression" dxfId="3" priority="34" stopIfTrue="1">
      <formula>$J$19=$W$11</formula>
    </cfRule>
  </conditionalFormatting>
  <conditionalFormatting sqref="K62">
    <cfRule type="expression" dxfId="2" priority="1" stopIfTrue="1">
      <formula>$J$46=$T$13</formula>
    </cfRule>
  </conditionalFormatting>
  <conditionalFormatting sqref="K34">
    <cfRule type="expression" dxfId="1" priority="2" stopIfTrue="1">
      <formula>$J$17=$T$13</formula>
    </cfRule>
  </conditionalFormatting>
  <conditionalFormatting sqref="E20 P21:BK22 L20:O21">
    <cfRule type="expression" dxfId="0" priority="35" stopIfTrue="1">
      <formula>#REF!=$R$13</formula>
    </cfRule>
  </conditionalFormatting>
  <dataValidations count="3">
    <dataValidation type="list" allowBlank="1" showInputMessage="1" showErrorMessage="1" sqref="F18:K18">
      <formula1>$R$17:$S$17</formula1>
    </dataValidation>
    <dataValidation type="list" allowBlank="1" showInputMessage="1" showErrorMessage="1" sqref="F17:K17 F46:K46">
      <formula1>$T$12:$T$13</formula1>
    </dataValidation>
    <dataValidation type="list" allowBlank="1" showInputMessage="1" showErrorMessage="1" sqref="F19:K19 F47:K47">
      <formula1>$W$11:$W$14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E139"/>
  <sheetViews>
    <sheetView view="pageBreakPreview" zoomScale="55" zoomScaleNormal="55" zoomScaleSheetLayoutView="55" workbookViewId="0">
      <selection activeCell="K40" sqref="K40"/>
    </sheetView>
  </sheetViews>
  <sheetFormatPr defaultRowHeight="12.75" x14ac:dyDescent="0.2"/>
  <cols>
    <col min="2" max="2" width="16.28515625" style="138" bestFit="1" customWidth="1"/>
    <col min="3" max="3" width="34.7109375" style="138" bestFit="1" customWidth="1"/>
    <col min="4" max="4" width="11.85546875" style="138" bestFit="1" customWidth="1"/>
    <col min="5" max="5" width="9.140625" style="138"/>
    <col min="6" max="6" width="10.85546875" style="138" bestFit="1" customWidth="1"/>
    <col min="7" max="7" width="12.42578125" style="138" bestFit="1" customWidth="1"/>
    <col min="8" max="8" width="27.28515625" style="138" customWidth="1"/>
    <col min="10" max="10" width="16.28515625" bestFit="1" customWidth="1"/>
    <col min="11" max="11" width="25.42578125" customWidth="1"/>
    <col min="12" max="12" width="24.7109375" bestFit="1" customWidth="1"/>
    <col min="15" max="15" width="12" customWidth="1"/>
    <col min="16" max="16" width="11.7109375" customWidth="1"/>
    <col min="18" max="18" width="7.28515625" customWidth="1"/>
  </cols>
  <sheetData>
    <row r="1" spans="2:18" ht="13.5" thickBot="1" x14ac:dyDescent="0.25">
      <c r="B1" s="541"/>
      <c r="C1" s="541"/>
      <c r="D1" s="541"/>
      <c r="E1" s="541"/>
      <c r="F1" s="541"/>
      <c r="G1" s="541"/>
      <c r="H1" s="541"/>
      <c r="I1" s="541"/>
      <c r="J1" s="541"/>
      <c r="K1" s="541"/>
      <c r="L1" s="541"/>
      <c r="M1" s="541"/>
      <c r="N1" s="541"/>
      <c r="O1" s="541"/>
      <c r="P1" s="541"/>
      <c r="Q1" s="542" t="s">
        <v>957</v>
      </c>
      <c r="R1" s="543" t="e">
        <f>#REF!+1</f>
        <v>#REF!</v>
      </c>
    </row>
    <row r="2" spans="2:18" ht="15.75" x14ac:dyDescent="0.25">
      <c r="B2" s="544"/>
      <c r="C2" s="545"/>
      <c r="D2" s="545"/>
      <c r="E2" s="984" t="s">
        <v>970</v>
      </c>
      <c r="F2" s="984"/>
      <c r="G2" s="984"/>
      <c r="H2" s="984"/>
      <c r="I2" s="984"/>
      <c r="J2" s="984"/>
      <c r="K2" s="984"/>
      <c r="L2" s="984"/>
      <c r="M2" s="984"/>
      <c r="N2" s="984"/>
      <c r="O2" s="984"/>
      <c r="P2" s="987" t="s">
        <v>851</v>
      </c>
      <c r="Q2" s="988"/>
      <c r="R2" s="632" t="str">
        <f>IF(ISBLANK(General!$E$6),"",General!$E$6)</f>
        <v/>
      </c>
    </row>
    <row r="3" spans="2:18" x14ac:dyDescent="0.2">
      <c r="B3" s="547"/>
      <c r="C3" s="548"/>
      <c r="D3" s="549"/>
      <c r="E3" s="985"/>
      <c r="F3" s="985"/>
      <c r="G3" s="985"/>
      <c r="H3" s="985"/>
      <c r="I3" s="985"/>
      <c r="J3" s="985"/>
      <c r="K3" s="985"/>
      <c r="L3" s="985"/>
      <c r="M3" s="985"/>
      <c r="N3" s="985"/>
      <c r="O3" s="985"/>
      <c r="P3" s="989" t="s">
        <v>958</v>
      </c>
      <c r="Q3" s="990"/>
      <c r="R3" s="550" t="str">
        <f>IF(ISBLANK(General!$E$12),"",General!$E$12)</f>
        <v/>
      </c>
    </row>
    <row r="4" spans="2:18" x14ac:dyDescent="0.2">
      <c r="B4" s="547"/>
      <c r="C4" s="548"/>
      <c r="D4" s="549"/>
      <c r="E4" s="985"/>
      <c r="F4" s="985"/>
      <c r="G4" s="985"/>
      <c r="H4" s="985"/>
      <c r="I4" s="985"/>
      <c r="J4" s="985"/>
      <c r="K4" s="985"/>
      <c r="L4" s="985"/>
      <c r="M4" s="985"/>
      <c r="N4" s="985"/>
      <c r="O4" s="985"/>
      <c r="P4" s="989" t="s">
        <v>959</v>
      </c>
      <c r="Q4" s="990"/>
      <c r="R4" s="551" t="str">
        <f>IF(ISBLANK(General!$E$13),"",General!$E$13)</f>
        <v/>
      </c>
    </row>
    <row r="5" spans="2:18" x14ac:dyDescent="0.2">
      <c r="B5" s="552"/>
      <c r="C5" s="553"/>
      <c r="D5" s="553"/>
      <c r="E5" s="986"/>
      <c r="F5" s="986"/>
      <c r="G5" s="986"/>
      <c r="H5" s="986"/>
      <c r="I5" s="986"/>
      <c r="J5" s="986"/>
      <c r="K5" s="986"/>
      <c r="L5" s="986"/>
      <c r="M5" s="986"/>
      <c r="N5" s="986"/>
      <c r="O5" s="986"/>
      <c r="P5" s="1089" t="s">
        <v>960</v>
      </c>
      <c r="Q5" s="1090"/>
      <c r="R5" s="554" t="str">
        <f>IF(ISBLANK(General!$E$14),"",General!$E$14)</f>
        <v/>
      </c>
    </row>
    <row r="6" spans="2:18" x14ac:dyDescent="0.2">
      <c r="B6" s="1017" t="s">
        <v>897</v>
      </c>
      <c r="C6" s="1018"/>
      <c r="D6" s="1019"/>
      <c r="E6" s="978" t="str">
        <f>IF(ISBLANK(General!$E$8),"",General!$E$8)</f>
        <v/>
      </c>
      <c r="F6" s="979"/>
      <c r="G6" s="979"/>
      <c r="H6" s="979"/>
      <c r="I6" s="1087"/>
      <c r="J6" s="970" t="s">
        <v>961</v>
      </c>
      <c r="K6" s="971"/>
      <c r="L6" s="972"/>
      <c r="M6" s="978" t="str">
        <f>IF(ISBLANK(General!$D$33),"",General!$D$33)</f>
        <v/>
      </c>
      <c r="N6" s="979"/>
      <c r="O6" s="979"/>
      <c r="P6" s="979"/>
      <c r="Q6" s="979"/>
      <c r="R6" s="980"/>
    </row>
    <row r="7" spans="2:18" x14ac:dyDescent="0.2">
      <c r="B7" s="991" t="s">
        <v>962</v>
      </c>
      <c r="C7" s="992"/>
      <c r="D7" s="1020"/>
      <c r="E7" s="981" t="str">
        <f>IF(ISBLANK(General!$E$9),"",General!$E$9)</f>
        <v/>
      </c>
      <c r="F7" s="982"/>
      <c r="G7" s="982"/>
      <c r="H7" s="982"/>
      <c r="I7" s="1088"/>
      <c r="J7" s="975" t="s">
        <v>963</v>
      </c>
      <c r="K7" s="976"/>
      <c r="L7" s="977"/>
      <c r="M7" s="981" t="str">
        <f>IF(ISBLANK(General!$E$33),"",General!$E$33)</f>
        <v/>
      </c>
      <c r="N7" s="982"/>
      <c r="O7" s="982"/>
      <c r="P7" s="982"/>
      <c r="Q7" s="982"/>
      <c r="R7" s="983"/>
    </row>
    <row r="8" spans="2:18" x14ac:dyDescent="0.2">
      <c r="B8" s="1015" t="s">
        <v>932</v>
      </c>
      <c r="C8" s="1016"/>
      <c r="D8" s="1047"/>
      <c r="E8" s="957" t="str">
        <f>IF(ISBLANK(General!$E$17),"",General!$E$17)</f>
        <v/>
      </c>
      <c r="F8" s="958"/>
      <c r="G8" s="958"/>
      <c r="H8" s="958"/>
      <c r="I8" s="1081"/>
      <c r="J8" s="954" t="s">
        <v>930</v>
      </c>
      <c r="K8" s="955"/>
      <c r="L8" s="956"/>
      <c r="M8" s="957" t="str">
        <f>IF(ISBLANK(General!$E$16),"",General!$E$16)</f>
        <v/>
      </c>
      <c r="N8" s="958"/>
      <c r="O8" s="958"/>
      <c r="P8" s="958"/>
      <c r="Q8" s="958"/>
      <c r="R8" s="959"/>
    </row>
    <row r="9" spans="2:18" ht="15.75" x14ac:dyDescent="0.25">
      <c r="B9" s="1013" t="s">
        <v>978</v>
      </c>
      <c r="C9" s="1014"/>
      <c r="D9" s="1014"/>
      <c r="E9" s="1014"/>
      <c r="F9" s="1014"/>
      <c r="G9" s="1014"/>
      <c r="H9" s="1014"/>
      <c r="I9" s="1014"/>
      <c r="J9" s="1014"/>
      <c r="K9" s="1014"/>
      <c r="L9" s="1014"/>
      <c r="M9" s="1014"/>
      <c r="N9" s="1014"/>
      <c r="O9" s="1014"/>
      <c r="P9" s="1014"/>
      <c r="Q9" s="1014"/>
      <c r="R9" s="1082"/>
    </row>
    <row r="11" spans="2:18" x14ac:dyDescent="0.2">
      <c r="C11" s="1253" t="s">
        <v>687</v>
      </c>
      <c r="D11" s="1254"/>
      <c r="E11" s="1254"/>
      <c r="F11" s="1254"/>
      <c r="G11" s="1254"/>
      <c r="H11" s="1254"/>
      <c r="I11" s="1254"/>
      <c r="J11" s="1254"/>
      <c r="K11" s="1254"/>
      <c r="L11" s="1254"/>
      <c r="M11" s="1254"/>
      <c r="N11" s="1254"/>
      <c r="O11" s="1254"/>
      <c r="P11" s="1255"/>
    </row>
    <row r="12" spans="2:18" x14ac:dyDescent="0.2">
      <c r="C12" s="1256"/>
      <c r="D12" s="1257"/>
      <c r="E12" s="1257"/>
      <c r="F12" s="1257"/>
      <c r="G12" s="1257"/>
      <c r="H12" s="1257"/>
      <c r="I12" s="1257"/>
      <c r="J12" s="1257"/>
      <c r="K12" s="1257"/>
      <c r="L12" s="1257"/>
      <c r="M12" s="1257"/>
      <c r="N12" s="1257"/>
      <c r="O12" s="1257"/>
      <c r="P12" s="1258"/>
    </row>
    <row r="13" spans="2:18" ht="15.75" x14ac:dyDescent="0.2">
      <c r="C13" s="1267" t="s">
        <v>18</v>
      </c>
      <c r="D13" s="1268"/>
      <c r="E13" s="1173" t="s">
        <v>168</v>
      </c>
      <c r="F13" s="1173"/>
      <c r="G13" s="1173"/>
      <c r="H13" s="1173"/>
      <c r="I13" s="1173"/>
      <c r="J13" s="757" t="s">
        <v>635</v>
      </c>
      <c r="K13" s="1271" t="s">
        <v>245</v>
      </c>
      <c r="L13" s="757" t="s">
        <v>632</v>
      </c>
      <c r="M13" s="1173" t="s">
        <v>633</v>
      </c>
      <c r="N13" s="1173"/>
      <c r="O13" s="1173" t="s">
        <v>634</v>
      </c>
      <c r="P13" s="1173"/>
    </row>
    <row r="14" spans="2:18" ht="15.75" x14ac:dyDescent="0.2">
      <c r="C14" s="1269"/>
      <c r="D14" s="1270"/>
      <c r="E14" s="1173" t="s">
        <v>169</v>
      </c>
      <c r="F14" s="1173"/>
      <c r="G14" s="1173"/>
      <c r="H14" s="1173"/>
      <c r="I14" s="1173"/>
      <c r="J14" s="757" t="s">
        <v>78</v>
      </c>
      <c r="K14" s="1272"/>
      <c r="L14" s="757" t="s">
        <v>78</v>
      </c>
      <c r="M14" s="1173" t="s">
        <v>216</v>
      </c>
      <c r="N14" s="1173"/>
      <c r="O14" s="1173" t="s">
        <v>979</v>
      </c>
      <c r="P14" s="1173"/>
    </row>
    <row r="15" spans="2:18" ht="15" customHeight="1" x14ac:dyDescent="0.2">
      <c r="C15" s="1261" t="s">
        <v>572</v>
      </c>
      <c r="D15" s="1261"/>
      <c r="E15" s="1261" t="s">
        <v>570</v>
      </c>
      <c r="F15" s="1261"/>
      <c r="G15" s="1261"/>
      <c r="H15" s="1261"/>
      <c r="I15" s="1261"/>
      <c r="J15" s="758">
        <v>36</v>
      </c>
      <c r="K15" s="758" t="s">
        <v>628</v>
      </c>
      <c r="L15" s="758">
        <f t="shared" ref="L15:L40" si="0">IF(K15="",J15,HLOOKUP(K15,$O$112:$AE$138,VLOOKUP(J15,$M$110:$N$135,2,FALSE),FALSE))</f>
        <v>35.25</v>
      </c>
      <c r="M15" s="1261">
        <v>157</v>
      </c>
      <c r="N15" s="1261"/>
      <c r="O15" s="1259">
        <f t="shared" ref="O15:O40" si="1">PI()*0.25*((L15*0.083333)^2)*M15</f>
        <v>1064.0004459233262</v>
      </c>
      <c r="P15" s="1259"/>
    </row>
    <row r="16" spans="2:18" ht="15" customHeight="1" x14ac:dyDescent="0.2">
      <c r="C16" s="1262" t="s">
        <v>573</v>
      </c>
      <c r="D16" s="1262"/>
      <c r="E16" s="1262" t="s">
        <v>571</v>
      </c>
      <c r="F16" s="1262"/>
      <c r="G16" s="1262"/>
      <c r="H16" s="1262"/>
      <c r="I16" s="1262"/>
      <c r="J16" s="759">
        <v>36</v>
      </c>
      <c r="K16" s="759" t="s">
        <v>628</v>
      </c>
      <c r="L16" s="759">
        <f t="shared" si="0"/>
        <v>35.25</v>
      </c>
      <c r="M16" s="1262">
        <v>223</v>
      </c>
      <c r="N16" s="1262"/>
      <c r="O16" s="1252">
        <f t="shared" si="1"/>
        <v>1511.2872575853614</v>
      </c>
      <c r="P16" s="1252"/>
    </row>
    <row r="17" spans="3:16" ht="15" customHeight="1" x14ac:dyDescent="0.2">
      <c r="C17" s="1262" t="s">
        <v>575</v>
      </c>
      <c r="D17" s="1262"/>
      <c r="E17" s="1262" t="s">
        <v>640</v>
      </c>
      <c r="F17" s="1262"/>
      <c r="G17" s="1262"/>
      <c r="H17" s="1262"/>
      <c r="I17" s="1262"/>
      <c r="J17" s="759">
        <v>24</v>
      </c>
      <c r="K17" s="759" t="s">
        <v>628</v>
      </c>
      <c r="L17" s="759">
        <f t="shared" si="0"/>
        <v>23.25</v>
      </c>
      <c r="M17" s="1262">
        <f>7+4+31+11+1+9</f>
        <v>63</v>
      </c>
      <c r="N17" s="1262"/>
      <c r="O17" s="1252">
        <f t="shared" si="1"/>
        <v>185.74211173611118</v>
      </c>
      <c r="P17" s="1252"/>
    </row>
    <row r="18" spans="3:16" ht="15" customHeight="1" x14ac:dyDescent="0.2">
      <c r="C18" s="1266" t="s">
        <v>574</v>
      </c>
      <c r="D18" s="1266"/>
      <c r="E18" s="1262" t="s">
        <v>641</v>
      </c>
      <c r="F18" s="1262"/>
      <c r="G18" s="1262"/>
      <c r="H18" s="1262"/>
      <c r="I18" s="1262"/>
      <c r="J18" s="759">
        <v>24</v>
      </c>
      <c r="K18" s="759" t="s">
        <v>628</v>
      </c>
      <c r="L18" s="759">
        <f t="shared" si="0"/>
        <v>23.25</v>
      </c>
      <c r="M18" s="1262">
        <f>M17</f>
        <v>63</v>
      </c>
      <c r="N18" s="1262"/>
      <c r="O18" s="1252">
        <f t="shared" si="1"/>
        <v>185.74211173611118</v>
      </c>
      <c r="P18" s="1252"/>
    </row>
    <row r="19" spans="3:16" ht="15" customHeight="1" x14ac:dyDescent="0.2">
      <c r="C19" s="1266" t="s">
        <v>657</v>
      </c>
      <c r="D19" s="1266"/>
      <c r="E19" s="1262" t="s">
        <v>658</v>
      </c>
      <c r="F19" s="1262"/>
      <c r="G19" s="1262"/>
      <c r="H19" s="1262"/>
      <c r="I19" s="1262"/>
      <c r="J19" s="759">
        <v>24</v>
      </c>
      <c r="K19" s="759" t="s">
        <v>628</v>
      </c>
      <c r="L19" s="759">
        <f t="shared" si="0"/>
        <v>23.25</v>
      </c>
      <c r="M19" s="1262">
        <v>73</v>
      </c>
      <c r="N19" s="1262"/>
      <c r="O19" s="1252">
        <f t="shared" si="1"/>
        <v>215.22498661485898</v>
      </c>
      <c r="P19" s="1252"/>
    </row>
    <row r="20" spans="3:16" ht="15" customHeight="1" x14ac:dyDescent="0.2">
      <c r="C20" s="1266" t="s">
        <v>656</v>
      </c>
      <c r="D20" s="1266"/>
      <c r="E20" s="1262" t="s">
        <v>579</v>
      </c>
      <c r="F20" s="1262"/>
      <c r="G20" s="1262"/>
      <c r="H20" s="1262"/>
      <c r="I20" s="1262"/>
      <c r="J20" s="759">
        <v>24</v>
      </c>
      <c r="K20" s="759" t="s">
        <v>628</v>
      </c>
      <c r="L20" s="759">
        <f t="shared" si="0"/>
        <v>23.25</v>
      </c>
      <c r="M20" s="1262">
        <v>50</v>
      </c>
      <c r="N20" s="1262"/>
      <c r="O20" s="1252">
        <f t="shared" si="1"/>
        <v>147.41437439373902</v>
      </c>
      <c r="P20" s="1252"/>
    </row>
    <row r="21" spans="3:16" ht="15" customHeight="1" x14ac:dyDescent="0.2">
      <c r="C21" s="1266" t="s">
        <v>578</v>
      </c>
      <c r="D21" s="1266"/>
      <c r="E21" s="1262" t="s">
        <v>580</v>
      </c>
      <c r="F21" s="1262"/>
      <c r="G21" s="1262"/>
      <c r="H21" s="1262"/>
      <c r="I21" s="1262"/>
      <c r="J21" s="759">
        <v>24</v>
      </c>
      <c r="K21" s="759" t="s">
        <v>628</v>
      </c>
      <c r="L21" s="759">
        <f t="shared" si="0"/>
        <v>23.25</v>
      </c>
      <c r="M21" s="1262">
        <v>50</v>
      </c>
      <c r="N21" s="1262"/>
      <c r="O21" s="1252">
        <f t="shared" si="1"/>
        <v>147.41437439373902</v>
      </c>
      <c r="P21" s="1252"/>
    </row>
    <row r="22" spans="3:16" ht="15" customHeight="1" x14ac:dyDescent="0.2">
      <c r="C22" s="1266" t="s">
        <v>582</v>
      </c>
      <c r="D22" s="1266"/>
      <c r="E22" s="1262" t="s">
        <v>583</v>
      </c>
      <c r="F22" s="1262"/>
      <c r="G22" s="1262"/>
      <c r="H22" s="1262"/>
      <c r="I22" s="1262"/>
      <c r="J22" s="759">
        <v>24</v>
      </c>
      <c r="K22" s="759" t="s">
        <v>628</v>
      </c>
      <c r="L22" s="759">
        <f t="shared" si="0"/>
        <v>23.25</v>
      </c>
      <c r="M22" s="1262">
        <v>13</v>
      </c>
      <c r="N22" s="1262"/>
      <c r="O22" s="1252">
        <f t="shared" si="1"/>
        <v>38.327737342372146</v>
      </c>
      <c r="P22" s="1252"/>
    </row>
    <row r="23" spans="3:16" ht="15" customHeight="1" x14ac:dyDescent="0.2">
      <c r="C23" s="1266" t="s">
        <v>592</v>
      </c>
      <c r="D23" s="1266"/>
      <c r="E23" s="1262" t="s">
        <v>585</v>
      </c>
      <c r="F23" s="1262"/>
      <c r="G23" s="1262"/>
      <c r="H23" s="1262"/>
      <c r="I23" s="1262"/>
      <c r="J23" s="759">
        <v>24</v>
      </c>
      <c r="K23" s="759" t="s">
        <v>628</v>
      </c>
      <c r="L23" s="759">
        <f t="shared" si="0"/>
        <v>23.25</v>
      </c>
      <c r="M23" s="1262">
        <v>13</v>
      </c>
      <c r="N23" s="1262"/>
      <c r="O23" s="1252">
        <f t="shared" si="1"/>
        <v>38.327737342372146</v>
      </c>
      <c r="P23" s="1252"/>
    </row>
    <row r="24" spans="3:16" ht="15" customHeight="1" x14ac:dyDescent="0.2">
      <c r="C24" s="1266" t="s">
        <v>588</v>
      </c>
      <c r="D24" s="1266"/>
      <c r="E24" s="1262" t="s">
        <v>590</v>
      </c>
      <c r="F24" s="1262"/>
      <c r="G24" s="1262"/>
      <c r="H24" s="1262"/>
      <c r="I24" s="1262"/>
      <c r="J24" s="759">
        <v>24</v>
      </c>
      <c r="K24" s="759" t="s">
        <v>628</v>
      </c>
      <c r="L24" s="759">
        <f t="shared" si="0"/>
        <v>23.25</v>
      </c>
      <c r="M24" s="1262">
        <v>85</v>
      </c>
      <c r="N24" s="1262"/>
      <c r="O24" s="1252">
        <f t="shared" si="1"/>
        <v>250.60443646935636</v>
      </c>
      <c r="P24" s="1252"/>
    </row>
    <row r="25" spans="3:16" ht="15" customHeight="1" x14ac:dyDescent="0.2">
      <c r="C25" s="1266" t="s">
        <v>589</v>
      </c>
      <c r="D25" s="1266"/>
      <c r="E25" s="1262" t="s">
        <v>591</v>
      </c>
      <c r="F25" s="1262"/>
      <c r="G25" s="1262"/>
      <c r="H25" s="1262"/>
      <c r="I25" s="1262"/>
      <c r="J25" s="759">
        <v>24</v>
      </c>
      <c r="K25" s="759" t="s">
        <v>628</v>
      </c>
      <c r="L25" s="759">
        <f t="shared" si="0"/>
        <v>23.25</v>
      </c>
      <c r="M25" s="1262">
        <v>85</v>
      </c>
      <c r="N25" s="1262"/>
      <c r="O25" s="1252">
        <f t="shared" si="1"/>
        <v>250.60443646935636</v>
      </c>
      <c r="P25" s="1252"/>
    </row>
    <row r="26" spans="3:16" ht="15" customHeight="1" x14ac:dyDescent="0.2">
      <c r="C26" s="1266" t="s">
        <v>593</v>
      </c>
      <c r="D26" s="1266"/>
      <c r="E26" s="1262" t="s">
        <v>595</v>
      </c>
      <c r="F26" s="1262"/>
      <c r="G26" s="1262"/>
      <c r="H26" s="1262"/>
      <c r="I26" s="1262"/>
      <c r="J26" s="759">
        <v>30</v>
      </c>
      <c r="K26" s="759" t="s">
        <v>628</v>
      </c>
      <c r="L26" s="759">
        <f t="shared" si="0"/>
        <v>29.25</v>
      </c>
      <c r="M26" s="1262">
        <v>75</v>
      </c>
      <c r="N26" s="1262"/>
      <c r="O26" s="1252">
        <f t="shared" si="1"/>
        <v>349.97491693997466</v>
      </c>
      <c r="P26" s="1252"/>
    </row>
    <row r="27" spans="3:16" ht="15" customHeight="1" x14ac:dyDescent="0.2">
      <c r="C27" s="1266" t="s">
        <v>594</v>
      </c>
      <c r="D27" s="1266"/>
      <c r="E27" s="1262" t="s">
        <v>596</v>
      </c>
      <c r="F27" s="1262"/>
      <c r="G27" s="1262"/>
      <c r="H27" s="1262"/>
      <c r="I27" s="1262"/>
      <c r="J27" s="759">
        <v>30</v>
      </c>
      <c r="K27" s="759" t="s">
        <v>628</v>
      </c>
      <c r="L27" s="759">
        <f t="shared" si="0"/>
        <v>29.25</v>
      </c>
      <c r="M27" s="1262">
        <v>75</v>
      </c>
      <c r="N27" s="1262"/>
      <c r="O27" s="1252">
        <f t="shared" si="1"/>
        <v>349.97491693997466</v>
      </c>
      <c r="P27" s="1252"/>
    </row>
    <row r="28" spans="3:16" ht="15" customHeight="1" x14ac:dyDescent="0.2">
      <c r="C28" s="1266" t="s">
        <v>597</v>
      </c>
      <c r="D28" s="1266"/>
      <c r="E28" s="1262" t="s">
        <v>598</v>
      </c>
      <c r="F28" s="1262"/>
      <c r="G28" s="1262"/>
      <c r="H28" s="1262"/>
      <c r="I28" s="1262"/>
      <c r="J28" s="759">
        <v>36</v>
      </c>
      <c r="K28" s="759" t="s">
        <v>628</v>
      </c>
      <c r="L28" s="759">
        <f t="shared" si="0"/>
        <v>35.25</v>
      </c>
      <c r="M28" s="1262">
        <v>110</v>
      </c>
      <c r="N28" s="1262"/>
      <c r="O28" s="1252">
        <f t="shared" si="1"/>
        <v>745.47801943672539</v>
      </c>
      <c r="P28" s="1252"/>
    </row>
    <row r="29" spans="3:16" ht="15" customHeight="1" x14ac:dyDescent="0.2">
      <c r="C29" s="1266" t="s">
        <v>599</v>
      </c>
      <c r="D29" s="1266"/>
      <c r="E29" s="1262" t="s">
        <v>600</v>
      </c>
      <c r="F29" s="1262"/>
      <c r="G29" s="1262"/>
      <c r="H29" s="1262"/>
      <c r="I29" s="1262"/>
      <c r="J29" s="759">
        <v>36</v>
      </c>
      <c r="K29" s="759" t="s">
        <v>628</v>
      </c>
      <c r="L29" s="759">
        <f t="shared" si="0"/>
        <v>35.25</v>
      </c>
      <c r="M29" s="1262">
        <v>67</v>
      </c>
      <c r="N29" s="1262"/>
      <c r="O29" s="1252">
        <f t="shared" si="1"/>
        <v>454.06388456600547</v>
      </c>
      <c r="P29" s="1252"/>
    </row>
    <row r="30" spans="3:16" ht="15" customHeight="1" x14ac:dyDescent="0.2">
      <c r="C30" s="1266" t="s">
        <v>601</v>
      </c>
      <c r="D30" s="1266"/>
      <c r="E30" s="1262" t="s">
        <v>603</v>
      </c>
      <c r="F30" s="1262"/>
      <c r="G30" s="1262"/>
      <c r="H30" s="1262"/>
      <c r="I30" s="1262"/>
      <c r="J30" s="759">
        <v>36</v>
      </c>
      <c r="K30" s="759" t="s">
        <v>628</v>
      </c>
      <c r="L30" s="759">
        <f t="shared" si="0"/>
        <v>35.25</v>
      </c>
      <c r="M30" s="1262">
        <v>160</v>
      </c>
      <c r="N30" s="1262"/>
      <c r="O30" s="1252">
        <f t="shared" si="1"/>
        <v>1084.3316646352368</v>
      </c>
      <c r="P30" s="1252"/>
    </row>
    <row r="31" spans="3:16" ht="15" customHeight="1" x14ac:dyDescent="0.2">
      <c r="C31" s="1266" t="s">
        <v>602</v>
      </c>
      <c r="D31" s="1266"/>
      <c r="E31" s="1262" t="s">
        <v>604</v>
      </c>
      <c r="F31" s="1262"/>
      <c r="G31" s="1262"/>
      <c r="H31" s="1262"/>
      <c r="I31" s="1262"/>
      <c r="J31" s="759">
        <v>14</v>
      </c>
      <c r="K31" s="759" t="s">
        <v>628</v>
      </c>
      <c r="L31" s="759">
        <f t="shared" si="0"/>
        <v>13.25</v>
      </c>
      <c r="M31" s="1262">
        <v>10</v>
      </c>
      <c r="N31" s="1262"/>
      <c r="O31" s="1252">
        <f t="shared" si="1"/>
        <v>9.5753723591632109</v>
      </c>
      <c r="P31" s="1252"/>
    </row>
    <row r="32" spans="3:16" ht="15" customHeight="1" x14ac:dyDescent="0.2">
      <c r="C32" s="1266" t="s">
        <v>605</v>
      </c>
      <c r="D32" s="1266"/>
      <c r="E32" s="1262" t="s">
        <v>606</v>
      </c>
      <c r="F32" s="1262"/>
      <c r="G32" s="1262"/>
      <c r="H32" s="1262"/>
      <c r="I32" s="1262"/>
      <c r="J32" s="759">
        <v>36</v>
      </c>
      <c r="K32" s="759" t="s">
        <v>628</v>
      </c>
      <c r="L32" s="759">
        <f t="shared" si="0"/>
        <v>35.25</v>
      </c>
      <c r="M32" s="1262">
        <v>73</v>
      </c>
      <c r="N32" s="1262"/>
      <c r="O32" s="1252">
        <f t="shared" si="1"/>
        <v>494.72632198982683</v>
      </c>
      <c r="P32" s="1252"/>
    </row>
    <row r="33" spans="3:16" ht="15" customHeight="1" x14ac:dyDescent="0.2">
      <c r="C33" s="1266" t="s">
        <v>607</v>
      </c>
      <c r="D33" s="1266"/>
      <c r="E33" s="1262" t="s">
        <v>608</v>
      </c>
      <c r="F33" s="1262"/>
      <c r="G33" s="1262"/>
      <c r="H33" s="1262"/>
      <c r="I33" s="1262"/>
      <c r="J33" s="759">
        <v>36</v>
      </c>
      <c r="K33" s="759" t="s">
        <v>628</v>
      </c>
      <c r="L33" s="759">
        <f t="shared" si="0"/>
        <v>35.25</v>
      </c>
      <c r="M33" s="1262">
        <v>136</v>
      </c>
      <c r="N33" s="1262"/>
      <c r="O33" s="1252">
        <f t="shared" si="1"/>
        <v>921.68191493995141</v>
      </c>
      <c r="P33" s="1252"/>
    </row>
    <row r="34" spans="3:16" ht="15" customHeight="1" x14ac:dyDescent="0.2">
      <c r="C34" s="1266" t="s">
        <v>609</v>
      </c>
      <c r="D34" s="1266"/>
      <c r="E34" s="1262" t="s">
        <v>610</v>
      </c>
      <c r="F34" s="1262"/>
      <c r="G34" s="1262"/>
      <c r="H34" s="1262"/>
      <c r="I34" s="1262"/>
      <c r="J34" s="759">
        <v>24</v>
      </c>
      <c r="K34" s="759" t="s">
        <v>628</v>
      </c>
      <c r="L34" s="759">
        <f t="shared" si="0"/>
        <v>23.25</v>
      </c>
      <c r="M34" s="1262">
        <v>200</v>
      </c>
      <c r="N34" s="1262"/>
      <c r="O34" s="1252">
        <f t="shared" si="1"/>
        <v>589.6574975749561</v>
      </c>
      <c r="P34" s="1252"/>
    </row>
    <row r="35" spans="3:16" ht="15" customHeight="1" x14ac:dyDescent="0.2">
      <c r="C35" s="1266" t="s">
        <v>612</v>
      </c>
      <c r="D35" s="1266"/>
      <c r="E35" s="1262" t="s">
        <v>613</v>
      </c>
      <c r="F35" s="1262"/>
      <c r="G35" s="1262"/>
      <c r="H35" s="1262"/>
      <c r="I35" s="1262"/>
      <c r="J35" s="759">
        <v>30</v>
      </c>
      <c r="K35" s="759" t="s">
        <v>628</v>
      </c>
      <c r="L35" s="759">
        <f t="shared" si="0"/>
        <v>29.25</v>
      </c>
      <c r="M35" s="1262">
        <v>50</v>
      </c>
      <c r="N35" s="1262"/>
      <c r="O35" s="1252">
        <f t="shared" si="1"/>
        <v>233.31661129331644</v>
      </c>
      <c r="P35" s="1252"/>
    </row>
    <row r="36" spans="3:16" ht="15" customHeight="1" x14ac:dyDescent="0.2">
      <c r="C36" s="1266" t="s">
        <v>614</v>
      </c>
      <c r="D36" s="1266"/>
      <c r="E36" s="1262" t="s">
        <v>615</v>
      </c>
      <c r="F36" s="1262"/>
      <c r="G36" s="1262"/>
      <c r="H36" s="1262"/>
      <c r="I36" s="1262"/>
      <c r="J36" s="759">
        <v>30</v>
      </c>
      <c r="K36" s="759" t="s">
        <v>628</v>
      </c>
      <c r="L36" s="759">
        <f t="shared" si="0"/>
        <v>29.25</v>
      </c>
      <c r="M36" s="1262">
        <v>140</v>
      </c>
      <c r="N36" s="1262"/>
      <c r="O36" s="1252">
        <f t="shared" si="1"/>
        <v>653.28651162128608</v>
      </c>
      <c r="P36" s="1252"/>
    </row>
    <row r="37" spans="3:16" ht="15" customHeight="1" x14ac:dyDescent="0.2">
      <c r="C37" s="1266" t="s">
        <v>617</v>
      </c>
      <c r="D37" s="1266"/>
      <c r="E37" s="1262" t="s">
        <v>618</v>
      </c>
      <c r="F37" s="1262"/>
      <c r="G37" s="1262"/>
      <c r="H37" s="1262"/>
      <c r="I37" s="1262"/>
      <c r="J37" s="759">
        <v>36</v>
      </c>
      <c r="K37" s="759" t="s">
        <v>628</v>
      </c>
      <c r="L37" s="759">
        <f t="shared" si="0"/>
        <v>35.25</v>
      </c>
      <c r="M37" s="1262">
        <v>50</v>
      </c>
      <c r="N37" s="1262"/>
      <c r="O37" s="1252">
        <f t="shared" si="1"/>
        <v>338.85364519851151</v>
      </c>
      <c r="P37" s="1252"/>
    </row>
    <row r="38" spans="3:16" ht="15" customHeight="1" x14ac:dyDescent="0.2">
      <c r="C38" s="1266" t="s">
        <v>704</v>
      </c>
      <c r="D38" s="1266"/>
      <c r="E38" s="1262" t="s">
        <v>570</v>
      </c>
      <c r="F38" s="1262"/>
      <c r="G38" s="1262"/>
      <c r="H38" s="1262"/>
      <c r="I38" s="1262"/>
      <c r="J38" s="759">
        <v>30</v>
      </c>
      <c r="K38" s="759" t="s">
        <v>628</v>
      </c>
      <c r="L38" s="759">
        <f t="shared" si="0"/>
        <v>29.25</v>
      </c>
      <c r="M38" s="1262">
        <v>36</v>
      </c>
      <c r="N38" s="1262"/>
      <c r="O38" s="1252">
        <f t="shared" si="1"/>
        <v>167.98796013118783</v>
      </c>
      <c r="P38" s="1252"/>
    </row>
    <row r="39" spans="3:16" ht="15" customHeight="1" x14ac:dyDescent="0.2">
      <c r="C39" s="1266" t="s">
        <v>619</v>
      </c>
      <c r="D39" s="1266"/>
      <c r="E39" s="1262" t="s">
        <v>620</v>
      </c>
      <c r="F39" s="1262"/>
      <c r="G39" s="1262"/>
      <c r="H39" s="1262"/>
      <c r="I39" s="1262"/>
      <c r="J39" s="759">
        <v>6</v>
      </c>
      <c r="K39" s="759" t="s">
        <v>628</v>
      </c>
      <c r="L39" s="759">
        <f t="shared" si="0"/>
        <v>6.0650000000000004</v>
      </c>
      <c r="M39" s="1262">
        <v>50</v>
      </c>
      <c r="N39" s="1262"/>
      <c r="O39" s="1252">
        <f t="shared" si="1"/>
        <v>10.03126098449955</v>
      </c>
      <c r="P39" s="1252"/>
    </row>
    <row r="40" spans="3:16" ht="15" customHeight="1" x14ac:dyDescent="0.2">
      <c r="C40" s="1273" t="s">
        <v>621</v>
      </c>
      <c r="D40" s="1273"/>
      <c r="E40" s="1265" t="s">
        <v>622</v>
      </c>
      <c r="F40" s="1265"/>
      <c r="G40" s="1265"/>
      <c r="H40" s="1265"/>
      <c r="I40" s="1265"/>
      <c r="J40" s="760">
        <v>6</v>
      </c>
      <c r="K40" s="760" t="s">
        <v>628</v>
      </c>
      <c r="L40" s="760">
        <f t="shared" si="0"/>
        <v>6.0650000000000004</v>
      </c>
      <c r="M40" s="1265">
        <v>50</v>
      </c>
      <c r="N40" s="1265"/>
      <c r="O40" s="1263">
        <f t="shared" si="1"/>
        <v>10.03126098449955</v>
      </c>
      <c r="P40" s="1263"/>
    </row>
    <row r="41" spans="3:16" ht="15" customHeight="1" x14ac:dyDescent="0.2">
      <c r="C41" s="1101"/>
      <c r="D41" s="1102"/>
      <c r="E41" s="1102"/>
      <c r="F41" s="1102"/>
      <c r="G41" s="1102"/>
      <c r="H41" s="1102"/>
      <c r="I41" s="1102"/>
      <c r="J41" s="1102"/>
      <c r="K41" s="1102"/>
      <c r="L41" s="1103"/>
      <c r="M41" s="1264" t="s">
        <v>654</v>
      </c>
      <c r="N41" s="1264"/>
      <c r="O41" s="1260">
        <f>SUM(O15:O40)</f>
        <v>10447.661769601813</v>
      </c>
      <c r="P41" s="1260"/>
    </row>
    <row r="42" spans="3:16" ht="15" x14ac:dyDescent="0.2">
      <c r="J42" s="144"/>
      <c r="K42" s="132"/>
      <c r="L42" s="143"/>
    </row>
    <row r="43" spans="3:16" ht="15" x14ac:dyDescent="0.2">
      <c r="J43" s="144"/>
      <c r="K43" s="132"/>
      <c r="L43" s="143"/>
    </row>
    <row r="44" spans="3:16" ht="15" x14ac:dyDescent="0.2">
      <c r="J44" s="144"/>
      <c r="K44" s="132"/>
      <c r="L44" s="143"/>
    </row>
    <row r="45" spans="3:16" ht="15" x14ac:dyDescent="0.2">
      <c r="J45" s="144"/>
      <c r="K45" s="132"/>
      <c r="L45" s="143"/>
    </row>
    <row r="77" spans="10:12" ht="15" x14ac:dyDescent="0.2">
      <c r="J77" s="145"/>
      <c r="K77" s="132"/>
      <c r="L77" s="143"/>
    </row>
    <row r="78" spans="10:12" ht="15" x14ac:dyDescent="0.2">
      <c r="J78" s="144"/>
      <c r="K78" s="132"/>
      <c r="L78" s="143"/>
    </row>
    <row r="98" spans="13:31" x14ac:dyDescent="0.2">
      <c r="P98">
        <v>4</v>
      </c>
    </row>
    <row r="99" spans="13:31" x14ac:dyDescent="0.2">
      <c r="P99">
        <v>40</v>
      </c>
    </row>
    <row r="100" spans="13:31" x14ac:dyDescent="0.2">
      <c r="P100">
        <f>IF(P99="",P98,HLOOKUP(P99,O112:AE126,VLOOKUP(P98,M110:N135,2,FALSE),FALSE))</f>
        <v>4.0259999999999998</v>
      </c>
    </row>
    <row r="101" spans="13:31" hidden="1" x14ac:dyDescent="0.2"/>
    <row r="102" spans="13:31" hidden="1" x14ac:dyDescent="0.2"/>
    <row r="103" spans="13:31" hidden="1" x14ac:dyDescent="0.2"/>
    <row r="104" spans="13:31" hidden="1" x14ac:dyDescent="0.2">
      <c r="M104" s="49" t="s">
        <v>636</v>
      </c>
    </row>
    <row r="105" spans="13:31" hidden="1" x14ac:dyDescent="0.2">
      <c r="N105" s="49" t="s">
        <v>637</v>
      </c>
    </row>
    <row r="106" spans="13:31" hidden="1" x14ac:dyDescent="0.2">
      <c r="N106" s="49" t="s">
        <v>638</v>
      </c>
    </row>
    <row r="107" spans="13:31" hidden="1" x14ac:dyDescent="0.2"/>
    <row r="108" spans="13:31" hidden="1" x14ac:dyDescent="0.2"/>
    <row r="109" spans="13:31" hidden="1" x14ac:dyDescent="0.2">
      <c r="M109" s="139" t="s">
        <v>623</v>
      </c>
      <c r="N109" s="140" t="s">
        <v>639</v>
      </c>
      <c r="O109" s="139" t="s">
        <v>624</v>
      </c>
      <c r="P109" s="139" t="s">
        <v>625</v>
      </c>
      <c r="Q109" s="139" t="s">
        <v>626</v>
      </c>
      <c r="R109" s="139" t="s">
        <v>627</v>
      </c>
    </row>
    <row r="110" spans="13:31" hidden="1" x14ac:dyDescent="0.2">
      <c r="M110" s="139">
        <v>0.5</v>
      </c>
      <c r="N110" s="141">
        <v>2</v>
      </c>
      <c r="O110" s="139">
        <v>0.71</v>
      </c>
      <c r="P110" s="139">
        <v>0.67400000000000004</v>
      </c>
      <c r="Q110" s="139">
        <v>0.622</v>
      </c>
      <c r="R110" s="139">
        <v>0.54600000000000004</v>
      </c>
    </row>
    <row r="111" spans="13:31" hidden="1" x14ac:dyDescent="0.2">
      <c r="M111" s="139">
        <v>0.75</v>
      </c>
      <c r="N111" s="141">
        <f t="shared" ref="N111:N135" si="2">N110+1</f>
        <v>3</v>
      </c>
      <c r="O111" s="139">
        <v>0.92</v>
      </c>
      <c r="P111" s="139">
        <v>0.88400000000000001</v>
      </c>
      <c r="Q111" s="139">
        <v>0.82399999999999995</v>
      </c>
      <c r="R111" s="139">
        <v>0.74199999999999999</v>
      </c>
    </row>
    <row r="112" spans="13:31" hidden="1" x14ac:dyDescent="0.2">
      <c r="M112" s="139">
        <v>1</v>
      </c>
      <c r="N112" s="141">
        <f t="shared" si="2"/>
        <v>4</v>
      </c>
      <c r="O112" s="139">
        <v>1.1850000000000001</v>
      </c>
      <c r="P112" s="139">
        <v>1.097</v>
      </c>
      <c r="Q112" s="139">
        <v>1.0489999999999999</v>
      </c>
      <c r="R112" s="139">
        <v>0.95699999999999996</v>
      </c>
      <c r="S112" s="139">
        <v>10</v>
      </c>
      <c r="T112" s="139">
        <v>20</v>
      </c>
      <c r="U112" s="139">
        <v>30</v>
      </c>
      <c r="V112" s="139">
        <v>40</v>
      </c>
      <c r="W112" s="139">
        <v>60</v>
      </c>
      <c r="X112" s="139">
        <v>80</v>
      </c>
      <c r="Y112" s="139">
        <v>100</v>
      </c>
      <c r="Z112" s="139">
        <v>120</v>
      </c>
      <c r="AA112" s="139">
        <v>140</v>
      </c>
      <c r="AB112" s="139">
        <v>160</v>
      </c>
      <c r="AC112" s="139" t="s">
        <v>628</v>
      </c>
      <c r="AD112" s="139" t="s">
        <v>629</v>
      </c>
      <c r="AE112" s="139" t="s">
        <v>630</v>
      </c>
    </row>
    <row r="113" spans="13:31" hidden="1" x14ac:dyDescent="0.2">
      <c r="M113" s="139">
        <v>1.5</v>
      </c>
      <c r="N113" s="141">
        <f t="shared" si="2"/>
        <v>5</v>
      </c>
      <c r="O113" s="139">
        <v>1.77</v>
      </c>
      <c r="P113" s="139">
        <v>1.6819999999999999</v>
      </c>
      <c r="Q113" s="139">
        <v>1.61</v>
      </c>
      <c r="R113" s="139">
        <v>1.5</v>
      </c>
      <c r="S113" s="139" t="s">
        <v>631</v>
      </c>
      <c r="T113" s="139" t="s">
        <v>631</v>
      </c>
      <c r="U113" s="139" t="s">
        <v>631</v>
      </c>
      <c r="V113" s="139">
        <v>0.622</v>
      </c>
      <c r="W113" s="139" t="s">
        <v>631</v>
      </c>
      <c r="X113" s="139">
        <v>0.54600000000000004</v>
      </c>
      <c r="Y113" s="139" t="s">
        <v>631</v>
      </c>
      <c r="Z113" s="139" t="s">
        <v>631</v>
      </c>
      <c r="AA113" s="139" t="s">
        <v>631</v>
      </c>
      <c r="AB113" s="139">
        <v>0.46600000000000003</v>
      </c>
      <c r="AC113" s="139">
        <v>0.622</v>
      </c>
      <c r="AD113" s="139">
        <v>0.54600000000000004</v>
      </c>
      <c r="AE113" s="139">
        <v>0.252</v>
      </c>
    </row>
    <row r="114" spans="13:31" hidden="1" x14ac:dyDescent="0.2">
      <c r="M114" s="139">
        <v>2</v>
      </c>
      <c r="N114" s="141">
        <f t="shared" si="2"/>
        <v>6</v>
      </c>
      <c r="O114" s="139">
        <v>2.2450000000000001</v>
      </c>
      <c r="P114" s="139">
        <v>2.157</v>
      </c>
      <c r="Q114" s="139">
        <v>2.0670000000000002</v>
      </c>
      <c r="R114" s="139">
        <v>1.9390000000000001</v>
      </c>
      <c r="S114" s="139" t="s">
        <v>631</v>
      </c>
      <c r="T114" s="139" t="s">
        <v>631</v>
      </c>
      <c r="U114" s="139" t="s">
        <v>631</v>
      </c>
      <c r="V114" s="139">
        <v>0.82399999999999995</v>
      </c>
      <c r="W114" s="139" t="s">
        <v>631</v>
      </c>
      <c r="X114" s="139">
        <v>0.74199999999999999</v>
      </c>
      <c r="Y114" s="139" t="s">
        <v>631</v>
      </c>
      <c r="Z114" s="139" t="s">
        <v>631</v>
      </c>
      <c r="AA114" s="139" t="s">
        <v>631</v>
      </c>
      <c r="AB114" s="139">
        <v>0.61199999999999999</v>
      </c>
      <c r="AC114" s="139">
        <v>0.82399999999999995</v>
      </c>
      <c r="AD114" s="139">
        <v>0.74199999999999999</v>
      </c>
      <c r="AE114" s="139">
        <v>0.434</v>
      </c>
    </row>
    <row r="115" spans="13:31" hidden="1" x14ac:dyDescent="0.2">
      <c r="M115" s="139">
        <v>2.5</v>
      </c>
      <c r="N115" s="141">
        <f t="shared" si="2"/>
        <v>7</v>
      </c>
      <c r="O115" s="139">
        <v>2.7090000000000001</v>
      </c>
      <c r="P115" s="139">
        <v>2.6349999999999998</v>
      </c>
      <c r="Q115" s="139">
        <v>2.4689999999999999</v>
      </c>
      <c r="R115" s="139">
        <v>2.323</v>
      </c>
      <c r="S115" s="139" t="s">
        <v>631</v>
      </c>
      <c r="T115" s="139" t="s">
        <v>631</v>
      </c>
      <c r="U115" s="139" t="s">
        <v>631</v>
      </c>
      <c r="V115" s="139">
        <v>1.0489999999999999</v>
      </c>
      <c r="W115" s="139" t="s">
        <v>631</v>
      </c>
      <c r="X115" s="139">
        <v>0.95699999999999996</v>
      </c>
      <c r="Y115" s="139" t="s">
        <v>631</v>
      </c>
      <c r="Z115" s="139" t="s">
        <v>631</v>
      </c>
      <c r="AA115" s="139" t="s">
        <v>631</v>
      </c>
      <c r="AB115" s="139">
        <v>0.81499999999999995</v>
      </c>
      <c r="AC115" s="139">
        <v>1.0489999999999999</v>
      </c>
      <c r="AD115" s="139">
        <v>0.95699999999999996</v>
      </c>
      <c r="AE115" s="139">
        <v>0.59899999999999998</v>
      </c>
    </row>
    <row r="116" spans="13:31" hidden="1" x14ac:dyDescent="0.2">
      <c r="M116" s="139">
        <v>3</v>
      </c>
      <c r="N116" s="141">
        <f t="shared" si="2"/>
        <v>8</v>
      </c>
      <c r="O116" s="139">
        <v>3.3340000000000001</v>
      </c>
      <c r="P116" s="139">
        <v>3.26</v>
      </c>
      <c r="Q116" s="139">
        <v>3.0680000000000001</v>
      </c>
      <c r="R116" s="139">
        <v>2.9</v>
      </c>
      <c r="S116" s="139" t="s">
        <v>631</v>
      </c>
      <c r="T116" s="139" t="s">
        <v>631</v>
      </c>
      <c r="U116" s="139" t="s">
        <v>631</v>
      </c>
      <c r="V116" s="139">
        <v>1.61</v>
      </c>
      <c r="W116" s="139" t="s">
        <v>631</v>
      </c>
      <c r="X116" s="139">
        <v>1.5</v>
      </c>
      <c r="Y116" s="139" t="s">
        <v>631</v>
      </c>
      <c r="Z116" s="139" t="s">
        <v>631</v>
      </c>
      <c r="AA116" s="139" t="s">
        <v>631</v>
      </c>
      <c r="AB116" s="139">
        <v>1.3380000000000001</v>
      </c>
      <c r="AC116" s="139">
        <v>1.61</v>
      </c>
      <c r="AD116" s="139">
        <v>1.5</v>
      </c>
      <c r="AE116" s="139">
        <v>1.1000000000000001</v>
      </c>
    </row>
    <row r="117" spans="13:31" hidden="1" x14ac:dyDescent="0.2">
      <c r="M117" s="139">
        <v>3.5</v>
      </c>
      <c r="N117" s="141">
        <f t="shared" si="2"/>
        <v>9</v>
      </c>
      <c r="O117" s="139">
        <v>3.8340000000000001</v>
      </c>
      <c r="P117" s="139">
        <v>3.76</v>
      </c>
      <c r="Q117" s="139">
        <v>3.548</v>
      </c>
      <c r="R117" s="139">
        <v>3.3639999999999999</v>
      </c>
      <c r="S117" s="139" t="s">
        <v>631</v>
      </c>
      <c r="T117" s="139" t="s">
        <v>631</v>
      </c>
      <c r="U117" s="139" t="s">
        <v>631</v>
      </c>
      <c r="V117" s="139">
        <v>2.0670000000000002</v>
      </c>
      <c r="W117" s="139" t="s">
        <v>631</v>
      </c>
      <c r="X117" s="139">
        <v>1.9390000000000001</v>
      </c>
      <c r="Y117" s="139" t="s">
        <v>631</v>
      </c>
      <c r="Z117" s="139" t="s">
        <v>631</v>
      </c>
      <c r="AA117" s="139" t="s">
        <v>631</v>
      </c>
      <c r="AB117" s="139">
        <v>1.6870000000000001</v>
      </c>
      <c r="AC117" s="139">
        <v>2.0670000000000002</v>
      </c>
      <c r="AD117" s="139">
        <v>1.9390000000000001</v>
      </c>
      <c r="AE117" s="139">
        <v>1.5029999999999999</v>
      </c>
    </row>
    <row r="118" spans="13:31" hidden="1" x14ac:dyDescent="0.2">
      <c r="M118" s="139">
        <v>4</v>
      </c>
      <c r="N118" s="141">
        <f t="shared" si="2"/>
        <v>10</v>
      </c>
      <c r="O118" s="139">
        <v>4.3339999999999996</v>
      </c>
      <c r="P118" s="139">
        <v>4.26</v>
      </c>
      <c r="Q118" s="139">
        <v>4.0259999999999998</v>
      </c>
      <c r="R118" s="139">
        <v>3.8260000000000001</v>
      </c>
      <c r="S118" s="139" t="s">
        <v>631</v>
      </c>
      <c r="T118" s="139" t="s">
        <v>631</v>
      </c>
      <c r="U118" s="139" t="s">
        <v>631</v>
      </c>
      <c r="V118" s="139">
        <v>2.4689999999999999</v>
      </c>
      <c r="W118" s="139" t="s">
        <v>631</v>
      </c>
      <c r="X118" s="139">
        <v>2.323</v>
      </c>
      <c r="Y118" s="139" t="s">
        <v>631</v>
      </c>
      <c r="Z118" s="139" t="s">
        <v>631</v>
      </c>
      <c r="AA118" s="139" t="s">
        <v>631</v>
      </c>
      <c r="AB118" s="139">
        <v>2.125</v>
      </c>
      <c r="AC118" s="139">
        <v>2.4689999999999999</v>
      </c>
      <c r="AD118" s="139">
        <v>2.323</v>
      </c>
      <c r="AE118" s="139">
        <v>1.7709999999999999</v>
      </c>
    </row>
    <row r="119" spans="13:31" hidden="1" x14ac:dyDescent="0.2">
      <c r="M119" s="139">
        <v>5</v>
      </c>
      <c r="N119" s="141">
        <f t="shared" si="2"/>
        <v>11</v>
      </c>
      <c r="O119" s="139">
        <v>5.3449999999999998</v>
      </c>
      <c r="P119" s="139">
        <v>5.2949999999999999</v>
      </c>
      <c r="Q119" s="139">
        <v>5.0469999999999997</v>
      </c>
      <c r="R119" s="139">
        <v>4.8129999999999997</v>
      </c>
      <c r="S119" s="139" t="s">
        <v>631</v>
      </c>
      <c r="T119" s="139" t="s">
        <v>631</v>
      </c>
      <c r="U119" s="139" t="s">
        <v>631</v>
      </c>
      <c r="V119" s="139">
        <v>3.0680000000000001</v>
      </c>
      <c r="W119" s="139" t="s">
        <v>631</v>
      </c>
      <c r="X119" s="139">
        <v>2.9</v>
      </c>
      <c r="Y119" s="139" t="s">
        <v>631</v>
      </c>
      <c r="Z119" s="139" t="s">
        <v>631</v>
      </c>
      <c r="AA119" s="139" t="s">
        <v>631</v>
      </c>
      <c r="AB119" s="139">
        <v>2.6240000000000001</v>
      </c>
      <c r="AC119" s="139">
        <v>3.0680000000000001</v>
      </c>
      <c r="AD119" s="139">
        <v>2.9</v>
      </c>
      <c r="AE119" s="139">
        <v>2.2999999999999998</v>
      </c>
    </row>
    <row r="120" spans="13:31" hidden="1" x14ac:dyDescent="0.2">
      <c r="M120" s="139">
        <v>6</v>
      </c>
      <c r="N120" s="141">
        <f t="shared" si="2"/>
        <v>12</v>
      </c>
      <c r="O120" s="139">
        <v>6.407</v>
      </c>
      <c r="P120" s="139">
        <v>6.3570000000000002</v>
      </c>
      <c r="Q120" s="139">
        <v>6.0650000000000004</v>
      </c>
      <c r="R120" s="139">
        <v>5.7610000000000001</v>
      </c>
      <c r="S120" s="139" t="s">
        <v>631</v>
      </c>
      <c r="T120" s="139" t="s">
        <v>631</v>
      </c>
      <c r="U120" s="139" t="s">
        <v>631</v>
      </c>
      <c r="V120" s="139">
        <v>3.548</v>
      </c>
      <c r="W120" s="139" t="s">
        <v>631</v>
      </c>
      <c r="X120" s="139">
        <v>3.3639999999999999</v>
      </c>
      <c r="Y120" s="139" t="s">
        <v>631</v>
      </c>
      <c r="Z120" s="139" t="s">
        <v>631</v>
      </c>
      <c r="AA120" s="139" t="s">
        <v>631</v>
      </c>
      <c r="AB120" s="139" t="s">
        <v>631</v>
      </c>
      <c r="AC120" s="139">
        <v>3.548</v>
      </c>
      <c r="AD120" s="139">
        <v>3.3639999999999999</v>
      </c>
      <c r="AE120" s="139" t="s">
        <v>631</v>
      </c>
    </row>
    <row r="121" spans="13:31" hidden="1" x14ac:dyDescent="0.2">
      <c r="M121" s="139">
        <v>8</v>
      </c>
      <c r="N121" s="141">
        <f t="shared" si="2"/>
        <v>13</v>
      </c>
      <c r="O121" s="139">
        <v>8.407</v>
      </c>
      <c r="P121" s="139">
        <v>8.3290000000000006</v>
      </c>
      <c r="Q121" s="139">
        <v>7.9809999999999999</v>
      </c>
      <c r="R121" s="139">
        <v>7.625</v>
      </c>
      <c r="S121" s="139" t="s">
        <v>631</v>
      </c>
      <c r="T121" s="139" t="s">
        <v>631</v>
      </c>
      <c r="U121" s="139" t="s">
        <v>631</v>
      </c>
      <c r="V121" s="139">
        <v>4.0259999999999998</v>
      </c>
      <c r="W121" s="139" t="s">
        <v>631</v>
      </c>
      <c r="X121" s="139">
        <v>3.8260000000000001</v>
      </c>
      <c r="Y121" s="139" t="s">
        <v>631</v>
      </c>
      <c r="Z121" s="139">
        <v>3.6240000000000001</v>
      </c>
      <c r="AA121" s="139" t="s">
        <v>631</v>
      </c>
      <c r="AB121" s="139">
        <v>3.4380000000000002</v>
      </c>
      <c r="AC121" s="139">
        <v>4.0259999999999998</v>
      </c>
      <c r="AD121" s="139">
        <v>3.8260000000000001</v>
      </c>
      <c r="AE121" s="139">
        <v>3.1520000000000001</v>
      </c>
    </row>
    <row r="122" spans="13:31" hidden="1" x14ac:dyDescent="0.2">
      <c r="M122" s="139">
        <v>10</v>
      </c>
      <c r="N122" s="141">
        <f t="shared" si="2"/>
        <v>14</v>
      </c>
      <c r="O122" s="139">
        <v>10.481999999999999</v>
      </c>
      <c r="P122" s="139">
        <v>10.42</v>
      </c>
      <c r="Q122" s="139">
        <v>10.02</v>
      </c>
      <c r="R122" s="139">
        <v>9.75</v>
      </c>
      <c r="S122" s="139" t="s">
        <v>631</v>
      </c>
      <c r="T122" s="139" t="s">
        <v>631</v>
      </c>
      <c r="U122" s="139" t="s">
        <v>631</v>
      </c>
      <c r="V122" s="139">
        <v>5.0469999999999997</v>
      </c>
      <c r="W122" s="139" t="s">
        <v>631</v>
      </c>
      <c r="X122" s="139">
        <v>4.8129999999999997</v>
      </c>
      <c r="Y122" s="139" t="s">
        <v>631</v>
      </c>
      <c r="Z122" s="139">
        <v>4.5629999999999997</v>
      </c>
      <c r="AA122" s="139" t="s">
        <v>631</v>
      </c>
      <c r="AB122" s="139">
        <v>4.3129999999999997</v>
      </c>
      <c r="AC122" s="139">
        <v>5.0469999999999997</v>
      </c>
      <c r="AD122" s="139">
        <v>4.8129999999999997</v>
      </c>
      <c r="AE122" s="139">
        <v>4.0629999999999997</v>
      </c>
    </row>
    <row r="123" spans="13:31" hidden="1" x14ac:dyDescent="0.2">
      <c r="M123" s="139">
        <v>12</v>
      </c>
      <c r="N123" s="141">
        <f t="shared" si="2"/>
        <v>15</v>
      </c>
      <c r="O123" s="139">
        <v>12.438000000000001</v>
      </c>
      <c r="P123" s="139">
        <v>12.39</v>
      </c>
      <c r="Q123" s="139">
        <v>12</v>
      </c>
      <c r="R123" s="139">
        <v>11.75</v>
      </c>
      <c r="S123" s="139" t="s">
        <v>631</v>
      </c>
      <c r="T123" s="139" t="s">
        <v>631</v>
      </c>
      <c r="U123" s="139" t="s">
        <v>631</v>
      </c>
      <c r="V123" s="139">
        <v>6.0650000000000004</v>
      </c>
      <c r="W123" s="139" t="s">
        <v>631</v>
      </c>
      <c r="X123" s="139">
        <v>5.7610000000000001</v>
      </c>
      <c r="Y123" s="139" t="s">
        <v>631</v>
      </c>
      <c r="Z123" s="139">
        <v>5.5010000000000003</v>
      </c>
      <c r="AA123" s="139" t="s">
        <v>631</v>
      </c>
      <c r="AB123" s="139">
        <v>5.1870000000000003</v>
      </c>
      <c r="AC123" s="139">
        <v>6.0650000000000004</v>
      </c>
      <c r="AD123" s="139">
        <v>5.7610000000000001</v>
      </c>
      <c r="AE123" s="139">
        <v>4.8970000000000002</v>
      </c>
    </row>
    <row r="124" spans="13:31" hidden="1" x14ac:dyDescent="0.2">
      <c r="M124" s="139">
        <v>14</v>
      </c>
      <c r="N124" s="141">
        <f t="shared" si="2"/>
        <v>16</v>
      </c>
      <c r="O124" s="139">
        <v>13.688000000000001</v>
      </c>
      <c r="P124" s="139">
        <v>13.624000000000001</v>
      </c>
      <c r="Q124" s="139" t="s">
        <v>631</v>
      </c>
      <c r="R124" s="139" t="s">
        <v>631</v>
      </c>
      <c r="S124" s="139" t="s">
        <v>631</v>
      </c>
      <c r="T124" s="139">
        <v>8.125</v>
      </c>
      <c r="U124" s="139">
        <v>8.0709999999999997</v>
      </c>
      <c r="V124" s="139">
        <v>7.9809999999999999</v>
      </c>
      <c r="W124" s="139">
        <v>7.8129999999999997</v>
      </c>
      <c r="X124" s="139">
        <v>7.625</v>
      </c>
      <c r="Y124" s="139">
        <v>7.4370000000000003</v>
      </c>
      <c r="Z124" s="139">
        <v>7.1870000000000003</v>
      </c>
      <c r="AA124" s="139">
        <v>7.0010000000000003</v>
      </c>
      <c r="AB124" s="139">
        <v>6.8129999999999997</v>
      </c>
      <c r="AC124" s="139">
        <v>7.9809999999999999</v>
      </c>
      <c r="AD124" s="139">
        <v>7.625</v>
      </c>
      <c r="AE124" s="139">
        <v>6.875</v>
      </c>
    </row>
    <row r="125" spans="13:31" hidden="1" x14ac:dyDescent="0.2">
      <c r="M125" s="139">
        <v>16</v>
      </c>
      <c r="N125" s="141">
        <f t="shared" si="2"/>
        <v>17</v>
      </c>
      <c r="O125" s="139">
        <v>15.67</v>
      </c>
      <c r="P125" s="139">
        <v>15.624000000000001</v>
      </c>
      <c r="Q125" s="139" t="s">
        <v>631</v>
      </c>
      <c r="R125" s="139" t="s">
        <v>631</v>
      </c>
      <c r="S125" s="139" t="s">
        <v>631</v>
      </c>
      <c r="T125" s="139">
        <v>10.25</v>
      </c>
      <c r="U125" s="139">
        <v>10.135999999999999</v>
      </c>
      <c r="V125" s="139">
        <v>10.02</v>
      </c>
      <c r="W125" s="139">
        <v>9.75</v>
      </c>
      <c r="X125" s="139">
        <v>9.5619999999999994</v>
      </c>
      <c r="Y125" s="139">
        <v>9.3119999999999994</v>
      </c>
      <c r="Z125" s="139">
        <v>9.0619999999999994</v>
      </c>
      <c r="AA125" s="139">
        <v>8.75</v>
      </c>
      <c r="AB125" s="139">
        <v>8.5</v>
      </c>
      <c r="AC125" s="139">
        <v>10.02</v>
      </c>
      <c r="AD125" s="139">
        <v>9.75</v>
      </c>
      <c r="AE125" s="139">
        <v>8.75</v>
      </c>
    </row>
    <row r="126" spans="13:31" hidden="1" x14ac:dyDescent="0.2">
      <c r="M126" s="139">
        <v>18</v>
      </c>
      <c r="N126" s="141">
        <f t="shared" si="2"/>
        <v>18</v>
      </c>
      <c r="O126" s="139">
        <v>17.670000000000002</v>
      </c>
      <c r="P126" s="139">
        <v>17.623999999999999</v>
      </c>
      <c r="Q126" s="139" t="s">
        <v>631</v>
      </c>
      <c r="R126" s="139" t="s">
        <v>631</v>
      </c>
      <c r="S126" s="139" t="s">
        <v>631</v>
      </c>
      <c r="T126" s="139">
        <v>12.25</v>
      </c>
      <c r="U126" s="139">
        <v>12.09</v>
      </c>
      <c r="V126" s="139">
        <v>11.938000000000001</v>
      </c>
      <c r="W126" s="139">
        <v>11.625999999999999</v>
      </c>
      <c r="X126" s="139">
        <v>11.374000000000001</v>
      </c>
      <c r="Y126" s="139">
        <v>11.061999999999999</v>
      </c>
      <c r="Z126" s="139">
        <v>10.75</v>
      </c>
      <c r="AA126" s="139">
        <v>10.5</v>
      </c>
      <c r="AB126" s="139">
        <v>10.125999999999999</v>
      </c>
      <c r="AC126" s="139">
        <v>12</v>
      </c>
      <c r="AD126" s="139">
        <v>11.75</v>
      </c>
      <c r="AE126" s="139">
        <v>10.75</v>
      </c>
    </row>
    <row r="127" spans="13:31" hidden="1" x14ac:dyDescent="0.2">
      <c r="M127" s="139">
        <v>20</v>
      </c>
      <c r="N127" s="141">
        <f t="shared" si="2"/>
        <v>19</v>
      </c>
      <c r="O127" s="139">
        <v>19.623999999999999</v>
      </c>
      <c r="P127" s="139">
        <v>19.564</v>
      </c>
      <c r="Q127" s="139" t="s">
        <v>631</v>
      </c>
      <c r="R127" s="139" t="s">
        <v>631</v>
      </c>
      <c r="S127" s="139">
        <v>13.5</v>
      </c>
      <c r="T127" s="139">
        <v>13.375999999999999</v>
      </c>
      <c r="U127" s="139">
        <v>13.25</v>
      </c>
      <c r="V127" s="139">
        <v>13.124000000000001</v>
      </c>
      <c r="W127" s="139">
        <v>12.811999999999999</v>
      </c>
      <c r="X127" s="139">
        <v>12.5</v>
      </c>
      <c r="Y127" s="139">
        <v>12.124000000000001</v>
      </c>
      <c r="Z127" s="139">
        <v>11.811999999999999</v>
      </c>
      <c r="AA127" s="139">
        <v>11.5</v>
      </c>
      <c r="AB127" s="139">
        <v>11.188000000000001</v>
      </c>
      <c r="AC127" s="139">
        <v>13.25</v>
      </c>
      <c r="AD127" s="139">
        <v>13</v>
      </c>
      <c r="AE127" s="139" t="s">
        <v>631</v>
      </c>
    </row>
    <row r="128" spans="13:31" hidden="1" x14ac:dyDescent="0.2">
      <c r="M128" s="139">
        <v>22</v>
      </c>
      <c r="N128" s="141">
        <f t="shared" si="2"/>
        <v>20</v>
      </c>
      <c r="O128" s="139">
        <v>21.623999999999999</v>
      </c>
      <c r="P128" s="139">
        <v>21.564</v>
      </c>
      <c r="Q128" s="139" t="s">
        <v>631</v>
      </c>
      <c r="R128" s="139" t="s">
        <v>631</v>
      </c>
      <c r="S128" s="139">
        <v>15.5</v>
      </c>
      <c r="T128" s="139">
        <v>15.375999999999999</v>
      </c>
      <c r="U128" s="139">
        <v>15.25</v>
      </c>
      <c r="V128" s="139">
        <v>15</v>
      </c>
      <c r="W128" s="139">
        <v>14.688000000000001</v>
      </c>
      <c r="X128" s="139">
        <v>14.311999999999999</v>
      </c>
      <c r="Y128" s="139">
        <v>13.938000000000001</v>
      </c>
      <c r="Z128" s="139">
        <v>13.561999999999999</v>
      </c>
      <c r="AA128" s="139">
        <v>13.124000000000001</v>
      </c>
      <c r="AB128" s="139">
        <v>12.811999999999999</v>
      </c>
      <c r="AC128" s="139">
        <v>15.25</v>
      </c>
      <c r="AD128" s="139">
        <v>15</v>
      </c>
      <c r="AE128" s="139" t="s">
        <v>631</v>
      </c>
    </row>
    <row r="129" spans="13:31" hidden="1" x14ac:dyDescent="0.2">
      <c r="M129" s="139">
        <v>24</v>
      </c>
      <c r="N129" s="141">
        <f t="shared" si="2"/>
        <v>21</v>
      </c>
      <c r="O129" s="139">
        <v>23.564</v>
      </c>
      <c r="P129" s="139">
        <v>23.5</v>
      </c>
      <c r="Q129" s="139" t="s">
        <v>631</v>
      </c>
      <c r="R129" s="139" t="s">
        <v>631</v>
      </c>
      <c r="S129" s="139">
        <v>17.5</v>
      </c>
      <c r="T129" s="139">
        <v>17.376000000000001</v>
      </c>
      <c r="U129" s="139">
        <v>17.123999999999999</v>
      </c>
      <c r="V129" s="139">
        <v>16.876000000000001</v>
      </c>
      <c r="W129" s="139">
        <v>16.5</v>
      </c>
      <c r="X129" s="139">
        <v>16.123999999999999</v>
      </c>
      <c r="Y129" s="139">
        <v>15.688000000000001</v>
      </c>
      <c r="Z129" s="139">
        <v>15.25</v>
      </c>
      <c r="AA129" s="139">
        <v>14.875999999999999</v>
      </c>
      <c r="AB129" s="139">
        <v>14.438000000000001</v>
      </c>
      <c r="AC129" s="139">
        <v>17.25</v>
      </c>
      <c r="AD129" s="139">
        <v>17</v>
      </c>
      <c r="AE129" s="139" t="s">
        <v>631</v>
      </c>
    </row>
    <row r="130" spans="13:31" hidden="1" x14ac:dyDescent="0.2">
      <c r="M130" s="139">
        <v>26</v>
      </c>
      <c r="N130" s="141">
        <f t="shared" si="2"/>
        <v>22</v>
      </c>
      <c r="O130" s="139" t="s">
        <v>631</v>
      </c>
      <c r="P130" s="139" t="s">
        <v>631</v>
      </c>
      <c r="Q130" s="139" t="s">
        <v>631</v>
      </c>
      <c r="R130" s="139" t="s">
        <v>631</v>
      </c>
      <c r="S130" s="139">
        <v>19.5</v>
      </c>
      <c r="T130" s="139">
        <v>19.25</v>
      </c>
      <c r="U130" s="139">
        <v>19</v>
      </c>
      <c r="V130" s="139">
        <v>18.812000000000001</v>
      </c>
      <c r="W130" s="139">
        <v>18.376000000000001</v>
      </c>
      <c r="X130" s="139">
        <v>17.937999999999999</v>
      </c>
      <c r="Y130" s="139">
        <v>17.437999999999999</v>
      </c>
      <c r="Z130" s="139">
        <v>17</v>
      </c>
      <c r="AA130" s="139">
        <v>16.5</v>
      </c>
      <c r="AB130" s="139">
        <v>16.062000000000001</v>
      </c>
      <c r="AC130" s="139">
        <v>19.25</v>
      </c>
      <c r="AD130" s="139">
        <v>19</v>
      </c>
      <c r="AE130" s="139" t="s">
        <v>631</v>
      </c>
    </row>
    <row r="131" spans="13:31" hidden="1" x14ac:dyDescent="0.2">
      <c r="M131" s="139">
        <v>28</v>
      </c>
      <c r="N131" s="141">
        <f t="shared" si="2"/>
        <v>23</v>
      </c>
      <c r="O131" s="139" t="s">
        <v>631</v>
      </c>
      <c r="P131" s="139" t="s">
        <v>631</v>
      </c>
      <c r="Q131" s="139" t="s">
        <v>631</v>
      </c>
      <c r="R131" s="139" t="s">
        <v>631</v>
      </c>
      <c r="S131" s="139">
        <v>21.5</v>
      </c>
      <c r="T131" s="139">
        <v>21.25</v>
      </c>
      <c r="U131" s="139">
        <v>21</v>
      </c>
      <c r="V131" s="139" t="s">
        <v>631</v>
      </c>
      <c r="W131" s="139">
        <v>20.25</v>
      </c>
      <c r="X131" s="139">
        <v>19.75</v>
      </c>
      <c r="Y131" s="139">
        <v>19.25</v>
      </c>
      <c r="Z131" s="139">
        <v>18.75</v>
      </c>
      <c r="AA131" s="139">
        <v>18.25</v>
      </c>
      <c r="AB131" s="139">
        <v>17.75</v>
      </c>
      <c r="AC131" s="139">
        <v>21.25</v>
      </c>
      <c r="AD131" s="139">
        <v>21</v>
      </c>
      <c r="AE131" s="139" t="s">
        <v>631</v>
      </c>
    </row>
    <row r="132" spans="13:31" hidden="1" x14ac:dyDescent="0.2">
      <c r="M132" s="139">
        <v>30</v>
      </c>
      <c r="N132" s="141">
        <f t="shared" si="2"/>
        <v>24</v>
      </c>
      <c r="O132" s="139">
        <v>29.5</v>
      </c>
      <c r="P132" s="139">
        <v>29.376000000000001</v>
      </c>
      <c r="Q132" s="139" t="s">
        <v>631</v>
      </c>
      <c r="R132" s="139" t="s">
        <v>631</v>
      </c>
      <c r="S132" s="139">
        <v>23.5</v>
      </c>
      <c r="T132" s="139">
        <v>23.25</v>
      </c>
      <c r="U132" s="139">
        <v>22.876000000000001</v>
      </c>
      <c r="V132" s="139">
        <v>22.623999999999999</v>
      </c>
      <c r="W132" s="139">
        <v>22.062000000000001</v>
      </c>
      <c r="X132" s="139">
        <v>21.562000000000001</v>
      </c>
      <c r="Y132" s="139">
        <v>20.937999999999999</v>
      </c>
      <c r="Z132" s="139">
        <v>20.376000000000001</v>
      </c>
      <c r="AA132" s="139">
        <v>19.876000000000001</v>
      </c>
      <c r="AB132" s="139">
        <v>19.312000000000001</v>
      </c>
      <c r="AC132" s="139">
        <v>23.25</v>
      </c>
      <c r="AD132" s="139">
        <v>23</v>
      </c>
      <c r="AE132" s="139" t="s">
        <v>631</v>
      </c>
    </row>
    <row r="133" spans="13:31" hidden="1" x14ac:dyDescent="0.2">
      <c r="M133" s="139">
        <v>32</v>
      </c>
      <c r="N133" s="141">
        <f t="shared" si="2"/>
        <v>25</v>
      </c>
      <c r="O133" s="139" t="s">
        <v>631</v>
      </c>
      <c r="P133" s="139" t="s">
        <v>631</v>
      </c>
      <c r="Q133" s="139" t="s">
        <v>631</v>
      </c>
      <c r="R133" s="139" t="s">
        <v>631</v>
      </c>
      <c r="S133" s="139">
        <v>25.376000000000001</v>
      </c>
      <c r="T133" s="139">
        <v>25</v>
      </c>
      <c r="U133" s="139" t="s">
        <v>631</v>
      </c>
      <c r="V133" s="139" t="s">
        <v>631</v>
      </c>
      <c r="W133" s="139" t="s">
        <v>631</v>
      </c>
      <c r="X133" s="139" t="s">
        <v>631</v>
      </c>
      <c r="Y133" s="139" t="s">
        <v>631</v>
      </c>
      <c r="Z133" s="139" t="s">
        <v>631</v>
      </c>
      <c r="AA133" s="139" t="s">
        <v>631</v>
      </c>
      <c r="AB133" s="139" t="s">
        <v>631</v>
      </c>
      <c r="AC133" s="139">
        <v>25.25</v>
      </c>
      <c r="AD133" s="139">
        <v>25</v>
      </c>
      <c r="AE133" s="139" t="s">
        <v>631</v>
      </c>
    </row>
    <row r="134" spans="13:31" hidden="1" x14ac:dyDescent="0.2">
      <c r="M134" s="139">
        <v>34</v>
      </c>
      <c r="N134" s="141">
        <f t="shared" si="2"/>
        <v>26</v>
      </c>
      <c r="O134" s="139" t="s">
        <v>631</v>
      </c>
      <c r="P134" s="139" t="s">
        <v>631</v>
      </c>
      <c r="Q134" s="139" t="s">
        <v>631</v>
      </c>
      <c r="R134" s="139" t="s">
        <v>631</v>
      </c>
      <c r="S134" s="139">
        <v>27.376000000000001</v>
      </c>
      <c r="T134" s="139">
        <v>27</v>
      </c>
      <c r="U134" s="139">
        <v>26.75</v>
      </c>
      <c r="V134" s="139" t="s">
        <v>631</v>
      </c>
      <c r="W134" s="139" t="s">
        <v>631</v>
      </c>
      <c r="X134" s="139" t="s">
        <v>631</v>
      </c>
      <c r="Y134" s="139" t="s">
        <v>631</v>
      </c>
      <c r="Z134" s="139" t="s">
        <v>631</v>
      </c>
      <c r="AA134" s="139" t="s">
        <v>631</v>
      </c>
      <c r="AB134" s="139" t="s">
        <v>631</v>
      </c>
      <c r="AC134" s="139">
        <v>27.25</v>
      </c>
      <c r="AD134" s="139">
        <v>27</v>
      </c>
      <c r="AE134" s="139" t="s">
        <v>631</v>
      </c>
    </row>
    <row r="135" spans="13:31" hidden="1" x14ac:dyDescent="0.2">
      <c r="M135" s="139">
        <v>36</v>
      </c>
      <c r="N135" s="142">
        <f t="shared" si="2"/>
        <v>27</v>
      </c>
      <c r="O135" s="139" t="s">
        <v>631</v>
      </c>
      <c r="P135" s="139" t="s">
        <v>631</v>
      </c>
      <c r="Q135" s="139" t="s">
        <v>631</v>
      </c>
      <c r="R135" s="139" t="s">
        <v>631</v>
      </c>
      <c r="S135" s="139">
        <v>29.376000000000001</v>
      </c>
      <c r="T135" s="139">
        <v>29</v>
      </c>
      <c r="U135" s="139">
        <v>28.75</v>
      </c>
      <c r="V135" s="139" t="s">
        <v>631</v>
      </c>
      <c r="W135" s="139" t="s">
        <v>631</v>
      </c>
      <c r="X135" s="139" t="s">
        <v>631</v>
      </c>
      <c r="Y135" s="139" t="s">
        <v>631</v>
      </c>
      <c r="Z135" s="139" t="s">
        <v>631</v>
      </c>
      <c r="AA135" s="139" t="s">
        <v>631</v>
      </c>
      <c r="AB135" s="139" t="s">
        <v>631</v>
      </c>
      <c r="AC135" s="139">
        <v>29.25</v>
      </c>
      <c r="AD135" s="139">
        <v>29</v>
      </c>
      <c r="AE135" s="139" t="s">
        <v>631</v>
      </c>
    </row>
    <row r="136" spans="13:31" hidden="1" x14ac:dyDescent="0.2">
      <c r="S136" s="139">
        <v>31.376000000000001</v>
      </c>
      <c r="T136" s="139">
        <v>31</v>
      </c>
      <c r="U136" s="139">
        <v>30.75</v>
      </c>
      <c r="V136" s="139">
        <v>30.623999999999999</v>
      </c>
      <c r="W136" s="139" t="s">
        <v>631</v>
      </c>
      <c r="X136" s="139" t="s">
        <v>631</v>
      </c>
      <c r="Y136" s="139" t="s">
        <v>631</v>
      </c>
      <c r="Z136" s="139" t="s">
        <v>631</v>
      </c>
      <c r="AA136" s="139" t="s">
        <v>631</v>
      </c>
      <c r="AB136" s="139" t="s">
        <v>631</v>
      </c>
      <c r="AC136" s="139">
        <v>31.25</v>
      </c>
      <c r="AD136" s="139">
        <v>31</v>
      </c>
      <c r="AE136" s="139" t="s">
        <v>631</v>
      </c>
    </row>
    <row r="137" spans="13:31" hidden="1" x14ac:dyDescent="0.2">
      <c r="S137" s="139">
        <v>33.311999999999998</v>
      </c>
      <c r="T137" s="139">
        <v>33</v>
      </c>
      <c r="U137" s="139">
        <v>32.75</v>
      </c>
      <c r="V137" s="139">
        <v>32.624000000000002</v>
      </c>
      <c r="W137" s="139" t="s">
        <v>631</v>
      </c>
      <c r="X137" s="139" t="s">
        <v>631</v>
      </c>
      <c r="Y137" s="139" t="s">
        <v>631</v>
      </c>
      <c r="Z137" s="139" t="s">
        <v>631</v>
      </c>
      <c r="AA137" s="139" t="s">
        <v>631</v>
      </c>
      <c r="AB137" s="139" t="s">
        <v>631</v>
      </c>
      <c r="AC137" s="139">
        <v>33.25</v>
      </c>
      <c r="AD137" s="139">
        <v>33</v>
      </c>
      <c r="AE137" s="139" t="s">
        <v>631</v>
      </c>
    </row>
    <row r="138" spans="13:31" hidden="1" x14ac:dyDescent="0.2">
      <c r="S138" s="139">
        <v>35.375999999999998</v>
      </c>
      <c r="T138" s="139">
        <v>35</v>
      </c>
      <c r="U138" s="139">
        <v>34.75</v>
      </c>
      <c r="V138" s="139">
        <v>34.5</v>
      </c>
      <c r="W138" s="139" t="s">
        <v>631</v>
      </c>
      <c r="X138" s="139" t="s">
        <v>631</v>
      </c>
      <c r="Y138" s="139" t="s">
        <v>631</v>
      </c>
      <c r="Z138" s="139" t="s">
        <v>631</v>
      </c>
      <c r="AA138" s="139" t="s">
        <v>631</v>
      </c>
      <c r="AB138" s="139" t="s">
        <v>631</v>
      </c>
      <c r="AC138" s="139">
        <v>35.25</v>
      </c>
      <c r="AD138" s="139">
        <v>35</v>
      </c>
      <c r="AE138" s="139" t="s">
        <v>631</v>
      </c>
    </row>
    <row r="139" spans="13:31" hidden="1" x14ac:dyDescent="0.2"/>
  </sheetData>
  <mergeCells count="134">
    <mergeCell ref="C13:D14"/>
    <mergeCell ref="K13:K14"/>
    <mergeCell ref="C41:L41"/>
    <mergeCell ref="C36:D36"/>
    <mergeCell ref="C37:D37"/>
    <mergeCell ref="C38:D38"/>
    <mergeCell ref="C39:D39"/>
    <mergeCell ref="C40:D40"/>
    <mergeCell ref="C31:D31"/>
    <mergeCell ref="C32:D32"/>
    <mergeCell ref="C33:D33"/>
    <mergeCell ref="C34:D34"/>
    <mergeCell ref="C35:D35"/>
    <mergeCell ref="C26:D26"/>
    <mergeCell ref="C27:D27"/>
    <mergeCell ref="C28:D28"/>
    <mergeCell ref="C29:D29"/>
    <mergeCell ref="C30:D30"/>
    <mergeCell ref="E38:I38"/>
    <mergeCell ref="E39:I39"/>
    <mergeCell ref="E40:I40"/>
    <mergeCell ref="C15:D15"/>
    <mergeCell ref="C16:D16"/>
    <mergeCell ref="C17:D17"/>
    <mergeCell ref="C18:D18"/>
    <mergeCell ref="C19:D19"/>
    <mergeCell ref="C20:D20"/>
    <mergeCell ref="C21:D21"/>
    <mergeCell ref="C22:D22"/>
    <mergeCell ref="C23:D23"/>
    <mergeCell ref="C24:D24"/>
    <mergeCell ref="C25:D25"/>
    <mergeCell ref="E33:I33"/>
    <mergeCell ref="E34:I34"/>
    <mergeCell ref="E35:I35"/>
    <mergeCell ref="E36:I36"/>
    <mergeCell ref="E37:I37"/>
    <mergeCell ref="E28:I28"/>
    <mergeCell ref="E29:I29"/>
    <mergeCell ref="E30:I30"/>
    <mergeCell ref="E31:I31"/>
    <mergeCell ref="E32:I32"/>
    <mergeCell ref="M41:N41"/>
    <mergeCell ref="E13:I13"/>
    <mergeCell ref="E14:I14"/>
    <mergeCell ref="E15:I15"/>
    <mergeCell ref="E16:I16"/>
    <mergeCell ref="E17:I17"/>
    <mergeCell ref="E18:I18"/>
    <mergeCell ref="E19:I19"/>
    <mergeCell ref="E20:I20"/>
    <mergeCell ref="E21:I21"/>
    <mergeCell ref="E22:I22"/>
    <mergeCell ref="E23:I23"/>
    <mergeCell ref="E24:I24"/>
    <mergeCell ref="E25:I25"/>
    <mergeCell ref="E26:I26"/>
    <mergeCell ref="E27:I27"/>
    <mergeCell ref="M36:N36"/>
    <mergeCell ref="M37:N37"/>
    <mergeCell ref="M38:N38"/>
    <mergeCell ref="M39:N39"/>
    <mergeCell ref="M40:N40"/>
    <mergeCell ref="M31:N31"/>
    <mergeCell ref="M32:N32"/>
    <mergeCell ref="M33:N33"/>
    <mergeCell ref="M34:N34"/>
    <mergeCell ref="M35:N35"/>
    <mergeCell ref="M26:N26"/>
    <mergeCell ref="M27:N27"/>
    <mergeCell ref="M28:N28"/>
    <mergeCell ref="M29:N29"/>
    <mergeCell ref="M30:N30"/>
    <mergeCell ref="O39:P39"/>
    <mergeCell ref="O40:P40"/>
    <mergeCell ref="O41:P41"/>
    <mergeCell ref="M13:N13"/>
    <mergeCell ref="M14:N14"/>
    <mergeCell ref="M15:N15"/>
    <mergeCell ref="M16:N16"/>
    <mergeCell ref="M17:N17"/>
    <mergeCell ref="M18:N18"/>
    <mergeCell ref="M19:N19"/>
    <mergeCell ref="M20:N20"/>
    <mergeCell ref="M21:N21"/>
    <mergeCell ref="M22:N22"/>
    <mergeCell ref="M23:N23"/>
    <mergeCell ref="M24:N24"/>
    <mergeCell ref="M25:N25"/>
    <mergeCell ref="O34:P34"/>
    <mergeCell ref="O35:P35"/>
    <mergeCell ref="O36:P36"/>
    <mergeCell ref="O37:P37"/>
    <mergeCell ref="O38:P38"/>
    <mergeCell ref="O29:P29"/>
    <mergeCell ref="O30:P30"/>
    <mergeCell ref="O31:P31"/>
    <mergeCell ref="O32:P32"/>
    <mergeCell ref="O33:P33"/>
    <mergeCell ref="O24:P24"/>
    <mergeCell ref="O25:P25"/>
    <mergeCell ref="O26:P26"/>
    <mergeCell ref="O27:P27"/>
    <mergeCell ref="O28:P28"/>
    <mergeCell ref="M7:R7"/>
    <mergeCell ref="B8:D8"/>
    <mergeCell ref="E8:I8"/>
    <mergeCell ref="C11:P12"/>
    <mergeCell ref="O13:P13"/>
    <mergeCell ref="O14:P14"/>
    <mergeCell ref="O15:P15"/>
    <mergeCell ref="O16:P16"/>
    <mergeCell ref="O17:P17"/>
    <mergeCell ref="O18:P18"/>
    <mergeCell ref="O19:P19"/>
    <mergeCell ref="O20:P20"/>
    <mergeCell ref="O21:P21"/>
    <mergeCell ref="O22:P22"/>
    <mergeCell ref="O23:P23"/>
    <mergeCell ref="J8:L8"/>
    <mergeCell ref="M8:R8"/>
    <mergeCell ref="B9:R9"/>
    <mergeCell ref="B7:D7"/>
    <mergeCell ref="E7:I7"/>
    <mergeCell ref="J7:L7"/>
    <mergeCell ref="E2:O5"/>
    <mergeCell ref="P2:Q2"/>
    <mergeCell ref="P3:Q3"/>
    <mergeCell ref="P4:Q4"/>
    <mergeCell ref="P5:Q5"/>
    <mergeCell ref="B6:D6"/>
    <mergeCell ref="E6:I6"/>
    <mergeCell ref="J6:L6"/>
    <mergeCell ref="M6:R6"/>
  </mergeCells>
  <phoneticPr fontId="21" type="noConversion"/>
  <pageMargins left="0.7" right="0.7" top="0.75" bottom="0.75" header="0.3" footer="0.3"/>
  <pageSetup scale="35"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11">
    <pageSetUpPr fitToPage="1"/>
  </sheetPr>
  <dimension ref="A1:PD10013"/>
  <sheetViews>
    <sheetView view="pageBreakPreview" zoomScale="55" zoomScaleNormal="55" zoomScaleSheetLayoutView="55" workbookViewId="0">
      <selection activeCell="AF15" sqref="AF15:AF51"/>
    </sheetView>
  </sheetViews>
  <sheetFormatPr defaultColWidth="11.42578125" defaultRowHeight="12.75" x14ac:dyDescent="0.2"/>
  <cols>
    <col min="1" max="1" width="5.85546875" customWidth="1"/>
    <col min="2" max="2" width="6.42578125" customWidth="1"/>
    <col min="3" max="3" width="6.85546875" customWidth="1"/>
    <col min="4" max="4" width="24" bestFit="1" customWidth="1"/>
    <col min="5" max="5" width="10.85546875" bestFit="1" customWidth="1"/>
    <col min="6" max="6" width="31.5703125" bestFit="1" customWidth="1"/>
    <col min="7" max="7" width="12.7109375" customWidth="1"/>
    <col min="8" max="8" width="21.140625" bestFit="1" customWidth="1"/>
    <col min="9" max="9" width="13.140625" bestFit="1" customWidth="1"/>
    <col min="10" max="10" width="10.85546875" bestFit="1" customWidth="1"/>
    <col min="11" max="11" width="10.5703125" bestFit="1" customWidth="1"/>
    <col min="12" max="12" width="10.85546875" bestFit="1" customWidth="1"/>
    <col min="13" max="13" width="16.5703125" bestFit="1" customWidth="1"/>
    <col min="14" max="18" width="9.140625" customWidth="1"/>
    <col min="32" max="32" width="30.140625" hidden="1" customWidth="1"/>
  </cols>
  <sheetData>
    <row r="1" spans="1:420" ht="13.5" thickBot="1" x14ac:dyDescent="0.25">
      <c r="B1" s="541"/>
      <c r="C1" s="541"/>
      <c r="D1" s="541"/>
      <c r="E1" s="541"/>
      <c r="F1" s="541"/>
      <c r="G1" s="541"/>
      <c r="H1" s="541"/>
      <c r="I1" s="541"/>
      <c r="J1" s="541"/>
      <c r="K1" s="541"/>
      <c r="L1" s="541"/>
      <c r="M1" s="541"/>
      <c r="N1" s="541"/>
      <c r="O1" s="541"/>
      <c r="P1" s="541"/>
      <c r="Q1" s="542" t="s">
        <v>957</v>
      </c>
      <c r="R1" s="543" t="e">
        <f>'Piping Volume'!R1+1</f>
        <v>#REF!</v>
      </c>
    </row>
    <row r="2" spans="1:420" ht="15.75" x14ac:dyDescent="0.25">
      <c r="B2" s="544"/>
      <c r="C2" s="545"/>
      <c r="D2" s="545"/>
      <c r="E2" s="984" t="s">
        <v>970</v>
      </c>
      <c r="F2" s="984"/>
      <c r="G2" s="984"/>
      <c r="H2" s="984"/>
      <c r="I2" s="984"/>
      <c r="J2" s="984"/>
      <c r="K2" s="984"/>
      <c r="L2" s="984"/>
      <c r="M2" s="984"/>
      <c r="N2" s="984"/>
      <c r="O2" s="984"/>
      <c r="P2" s="987" t="s">
        <v>851</v>
      </c>
      <c r="Q2" s="988"/>
      <c r="R2" s="685" t="str">
        <f>IF(ISBLANK(General!$E$6),"",General!$E$6)</f>
        <v/>
      </c>
    </row>
    <row r="3" spans="1:420" x14ac:dyDescent="0.2">
      <c r="B3" s="547"/>
      <c r="C3" s="548"/>
      <c r="D3" s="549"/>
      <c r="E3" s="985"/>
      <c r="F3" s="985"/>
      <c r="G3" s="985"/>
      <c r="H3" s="985"/>
      <c r="I3" s="985"/>
      <c r="J3" s="985"/>
      <c r="K3" s="985"/>
      <c r="L3" s="985"/>
      <c r="M3" s="985"/>
      <c r="N3" s="985"/>
      <c r="O3" s="985"/>
      <c r="P3" s="989" t="s">
        <v>958</v>
      </c>
      <c r="Q3" s="990"/>
      <c r="R3" s="550" t="str">
        <f>IF(ISBLANK(General!$E$12),"",General!$E$12)</f>
        <v/>
      </c>
    </row>
    <row r="4" spans="1:420" x14ac:dyDescent="0.2">
      <c r="B4" s="547"/>
      <c r="C4" s="548"/>
      <c r="D4" s="549"/>
      <c r="E4" s="985"/>
      <c r="F4" s="985"/>
      <c r="G4" s="985"/>
      <c r="H4" s="985"/>
      <c r="I4" s="985"/>
      <c r="J4" s="985"/>
      <c r="K4" s="985"/>
      <c r="L4" s="985"/>
      <c r="M4" s="985"/>
      <c r="N4" s="985"/>
      <c r="O4" s="985"/>
      <c r="P4" s="989" t="s">
        <v>959</v>
      </c>
      <c r="Q4" s="990"/>
      <c r="R4" s="551" t="str">
        <f>IF(ISBLANK(General!$E$13),"",General!$E$13)</f>
        <v/>
      </c>
    </row>
    <row r="5" spans="1:420" x14ac:dyDescent="0.2">
      <c r="B5" s="552"/>
      <c r="C5" s="553"/>
      <c r="D5" s="553"/>
      <c r="E5" s="986"/>
      <c r="F5" s="986"/>
      <c r="G5" s="986"/>
      <c r="H5" s="986"/>
      <c r="I5" s="986"/>
      <c r="J5" s="986"/>
      <c r="K5" s="986"/>
      <c r="L5" s="986"/>
      <c r="M5" s="986"/>
      <c r="N5" s="986"/>
      <c r="O5" s="986"/>
      <c r="P5" s="1089" t="s">
        <v>960</v>
      </c>
      <c r="Q5" s="1090"/>
      <c r="R5" s="554" t="str">
        <f>IF(ISBLANK(General!$E$14),"",General!$E$14)</f>
        <v/>
      </c>
    </row>
    <row r="6" spans="1:420" x14ac:dyDescent="0.2">
      <c r="B6" s="1017" t="s">
        <v>897</v>
      </c>
      <c r="C6" s="1018"/>
      <c r="D6" s="1019"/>
      <c r="E6" s="978" t="str">
        <f>IF(ISBLANK(General!$E$8),"",General!$E$8)</f>
        <v/>
      </c>
      <c r="F6" s="979"/>
      <c r="G6" s="979"/>
      <c r="H6" s="979"/>
      <c r="I6" s="1087"/>
      <c r="J6" s="970" t="s">
        <v>961</v>
      </c>
      <c r="K6" s="971"/>
      <c r="L6" s="972"/>
      <c r="M6" s="978" t="str">
        <f>IF(ISBLANK(General!$D$33),"",General!$D$33)</f>
        <v/>
      </c>
      <c r="N6" s="979"/>
      <c r="O6" s="979"/>
      <c r="P6" s="979"/>
      <c r="Q6" s="979"/>
      <c r="R6" s="980"/>
    </row>
    <row r="7" spans="1:420" x14ac:dyDescent="0.2">
      <c r="B7" s="991" t="s">
        <v>962</v>
      </c>
      <c r="C7" s="992"/>
      <c r="D7" s="1020"/>
      <c r="E7" s="981" t="str">
        <f>IF(ISBLANK(General!$E$9),"",General!$E$9)</f>
        <v/>
      </c>
      <c r="F7" s="982"/>
      <c r="G7" s="982"/>
      <c r="H7" s="982"/>
      <c r="I7" s="1088"/>
      <c r="J7" s="975" t="s">
        <v>963</v>
      </c>
      <c r="K7" s="976"/>
      <c r="L7" s="977"/>
      <c r="M7" s="981" t="str">
        <f>IF(ISBLANK(General!$E$33),"",General!$E$33)</f>
        <v/>
      </c>
      <c r="N7" s="982"/>
      <c r="O7" s="982"/>
      <c r="P7" s="982"/>
      <c r="Q7" s="982"/>
      <c r="R7" s="983"/>
    </row>
    <row r="8" spans="1:420" x14ac:dyDescent="0.2">
      <c r="B8" s="1015" t="s">
        <v>932</v>
      </c>
      <c r="C8" s="1016"/>
      <c r="D8" s="1047"/>
      <c r="E8" s="957" t="str">
        <f>IF(ISBLANK(General!$E$17),"",General!$E$17)</f>
        <v/>
      </c>
      <c r="F8" s="958"/>
      <c r="G8" s="958"/>
      <c r="H8" s="958"/>
      <c r="I8" s="1081"/>
      <c r="J8" s="954" t="s">
        <v>930</v>
      </c>
      <c r="K8" s="955"/>
      <c r="L8" s="956"/>
      <c r="M8" s="957" t="str">
        <f>IF(ISBLANK(General!$E$16),"",General!$E$16)</f>
        <v/>
      </c>
      <c r="N8" s="958"/>
      <c r="O8" s="958"/>
      <c r="P8" s="958"/>
      <c r="Q8" s="958"/>
      <c r="R8" s="959"/>
    </row>
    <row r="9" spans="1:420" ht="15.75" x14ac:dyDescent="0.25">
      <c r="B9" s="1013" t="s">
        <v>980</v>
      </c>
      <c r="C9" s="1014"/>
      <c r="D9" s="1014"/>
      <c r="E9" s="1014"/>
      <c r="F9" s="1014"/>
      <c r="G9" s="1014"/>
      <c r="H9" s="1014"/>
      <c r="I9" s="1014"/>
      <c r="J9" s="1014"/>
      <c r="K9" s="1014"/>
      <c r="L9" s="1014"/>
      <c r="M9" s="1014"/>
      <c r="N9" s="1014"/>
      <c r="O9" s="1014"/>
      <c r="P9" s="1014"/>
      <c r="Q9" s="1014"/>
      <c r="R9" s="1082"/>
    </row>
    <row r="10" spans="1:420" x14ac:dyDescent="0.2">
      <c r="B10" s="253"/>
      <c r="C10" s="1"/>
      <c r="D10" s="1"/>
      <c r="E10" s="1"/>
      <c r="F10" s="1"/>
      <c r="G10" s="1"/>
      <c r="H10" s="1"/>
      <c r="I10" s="1"/>
      <c r="J10" s="1"/>
      <c r="K10" s="1"/>
      <c r="L10" s="1"/>
      <c r="M10" s="1"/>
      <c r="N10" s="1"/>
      <c r="O10" s="1"/>
      <c r="P10" s="1"/>
      <c r="Q10" s="1"/>
      <c r="R10" s="264"/>
    </row>
    <row r="11" spans="1:420" x14ac:dyDescent="0.2">
      <c r="B11" s="253"/>
      <c r="C11" s="1"/>
      <c r="D11" s="1"/>
      <c r="E11" s="1"/>
      <c r="F11" s="1"/>
      <c r="G11" s="1"/>
      <c r="H11" s="1"/>
      <c r="I11" s="1"/>
      <c r="J11" s="1"/>
      <c r="K11" s="1"/>
      <c r="L11" s="1"/>
      <c r="M11" s="1"/>
      <c r="N11" s="1"/>
      <c r="O11" s="1"/>
      <c r="P11" s="1"/>
      <c r="Q11" s="1"/>
      <c r="R11" s="264"/>
    </row>
    <row r="12" spans="1:420" ht="15.75" x14ac:dyDescent="0.2">
      <c r="B12" s="253"/>
      <c r="C12" s="1"/>
      <c r="D12" s="1173" t="s">
        <v>18</v>
      </c>
      <c r="E12" s="1276"/>
      <c r="F12" s="1276" t="s">
        <v>28</v>
      </c>
      <c r="G12" s="1276" t="s">
        <v>42</v>
      </c>
      <c r="H12" s="1277" t="s">
        <v>32</v>
      </c>
      <c r="I12" s="763" t="s">
        <v>986</v>
      </c>
      <c r="J12" s="763" t="s">
        <v>43</v>
      </c>
      <c r="K12" s="763"/>
      <c r="L12" s="763"/>
      <c r="M12" s="763"/>
      <c r="N12" s="1"/>
      <c r="O12" s="1"/>
      <c r="P12" s="1"/>
      <c r="Q12" s="1"/>
      <c r="R12" s="264"/>
    </row>
    <row r="13" spans="1:420" ht="47.25" x14ac:dyDescent="0.2">
      <c r="B13" s="253"/>
      <c r="C13" s="1"/>
      <c r="D13" s="1173"/>
      <c r="E13" s="1276"/>
      <c r="F13" s="1276"/>
      <c r="G13" s="1276"/>
      <c r="H13" s="1277"/>
      <c r="I13" s="764" t="s">
        <v>981</v>
      </c>
      <c r="J13" s="764" t="s">
        <v>982</v>
      </c>
      <c r="K13" s="763" t="s">
        <v>23</v>
      </c>
      <c r="L13" s="763" t="s">
        <v>24</v>
      </c>
      <c r="M13" s="763" t="s">
        <v>35</v>
      </c>
      <c r="N13" s="1"/>
      <c r="O13" s="1"/>
      <c r="P13" s="1"/>
      <c r="Q13" s="1"/>
      <c r="R13" s="264"/>
    </row>
    <row r="14" spans="1:420" ht="18" x14ac:dyDescent="0.2">
      <c r="B14" s="253"/>
      <c r="C14" s="1"/>
      <c r="D14" s="1173"/>
      <c r="E14" s="1276"/>
      <c r="F14" s="1276"/>
      <c r="G14" s="1276"/>
      <c r="H14" s="1277"/>
      <c r="I14" s="765" t="s">
        <v>983</v>
      </c>
      <c r="J14" s="765" t="s">
        <v>983</v>
      </c>
      <c r="K14" s="765" t="s">
        <v>195</v>
      </c>
      <c r="L14" s="765" t="s">
        <v>196</v>
      </c>
      <c r="M14" s="765" t="s">
        <v>15</v>
      </c>
      <c r="N14" s="1278" t="s">
        <v>984</v>
      </c>
      <c r="O14" s="1279"/>
      <c r="P14" s="1279"/>
      <c r="Q14" s="1279"/>
      <c r="R14" s="264"/>
    </row>
    <row r="15" spans="1:420" ht="20.25" customHeight="1" x14ac:dyDescent="0.2">
      <c r="A15" s="6"/>
      <c r="B15" s="792"/>
      <c r="C15" s="793"/>
      <c r="D15" s="769"/>
      <c r="E15" s="770" t="s">
        <v>39</v>
      </c>
      <c r="F15" s="771">
        <v>223</v>
      </c>
      <c r="G15" s="789">
        <v>232.4</v>
      </c>
      <c r="H15" s="790">
        <v>1</v>
      </c>
      <c r="I15" s="789" t="s">
        <v>1000</v>
      </c>
      <c r="J15" s="791">
        <v>0.93643893710360471</v>
      </c>
      <c r="K15" s="789">
        <v>22.47</v>
      </c>
      <c r="L15" s="789">
        <v>92.5</v>
      </c>
      <c r="M15" s="789">
        <v>0.96</v>
      </c>
      <c r="N15" s="1280" t="s">
        <v>985</v>
      </c>
      <c r="O15" s="1281"/>
      <c r="P15" s="1281"/>
      <c r="Q15" s="1281"/>
      <c r="R15" s="794"/>
      <c r="S15" s="340"/>
      <c r="T15" s="340"/>
      <c r="U15" s="340"/>
      <c r="V15" s="340"/>
      <c r="W15" s="340"/>
      <c r="X15" s="340"/>
      <c r="Y15" s="340"/>
      <c r="Z15" s="340"/>
      <c r="AA15" s="340"/>
      <c r="AB15" s="340"/>
      <c r="AC15" s="340"/>
      <c r="AD15" s="340"/>
      <c r="AE15" s="340"/>
      <c r="AF15" s="844">
        <v>101</v>
      </c>
      <c r="AG15" s="340"/>
      <c r="AH15" s="340"/>
      <c r="AI15" s="340"/>
      <c r="AJ15" s="340"/>
      <c r="AK15" s="340"/>
      <c r="AL15" s="340"/>
      <c r="AM15" s="340"/>
      <c r="AN15" s="340"/>
      <c r="AO15" s="340"/>
      <c r="AP15" s="340"/>
      <c r="AQ15" s="340"/>
      <c r="AR15" s="340"/>
      <c r="AS15" s="340"/>
      <c r="AT15" s="340"/>
      <c r="AU15" s="340"/>
      <c r="AV15" s="340"/>
      <c r="AW15" s="340"/>
      <c r="AX15" s="340"/>
      <c r="AY15" s="340"/>
      <c r="AZ15" s="340"/>
      <c r="BA15" s="340"/>
      <c r="BB15" s="340"/>
      <c r="BC15" s="340"/>
      <c r="BD15" s="340"/>
      <c r="BE15" s="340"/>
      <c r="BF15" s="340"/>
      <c r="BG15" s="340"/>
      <c r="BH15" s="340"/>
      <c r="BI15" s="340"/>
      <c r="BJ15" s="340"/>
      <c r="BK15" s="340"/>
      <c r="BL15" s="340"/>
      <c r="BM15" s="340"/>
      <c r="BN15" s="340"/>
      <c r="BO15" s="340"/>
      <c r="BP15" s="340"/>
      <c r="BQ15" s="340"/>
      <c r="BR15" s="340"/>
      <c r="BS15" s="340"/>
      <c r="BT15" s="340"/>
      <c r="BU15" s="340"/>
      <c r="BV15" s="340"/>
      <c r="BW15" s="340"/>
      <c r="BX15" s="340"/>
      <c r="BY15" s="340"/>
      <c r="BZ15" s="340"/>
      <c r="CA15" s="340"/>
      <c r="CB15" s="340"/>
      <c r="CC15" s="340"/>
      <c r="CD15" s="340"/>
      <c r="CE15" s="340"/>
      <c r="CF15" s="340"/>
      <c r="CG15" s="340"/>
      <c r="CH15" s="340"/>
      <c r="CI15" s="340"/>
      <c r="CJ15" s="340"/>
      <c r="CK15" s="340"/>
      <c r="CL15" s="340"/>
      <c r="CM15" s="340"/>
      <c r="CN15" s="340"/>
      <c r="CO15" s="340"/>
      <c r="CP15" s="340"/>
      <c r="CQ15" s="340"/>
      <c r="CR15" s="340"/>
      <c r="CS15" s="340"/>
      <c r="CT15" s="340"/>
      <c r="CU15" s="340"/>
      <c r="CV15" s="340"/>
      <c r="CW15" s="340"/>
      <c r="CX15" s="340"/>
      <c r="CY15" s="340"/>
      <c r="CZ15" s="340"/>
      <c r="DA15" s="340"/>
      <c r="DB15" s="340"/>
      <c r="DC15" s="340"/>
      <c r="DD15" s="340"/>
      <c r="DE15" s="340"/>
      <c r="DF15" s="340"/>
      <c r="DG15" s="340"/>
      <c r="DH15" s="340"/>
      <c r="DI15" s="340"/>
      <c r="DJ15" s="340"/>
      <c r="DK15" s="340"/>
      <c r="DL15" s="340"/>
      <c r="DM15" s="340"/>
      <c r="DN15" s="340"/>
      <c r="DO15" s="340"/>
      <c r="DP15" s="340"/>
      <c r="DQ15" s="340"/>
      <c r="DR15" s="340"/>
      <c r="DS15" s="340"/>
      <c r="DT15" s="340"/>
      <c r="DU15" s="340"/>
      <c r="DV15" s="340"/>
      <c r="DW15" s="340"/>
      <c r="DX15" s="340"/>
      <c r="DY15" s="340"/>
      <c r="DZ15" s="340"/>
      <c r="EA15" s="340"/>
      <c r="EB15" s="340"/>
      <c r="EC15" s="340"/>
      <c r="ED15" s="340"/>
      <c r="EE15" s="340"/>
      <c r="EF15" s="340"/>
      <c r="EG15" s="340"/>
      <c r="EH15" s="340"/>
      <c r="EI15" s="340"/>
      <c r="EJ15" s="340"/>
      <c r="EK15" s="340"/>
      <c r="EL15" s="340"/>
      <c r="EM15" s="340"/>
      <c r="EN15" s="340"/>
      <c r="EO15" s="340"/>
      <c r="EP15" s="340"/>
      <c r="EQ15" s="340"/>
      <c r="ER15" s="340"/>
      <c r="ES15" s="340"/>
      <c r="ET15" s="340"/>
      <c r="EU15" s="340"/>
      <c r="EV15" s="340"/>
      <c r="EW15" s="340"/>
      <c r="EX15" s="340"/>
      <c r="EY15" s="340"/>
      <c r="EZ15" s="340"/>
      <c r="FA15" s="340"/>
      <c r="FB15" s="340"/>
      <c r="FC15" s="340"/>
      <c r="FD15" s="340"/>
      <c r="FE15" s="340"/>
      <c r="FF15" s="340"/>
      <c r="FG15" s="340"/>
      <c r="FH15" s="340"/>
      <c r="FI15" s="340"/>
      <c r="FJ15" s="340"/>
      <c r="FK15" s="340"/>
      <c r="FL15" s="340"/>
      <c r="FM15" s="340"/>
      <c r="FN15" s="340"/>
      <c r="FO15" s="340"/>
      <c r="FP15" s="340"/>
      <c r="FQ15" s="340"/>
      <c r="FR15" s="340"/>
      <c r="FS15" s="340"/>
      <c r="FT15" s="340"/>
      <c r="FU15" s="340"/>
      <c r="FV15" s="340"/>
      <c r="FW15" s="340"/>
      <c r="FX15" s="340"/>
      <c r="FY15" s="340"/>
      <c r="FZ15" s="340"/>
      <c r="GA15" s="340"/>
      <c r="GB15" s="340"/>
      <c r="GC15" s="340"/>
      <c r="GD15" s="340"/>
      <c r="GE15" s="340"/>
      <c r="GF15" s="340"/>
      <c r="GG15" s="340"/>
      <c r="GH15" s="340"/>
      <c r="GI15" s="340"/>
      <c r="GJ15" s="340"/>
      <c r="GK15" s="340"/>
      <c r="GL15" s="340"/>
      <c r="GM15" s="340"/>
      <c r="GN15" s="340"/>
      <c r="GO15" s="340"/>
      <c r="GP15" s="340"/>
      <c r="GQ15" s="340"/>
      <c r="GR15" s="340"/>
      <c r="GS15" s="340"/>
      <c r="GT15" s="340"/>
      <c r="GU15" s="340"/>
      <c r="GV15" s="340"/>
      <c r="GW15" s="340"/>
      <c r="GX15" s="340"/>
      <c r="GY15" s="340"/>
      <c r="GZ15" s="340"/>
      <c r="HA15" s="340"/>
      <c r="HB15" s="340"/>
      <c r="HC15" s="340"/>
      <c r="HD15" s="340"/>
      <c r="HE15" s="340"/>
      <c r="HF15" s="340"/>
      <c r="HG15" s="340"/>
      <c r="HH15" s="340"/>
      <c r="HI15" s="340"/>
      <c r="HJ15" s="340"/>
      <c r="HK15" s="340"/>
      <c r="HL15" s="340"/>
      <c r="HM15" s="340"/>
      <c r="HN15" s="340"/>
      <c r="HO15" s="340"/>
      <c r="HP15" s="340"/>
      <c r="HQ15" s="340"/>
      <c r="HR15" s="340"/>
      <c r="HS15" s="340"/>
      <c r="HT15" s="340"/>
      <c r="HU15" s="340"/>
      <c r="HV15" s="340"/>
      <c r="HW15" s="340"/>
      <c r="HX15" s="340"/>
      <c r="HY15" s="340"/>
      <c r="HZ15" s="340"/>
      <c r="IA15" s="340"/>
      <c r="IB15" s="340"/>
      <c r="IC15" s="340"/>
      <c r="ID15" s="340"/>
      <c r="IE15" s="340"/>
      <c r="IF15" s="340"/>
      <c r="IG15" s="340"/>
      <c r="IH15" s="340"/>
      <c r="II15" s="340"/>
      <c r="IJ15" s="340"/>
      <c r="IK15" s="340"/>
      <c r="IL15" s="340"/>
      <c r="IM15" s="340"/>
      <c r="IN15" s="340"/>
      <c r="IO15" s="340"/>
      <c r="IP15" s="340"/>
      <c r="IQ15" s="340"/>
      <c r="IR15" s="340"/>
      <c r="IS15" s="340"/>
      <c r="IT15" s="340"/>
      <c r="IU15" s="340"/>
      <c r="IV15" s="340"/>
      <c r="IW15" s="340"/>
      <c r="IX15" s="340"/>
      <c r="IY15" s="340"/>
      <c r="IZ15" s="340"/>
      <c r="JA15" s="340"/>
      <c r="JB15" s="340"/>
      <c r="JC15" s="340"/>
      <c r="JD15" s="340"/>
      <c r="JE15" s="340"/>
      <c r="JF15" s="340"/>
      <c r="JG15" s="340"/>
      <c r="JH15" s="340"/>
      <c r="JI15" s="340"/>
      <c r="JJ15" s="340"/>
      <c r="JK15" s="340"/>
      <c r="JL15" s="340"/>
      <c r="JM15" s="340"/>
      <c r="JN15" s="340"/>
      <c r="JO15" s="340"/>
      <c r="JP15" s="340"/>
      <c r="JQ15" s="340"/>
      <c r="JR15" s="340"/>
      <c r="JS15" s="340"/>
      <c r="JT15" s="340"/>
      <c r="JU15" s="340"/>
      <c r="JV15" s="340"/>
      <c r="JW15" s="340"/>
      <c r="JX15" s="340"/>
      <c r="JY15" s="340"/>
      <c r="JZ15" s="340"/>
      <c r="KA15" s="340"/>
      <c r="KB15" s="340"/>
      <c r="KC15" s="340"/>
      <c r="KD15" s="340"/>
      <c r="KE15" s="340"/>
      <c r="KF15" s="340"/>
      <c r="KG15" s="340"/>
      <c r="KH15" s="340"/>
      <c r="KI15" s="340"/>
      <c r="KJ15" s="340"/>
      <c r="KK15" s="340"/>
      <c r="KL15" s="340"/>
      <c r="KM15" s="340"/>
      <c r="KN15" s="340"/>
      <c r="KO15" s="340"/>
      <c r="KP15" s="340"/>
      <c r="KQ15" s="340"/>
      <c r="KR15" s="340"/>
      <c r="KS15" s="340"/>
      <c r="KT15" s="340"/>
      <c r="KU15" s="340"/>
      <c r="KV15" s="340"/>
      <c r="KW15" s="340"/>
      <c r="KX15" s="340"/>
      <c r="KY15" s="340"/>
      <c r="KZ15" s="340"/>
      <c r="LA15" s="340"/>
      <c r="LB15" s="340"/>
      <c r="LC15" s="340"/>
      <c r="LD15" s="340"/>
      <c r="LE15" s="340"/>
      <c r="LF15" s="340"/>
      <c r="LG15" s="340"/>
      <c r="LH15" s="340"/>
      <c r="LI15" s="340"/>
      <c r="LJ15" s="340"/>
      <c r="LK15" s="340"/>
      <c r="LL15" s="340"/>
      <c r="LM15" s="340"/>
      <c r="LN15" s="340"/>
      <c r="LO15" s="340"/>
      <c r="LP15" s="340"/>
      <c r="LQ15" s="340"/>
      <c r="LR15" s="340"/>
      <c r="LS15" s="340"/>
      <c r="LT15" s="340"/>
      <c r="LU15" s="340"/>
      <c r="LV15" s="340"/>
      <c r="LW15" s="340"/>
      <c r="LX15" s="340"/>
      <c r="LY15" s="340"/>
      <c r="LZ15" s="340"/>
      <c r="MA15" s="340"/>
      <c r="MB15" s="340"/>
      <c r="MC15" s="340"/>
      <c r="MD15" s="340"/>
      <c r="ME15" s="340"/>
      <c r="MF15" s="340"/>
      <c r="MG15" s="340"/>
      <c r="MH15" s="340"/>
      <c r="MI15" s="340"/>
      <c r="MJ15" s="340"/>
      <c r="MK15" s="340"/>
      <c r="ML15" s="340"/>
      <c r="MM15" s="340"/>
      <c r="MN15" s="340"/>
      <c r="MO15" s="340"/>
      <c r="MP15" s="340"/>
      <c r="MQ15" s="340"/>
      <c r="MR15" s="340"/>
      <c r="MS15" s="340"/>
      <c r="MT15" s="340"/>
      <c r="MU15" s="340"/>
      <c r="MV15" s="340"/>
      <c r="MW15" s="340"/>
      <c r="MX15" s="340"/>
      <c r="MY15" s="340"/>
      <c r="MZ15" s="340"/>
      <c r="NA15" s="340"/>
      <c r="NB15" s="340"/>
      <c r="NC15" s="340"/>
      <c r="ND15" s="340"/>
      <c r="NE15" s="340"/>
      <c r="NF15" s="340"/>
      <c r="NG15" s="340"/>
      <c r="NH15" s="340"/>
      <c r="NI15" s="340"/>
      <c r="NJ15" s="340"/>
      <c r="NK15" s="340"/>
      <c r="NL15" s="340"/>
      <c r="NM15" s="340"/>
      <c r="NN15" s="340"/>
      <c r="NO15" s="340"/>
      <c r="NP15" s="340"/>
      <c r="NQ15" s="340"/>
      <c r="NR15" s="340"/>
      <c r="NS15" s="340"/>
      <c r="NT15" s="340"/>
      <c r="NU15" s="340"/>
      <c r="NV15" s="340"/>
      <c r="NW15" s="340"/>
      <c r="NX15" s="340"/>
      <c r="NY15" s="340"/>
      <c r="NZ15" s="340"/>
      <c r="OA15" s="340"/>
      <c r="OB15" s="340"/>
      <c r="OC15" s="340"/>
      <c r="OD15" s="340"/>
      <c r="OE15" s="340"/>
      <c r="OF15" s="340"/>
      <c r="OG15" s="340"/>
      <c r="OH15" s="340"/>
      <c r="OI15" s="340"/>
      <c r="OJ15" s="340"/>
      <c r="OK15" s="340"/>
      <c r="OL15" s="340"/>
      <c r="OM15" s="340"/>
      <c r="ON15" s="340"/>
      <c r="OO15" s="340"/>
      <c r="OP15" s="340"/>
      <c r="OQ15" s="340"/>
      <c r="OR15" s="340"/>
      <c r="OS15" s="340"/>
      <c r="OT15" s="340"/>
      <c r="OU15" s="340"/>
      <c r="OV15" s="340"/>
      <c r="OW15" s="340"/>
      <c r="OX15" s="340"/>
      <c r="OY15" s="340"/>
      <c r="OZ15" s="340"/>
      <c r="PA15" s="340"/>
      <c r="PB15" s="340"/>
      <c r="PC15" s="340"/>
      <c r="PD15" s="340"/>
    </row>
    <row r="16" spans="1:420" ht="18" x14ac:dyDescent="0.2">
      <c r="B16" s="258"/>
      <c r="C16" s="686"/>
      <c r="D16" s="775" t="s">
        <v>193</v>
      </c>
      <c r="E16" s="776" t="s">
        <v>40</v>
      </c>
      <c r="F16" s="777">
        <v>219</v>
      </c>
      <c r="G16" s="778">
        <v>231.8</v>
      </c>
      <c r="H16" s="779">
        <v>1</v>
      </c>
      <c r="I16" s="778" t="s">
        <v>1000</v>
      </c>
      <c r="J16" s="780">
        <v>0.92396387709178196</v>
      </c>
      <c r="K16" s="778">
        <v>22.47</v>
      </c>
      <c r="L16" s="778">
        <v>98.6</v>
      </c>
      <c r="M16" s="778">
        <v>0.96</v>
      </c>
      <c r="N16" s="1280"/>
      <c r="O16" s="1281"/>
      <c r="P16" s="1281"/>
      <c r="Q16" s="1281"/>
      <c r="R16" s="264"/>
      <c r="AF16" s="842">
        <v>102</v>
      </c>
    </row>
    <row r="17" spans="1:32" ht="18" x14ac:dyDescent="0.2">
      <c r="B17" s="795"/>
      <c r="C17" s="686"/>
      <c r="D17" s="781"/>
      <c r="E17" s="782" t="s">
        <v>41</v>
      </c>
      <c r="F17" s="783" t="s">
        <v>1003</v>
      </c>
      <c r="G17" s="784">
        <v>232.10000000000002</v>
      </c>
      <c r="H17" s="785">
        <v>1</v>
      </c>
      <c r="I17" s="784" t="s">
        <v>1000</v>
      </c>
      <c r="J17" s="786">
        <v>0.93016716271551714</v>
      </c>
      <c r="K17" s="784">
        <v>22.47</v>
      </c>
      <c r="L17" s="784">
        <v>95.55</v>
      </c>
      <c r="M17" s="784">
        <v>0.96</v>
      </c>
      <c r="N17" s="1280"/>
      <c r="O17" s="1281"/>
      <c r="P17" s="1281"/>
      <c r="Q17" s="1281"/>
      <c r="R17" s="264"/>
      <c r="AF17" s="846">
        <v>104</v>
      </c>
    </row>
    <row r="18" spans="1:32" ht="20.25" x14ac:dyDescent="0.2">
      <c r="A18" s="761"/>
      <c r="B18" s="796"/>
      <c r="C18" s="761"/>
      <c r="D18" s="769"/>
      <c r="E18" s="770" t="s">
        <v>39</v>
      </c>
      <c r="F18" s="771">
        <v>203</v>
      </c>
      <c r="G18" s="772">
        <v>270.5</v>
      </c>
      <c r="H18" s="773">
        <v>1</v>
      </c>
      <c r="I18" s="772" t="s">
        <v>1000</v>
      </c>
      <c r="J18" s="774">
        <v>0.93549004964946647</v>
      </c>
      <c r="K18" s="772">
        <v>21.99</v>
      </c>
      <c r="L18" s="772">
        <v>164.7</v>
      </c>
      <c r="M18" s="772">
        <v>0.96099999999999997</v>
      </c>
      <c r="N18" s="1280"/>
      <c r="O18" s="1281"/>
      <c r="P18" s="1281"/>
      <c r="Q18" s="1281"/>
      <c r="R18" s="264"/>
      <c r="AF18" s="844">
        <v>105</v>
      </c>
    </row>
    <row r="19" spans="1:32" ht="15" x14ac:dyDescent="0.2">
      <c r="A19" s="1"/>
      <c r="B19" s="253"/>
      <c r="C19" s="1"/>
      <c r="D19" s="775" t="s">
        <v>197</v>
      </c>
      <c r="E19" s="776" t="s">
        <v>40</v>
      </c>
      <c r="F19" s="777">
        <v>104</v>
      </c>
      <c r="G19" s="917">
        <v>266.89999999999998</v>
      </c>
      <c r="H19" s="918">
        <v>1</v>
      </c>
      <c r="I19" s="917" t="s">
        <v>1000</v>
      </c>
      <c r="J19" s="919">
        <v>0.95403737304107483</v>
      </c>
      <c r="K19" s="917">
        <v>22.4</v>
      </c>
      <c r="L19" s="917">
        <v>156.1</v>
      </c>
      <c r="M19" s="917">
        <v>0.96</v>
      </c>
      <c r="N19" s="1280"/>
      <c r="O19" s="1281"/>
      <c r="P19" s="1281"/>
      <c r="Q19" s="1281"/>
      <c r="R19" s="264"/>
      <c r="AF19" s="842">
        <v>106</v>
      </c>
    </row>
    <row r="20" spans="1:32" ht="15.75" x14ac:dyDescent="0.2">
      <c r="B20" s="253"/>
      <c r="C20" s="1"/>
      <c r="D20" s="787"/>
      <c r="E20" s="782" t="s">
        <v>41</v>
      </c>
      <c r="F20" s="783" t="s">
        <v>1017</v>
      </c>
      <c r="G20" s="784">
        <v>268.7</v>
      </c>
      <c r="H20" s="785">
        <v>1</v>
      </c>
      <c r="I20" s="784" t="s">
        <v>1000</v>
      </c>
      <c r="J20" s="786">
        <v>0.94475485854304941</v>
      </c>
      <c r="K20" s="784">
        <v>22.195</v>
      </c>
      <c r="L20" s="784">
        <v>160.39999999999998</v>
      </c>
      <c r="M20" s="784">
        <v>0.96049999999999991</v>
      </c>
      <c r="N20" s="1280"/>
      <c r="O20" s="1281"/>
      <c r="P20" s="1281"/>
      <c r="Q20" s="1281"/>
      <c r="R20" s="264"/>
      <c r="AF20" s="846">
        <v>201</v>
      </c>
    </row>
    <row r="21" spans="1:32" ht="15" x14ac:dyDescent="0.2">
      <c r="B21" s="253"/>
      <c r="C21" s="1"/>
      <c r="D21" s="769"/>
      <c r="E21" s="770" t="s">
        <v>39</v>
      </c>
      <c r="F21" s="771">
        <v>201</v>
      </c>
      <c r="G21" s="772">
        <v>291.2</v>
      </c>
      <c r="H21" s="773">
        <v>1</v>
      </c>
      <c r="I21" s="772">
        <v>0</v>
      </c>
      <c r="J21" s="774">
        <v>1.0944959524340583</v>
      </c>
      <c r="K21" s="772">
        <v>22.47</v>
      </c>
      <c r="L21" s="772">
        <v>125.2</v>
      </c>
      <c r="M21" s="772">
        <v>0.95099999999999996</v>
      </c>
      <c r="N21" s="1280"/>
      <c r="O21" s="1281"/>
      <c r="P21" s="1281"/>
      <c r="Q21" s="1281"/>
      <c r="R21" s="264"/>
      <c r="AF21" s="844">
        <v>203</v>
      </c>
    </row>
    <row r="22" spans="1:32" ht="15" x14ac:dyDescent="0.2">
      <c r="B22" s="253"/>
      <c r="C22" s="1"/>
      <c r="D22" s="775" t="s">
        <v>198</v>
      </c>
      <c r="E22" s="776" t="s">
        <v>40</v>
      </c>
      <c r="F22" s="777" t="s">
        <v>1015</v>
      </c>
      <c r="G22" s="917"/>
      <c r="H22" s="918"/>
      <c r="I22" s="935"/>
      <c r="J22" s="919">
        <v>0</v>
      </c>
      <c r="K22" s="917"/>
      <c r="L22" s="917"/>
      <c r="M22" s="917"/>
      <c r="N22" s="1274"/>
      <c r="O22" s="1275"/>
      <c r="P22" s="1275"/>
      <c r="Q22" s="1275"/>
      <c r="R22" s="264"/>
      <c r="AF22" s="842">
        <v>219</v>
      </c>
    </row>
    <row r="23" spans="1:32" ht="15.75" x14ac:dyDescent="0.2">
      <c r="B23" s="253"/>
      <c r="C23" s="1"/>
      <c r="D23" s="787"/>
      <c r="E23" s="782" t="s">
        <v>41</v>
      </c>
      <c r="F23" s="783" t="s">
        <v>1016</v>
      </c>
      <c r="G23" s="784">
        <v>291.2</v>
      </c>
      <c r="H23" s="785">
        <v>1</v>
      </c>
      <c r="I23" s="784">
        <v>0</v>
      </c>
      <c r="J23" s="786">
        <v>1.0944959524340583</v>
      </c>
      <c r="K23" s="784">
        <v>22.47</v>
      </c>
      <c r="L23" s="784">
        <v>125.2</v>
      </c>
      <c r="M23" s="784">
        <v>0.95099999999999996</v>
      </c>
      <c r="N23" s="1274"/>
      <c r="O23" s="1275"/>
      <c r="P23" s="1275"/>
      <c r="Q23" s="1275"/>
      <c r="R23" s="264"/>
      <c r="AF23" s="846">
        <v>221</v>
      </c>
    </row>
    <row r="24" spans="1:32" ht="15" x14ac:dyDescent="0.2">
      <c r="B24" s="253"/>
      <c r="C24" s="1"/>
      <c r="D24" s="769"/>
      <c r="E24" s="770" t="s">
        <v>39</v>
      </c>
      <c r="F24" s="771" t="s">
        <v>1005</v>
      </c>
      <c r="G24" s="789">
        <v>288.2</v>
      </c>
      <c r="H24" s="790">
        <v>1</v>
      </c>
      <c r="I24" s="936" t="s">
        <v>1000</v>
      </c>
      <c r="J24" s="791">
        <v>1.0212843419211761</v>
      </c>
      <c r="K24" s="789">
        <v>22.47</v>
      </c>
      <c r="L24" s="789">
        <v>161</v>
      </c>
      <c r="M24" s="789">
        <v>0.96</v>
      </c>
      <c r="N24" s="1274"/>
      <c r="O24" s="1275"/>
      <c r="P24" s="1275"/>
      <c r="Q24" s="1275"/>
      <c r="R24" s="264"/>
      <c r="AF24" s="771">
        <v>223</v>
      </c>
    </row>
    <row r="25" spans="1:32" ht="15.75" x14ac:dyDescent="0.2">
      <c r="B25" s="253"/>
      <c r="C25" s="1"/>
      <c r="D25" s="775" t="s">
        <v>199</v>
      </c>
      <c r="E25" s="776" t="s">
        <v>40</v>
      </c>
      <c r="F25" s="777">
        <v>203</v>
      </c>
      <c r="G25" s="778">
        <v>283.2</v>
      </c>
      <c r="H25" s="779">
        <v>1</v>
      </c>
      <c r="I25" s="778"/>
      <c r="J25" s="780">
        <v>0.97711042489973754</v>
      </c>
      <c r="K25" s="778">
        <v>21.988812173361993</v>
      </c>
      <c r="L25" s="778">
        <v>164.69</v>
      </c>
      <c r="M25" s="778">
        <v>0.96140000000000003</v>
      </c>
      <c r="N25" s="1274"/>
      <c r="O25" s="1275"/>
      <c r="P25" s="1275"/>
      <c r="Q25" s="1275"/>
      <c r="R25" s="264"/>
      <c r="X25" s="49"/>
      <c r="AF25" s="846">
        <v>223</v>
      </c>
    </row>
    <row r="26" spans="1:32" ht="15.75" x14ac:dyDescent="0.2">
      <c r="B26" s="253"/>
      <c r="C26" s="1"/>
      <c r="D26" s="787"/>
      <c r="E26" s="782" t="s">
        <v>41</v>
      </c>
      <c r="F26" s="783" t="s">
        <v>1007</v>
      </c>
      <c r="G26" s="784">
        <v>285.7</v>
      </c>
      <c r="H26" s="785">
        <v>1</v>
      </c>
      <c r="I26" s="784" t="s">
        <v>1000</v>
      </c>
      <c r="J26" s="786">
        <v>0.99904196994984318</v>
      </c>
      <c r="K26" s="784">
        <v>22.229406086680996</v>
      </c>
      <c r="L26" s="784">
        <v>162.845</v>
      </c>
      <c r="M26" s="784">
        <v>0.9607</v>
      </c>
      <c r="N26" s="1274"/>
      <c r="O26" s="1275"/>
      <c r="P26" s="1275"/>
      <c r="Q26" s="1275"/>
      <c r="R26" s="264"/>
      <c r="AF26" s="846">
        <v>224</v>
      </c>
    </row>
    <row r="27" spans="1:32" ht="15" x14ac:dyDescent="0.2">
      <c r="B27" s="253"/>
      <c r="C27" s="1"/>
      <c r="D27" s="769"/>
      <c r="E27" s="770" t="s">
        <v>39</v>
      </c>
      <c r="F27" s="771">
        <v>203</v>
      </c>
      <c r="G27" s="772">
        <v>282.60000000000002</v>
      </c>
      <c r="H27" s="773">
        <v>1</v>
      </c>
      <c r="I27" s="772" t="s">
        <v>1000</v>
      </c>
      <c r="J27" s="774">
        <v>0.97517949425240669</v>
      </c>
      <c r="K27" s="772">
        <v>21.99</v>
      </c>
      <c r="L27" s="772">
        <v>164.7</v>
      </c>
      <c r="M27" s="772">
        <v>0.96099999999999997</v>
      </c>
      <c r="N27" s="1274"/>
      <c r="O27" s="1275"/>
      <c r="P27" s="1275"/>
      <c r="Q27" s="1275"/>
      <c r="R27" s="264"/>
      <c r="AF27" s="842" t="s">
        <v>202</v>
      </c>
    </row>
    <row r="28" spans="1:32" ht="15.75" x14ac:dyDescent="0.2">
      <c r="B28" s="253"/>
      <c r="C28" s="1"/>
      <c r="D28" s="775" t="s">
        <v>200</v>
      </c>
      <c r="E28" s="776" t="s">
        <v>40</v>
      </c>
      <c r="F28" s="777" t="s">
        <v>1008</v>
      </c>
      <c r="G28" s="917">
        <v>280.2</v>
      </c>
      <c r="H28" s="918">
        <v>0.99080000000000001</v>
      </c>
      <c r="I28" s="917">
        <v>62</v>
      </c>
      <c r="J28" s="919">
        <v>1.0648654307929459</v>
      </c>
      <c r="K28" s="917">
        <v>22.03</v>
      </c>
      <c r="L28" s="917">
        <v>108.5</v>
      </c>
      <c r="M28" s="917">
        <v>0.94699999999999995</v>
      </c>
      <c r="N28" s="1274"/>
      <c r="O28" s="1275"/>
      <c r="P28" s="1275"/>
      <c r="Q28" s="1275"/>
      <c r="R28" s="264"/>
      <c r="AF28" s="843" t="s">
        <v>1011</v>
      </c>
    </row>
    <row r="29" spans="1:32" ht="15.75" x14ac:dyDescent="0.2">
      <c r="B29" s="253"/>
      <c r="C29" s="1"/>
      <c r="D29" s="787"/>
      <c r="E29" s="782" t="s">
        <v>41</v>
      </c>
      <c r="F29" s="783" t="s">
        <v>1009</v>
      </c>
      <c r="G29" s="784">
        <v>281.39999999999998</v>
      </c>
      <c r="H29" s="785">
        <v>0.99540000000000006</v>
      </c>
      <c r="I29" s="784">
        <v>62</v>
      </c>
      <c r="J29" s="786">
        <v>1.0179140967494438</v>
      </c>
      <c r="K29" s="784">
        <v>22.009999999999998</v>
      </c>
      <c r="L29" s="784">
        <v>136.6</v>
      </c>
      <c r="M29" s="784">
        <v>0.95399999999999996</v>
      </c>
      <c r="N29" s="1274"/>
      <c r="O29" s="1275"/>
      <c r="P29" s="1275"/>
      <c r="Q29" s="1275"/>
      <c r="R29" s="264"/>
      <c r="AF29" s="847" t="s">
        <v>1016</v>
      </c>
    </row>
    <row r="30" spans="1:32" ht="15.75" x14ac:dyDescent="0.2">
      <c r="B30" s="253"/>
      <c r="C30" s="1"/>
      <c r="D30" s="769"/>
      <c r="E30" s="770" t="s">
        <v>39</v>
      </c>
      <c r="F30" s="771" t="s">
        <v>1008</v>
      </c>
      <c r="G30" s="789">
        <v>280</v>
      </c>
      <c r="H30" s="790">
        <v>0.99080000000000001</v>
      </c>
      <c r="I30" s="789">
        <v>62</v>
      </c>
      <c r="J30" s="791">
        <v>1.0641432433186884</v>
      </c>
      <c r="K30" s="789">
        <v>22.03</v>
      </c>
      <c r="L30" s="789">
        <v>108.5</v>
      </c>
      <c r="M30" s="789">
        <v>0.94699999999999995</v>
      </c>
      <c r="N30" s="1274"/>
      <c r="O30" s="1275"/>
      <c r="P30" s="1275"/>
      <c r="Q30" s="1275"/>
      <c r="R30" s="264"/>
      <c r="AF30" s="843" t="s">
        <v>1017</v>
      </c>
    </row>
    <row r="31" spans="1:32" ht="15" x14ac:dyDescent="0.2">
      <c r="B31" s="253"/>
      <c r="C31" s="1"/>
      <c r="D31" s="775" t="s">
        <v>201</v>
      </c>
      <c r="E31" s="776" t="s">
        <v>40</v>
      </c>
      <c r="F31" s="777" t="s">
        <v>202</v>
      </c>
      <c r="G31" s="778">
        <v>267.5</v>
      </c>
      <c r="H31" s="779">
        <v>1</v>
      </c>
      <c r="I31" s="778" t="s">
        <v>1000</v>
      </c>
      <c r="J31" s="780">
        <v>1.0190065261775836</v>
      </c>
      <c r="K31" s="778">
        <v>22.03</v>
      </c>
      <c r="L31" s="778">
        <v>108.5</v>
      </c>
      <c r="M31" s="778">
        <v>0.94699999999999995</v>
      </c>
      <c r="N31" s="1274"/>
      <c r="O31" s="1275"/>
      <c r="P31" s="1275"/>
      <c r="Q31" s="1275"/>
      <c r="R31" s="264"/>
      <c r="AF31" s="847" t="s">
        <v>1009</v>
      </c>
    </row>
    <row r="32" spans="1:32" ht="15.75" x14ac:dyDescent="0.2">
      <c r="B32" s="253"/>
      <c r="C32" s="1"/>
      <c r="D32" s="781"/>
      <c r="E32" s="782" t="s">
        <v>41</v>
      </c>
      <c r="F32" s="783" t="s">
        <v>1010</v>
      </c>
      <c r="G32" s="784">
        <v>273.75</v>
      </c>
      <c r="H32" s="785">
        <v>0.99540000000000006</v>
      </c>
      <c r="I32" s="784">
        <v>62</v>
      </c>
      <c r="J32" s="786">
        <v>1.0415748847481359</v>
      </c>
      <c r="K32" s="784">
        <v>22.03</v>
      </c>
      <c r="L32" s="784">
        <v>108.5</v>
      </c>
      <c r="M32" s="784">
        <v>0.94699999999999995</v>
      </c>
      <c r="N32" s="1274"/>
      <c r="O32" s="1275"/>
      <c r="P32" s="1275"/>
      <c r="Q32" s="1275"/>
      <c r="R32" s="264"/>
      <c r="AF32" s="848" t="s">
        <v>786</v>
      </c>
    </row>
    <row r="33" spans="2:32" ht="15.75" x14ac:dyDescent="0.2">
      <c r="B33" s="253"/>
      <c r="C33" s="1"/>
      <c r="D33" s="769"/>
      <c r="E33" s="770" t="s">
        <v>39</v>
      </c>
      <c r="F33" s="771">
        <v>105</v>
      </c>
      <c r="G33" s="772">
        <v>279.2</v>
      </c>
      <c r="H33" s="773">
        <v>1</v>
      </c>
      <c r="I33" s="772" t="s">
        <v>1000</v>
      </c>
      <c r="J33" s="774">
        <v>1.0130573431712169</v>
      </c>
      <c r="K33" s="772">
        <v>22.72</v>
      </c>
      <c r="L33" s="772">
        <v>154.19999999999999</v>
      </c>
      <c r="M33" s="772">
        <v>0.96</v>
      </c>
      <c r="N33" s="1274"/>
      <c r="O33" s="1275"/>
      <c r="P33" s="1275"/>
      <c r="Q33" s="1275"/>
      <c r="R33" s="264"/>
      <c r="AF33" s="843" t="s">
        <v>1003</v>
      </c>
    </row>
    <row r="34" spans="2:32" ht="15" x14ac:dyDescent="0.2">
      <c r="B34" s="253"/>
      <c r="C34" s="1"/>
      <c r="D34" s="775" t="s">
        <v>203</v>
      </c>
      <c r="E34" s="776" t="s">
        <v>40</v>
      </c>
      <c r="F34" s="777">
        <v>104</v>
      </c>
      <c r="G34" s="778">
        <v>279.2</v>
      </c>
      <c r="H34" s="779">
        <v>1</v>
      </c>
      <c r="I34" s="778" t="s">
        <v>1000</v>
      </c>
      <c r="J34" s="780">
        <v>0.9957087497754683</v>
      </c>
      <c r="K34" s="778">
        <v>22.4</v>
      </c>
      <c r="L34" s="778">
        <v>156.1</v>
      </c>
      <c r="M34" s="778">
        <v>0.96</v>
      </c>
      <c r="N34" s="1274"/>
      <c r="O34" s="1275"/>
      <c r="P34" s="1275"/>
      <c r="Q34" s="1275"/>
      <c r="R34" s="264"/>
      <c r="AF34" s="847" t="s">
        <v>1012</v>
      </c>
    </row>
    <row r="35" spans="2:32" ht="15.75" x14ac:dyDescent="0.2">
      <c r="B35" s="253"/>
      <c r="C35" s="1"/>
      <c r="D35" s="781"/>
      <c r="E35" s="782" t="s">
        <v>41</v>
      </c>
      <c r="F35" s="783" t="s">
        <v>1011</v>
      </c>
      <c r="G35" s="784">
        <v>279.2</v>
      </c>
      <c r="H35" s="785">
        <v>1</v>
      </c>
      <c r="I35" s="784" t="s">
        <v>1000</v>
      </c>
      <c r="J35" s="786">
        <v>1.0043696504205701</v>
      </c>
      <c r="K35" s="784">
        <v>22.56</v>
      </c>
      <c r="L35" s="784">
        <v>155.14999999999998</v>
      </c>
      <c r="M35" s="784">
        <v>0.96</v>
      </c>
      <c r="N35" s="1274"/>
      <c r="O35" s="1275"/>
      <c r="P35" s="1275"/>
      <c r="Q35" s="1275"/>
      <c r="R35" s="264"/>
      <c r="AF35" s="848" t="s">
        <v>785</v>
      </c>
    </row>
    <row r="36" spans="2:32" ht="15.75" x14ac:dyDescent="0.2">
      <c r="B36" s="253"/>
      <c r="C36" s="1"/>
      <c r="D36" s="769"/>
      <c r="E36" s="770" t="s">
        <v>39</v>
      </c>
      <c r="F36" s="771" t="s">
        <v>248</v>
      </c>
      <c r="G36" s="789">
        <v>277.60000000000002</v>
      </c>
      <c r="H36" s="790">
        <v>1</v>
      </c>
      <c r="I36" s="789" t="s">
        <v>1000</v>
      </c>
      <c r="J36" s="791">
        <v>1.0075422300406487</v>
      </c>
      <c r="K36" s="789">
        <v>22.72</v>
      </c>
      <c r="L36" s="789">
        <v>154.19999999999999</v>
      </c>
      <c r="M36" s="789">
        <v>0.96</v>
      </c>
      <c r="N36" s="1274"/>
      <c r="O36" s="1275"/>
      <c r="P36" s="1275"/>
      <c r="Q36" s="1275"/>
      <c r="R36" s="264"/>
      <c r="AF36" s="843" t="s">
        <v>1013</v>
      </c>
    </row>
    <row r="37" spans="2:32" ht="15" x14ac:dyDescent="0.2">
      <c r="B37" s="253"/>
      <c r="C37" s="1"/>
      <c r="D37" s="775" t="s">
        <v>567</v>
      </c>
      <c r="E37" s="776" t="s">
        <v>40</v>
      </c>
      <c r="F37" s="777" t="s">
        <v>249</v>
      </c>
      <c r="G37" s="917">
        <v>274.60000000000002</v>
      </c>
      <c r="H37" s="918">
        <v>1</v>
      </c>
      <c r="I37" s="917" t="s">
        <v>1000</v>
      </c>
      <c r="J37" s="919">
        <v>0.79162607668602314</v>
      </c>
      <c r="K37" s="917">
        <v>22.72</v>
      </c>
      <c r="L37" s="917">
        <v>313.7</v>
      </c>
      <c r="M37" s="917">
        <v>0.99</v>
      </c>
      <c r="N37" s="1274"/>
      <c r="O37" s="1275"/>
      <c r="P37" s="1275"/>
      <c r="Q37" s="1275"/>
      <c r="R37" s="264"/>
      <c r="AF37" s="847" t="s">
        <v>1007</v>
      </c>
    </row>
    <row r="38" spans="2:32" ht="15.75" x14ac:dyDescent="0.2">
      <c r="B38" s="253"/>
      <c r="C38" s="1"/>
      <c r="D38" s="781"/>
      <c r="E38" s="782" t="s">
        <v>41</v>
      </c>
      <c r="F38" s="783" t="s">
        <v>1012</v>
      </c>
      <c r="G38" s="784">
        <v>276.10000000000002</v>
      </c>
      <c r="H38" s="785">
        <v>1</v>
      </c>
      <c r="I38" s="784" t="s">
        <v>1000</v>
      </c>
      <c r="J38" s="786">
        <v>0.88717741423945706</v>
      </c>
      <c r="K38" s="784">
        <v>22.72</v>
      </c>
      <c r="L38" s="784">
        <v>233.95</v>
      </c>
      <c r="M38" s="784">
        <v>0.97499999999999998</v>
      </c>
      <c r="N38" s="1274"/>
      <c r="O38" s="1275"/>
      <c r="P38" s="1275"/>
      <c r="Q38" s="1275"/>
      <c r="R38" s="264"/>
      <c r="AF38" s="848" t="s">
        <v>1010</v>
      </c>
    </row>
    <row r="39" spans="2:32" ht="15.75" x14ac:dyDescent="0.2">
      <c r="B39" s="253"/>
      <c r="C39" s="1"/>
      <c r="D39" s="769"/>
      <c r="E39" s="770" t="s">
        <v>39</v>
      </c>
      <c r="F39" s="771" t="s">
        <v>375</v>
      </c>
      <c r="G39" s="789">
        <v>273.60000000000002</v>
      </c>
      <c r="H39" s="790">
        <v>1</v>
      </c>
      <c r="I39" s="789" t="s">
        <v>1000</v>
      </c>
      <c r="J39" s="791">
        <v>0.78888972661106271</v>
      </c>
      <c r="K39" s="789">
        <v>22.72</v>
      </c>
      <c r="L39" s="789">
        <v>313.7</v>
      </c>
      <c r="M39" s="789">
        <v>0.99</v>
      </c>
      <c r="N39" s="1274"/>
      <c r="O39" s="1275"/>
      <c r="P39" s="1275"/>
      <c r="Q39" s="1275"/>
      <c r="R39" s="264"/>
      <c r="AF39" s="843" t="s">
        <v>1001</v>
      </c>
    </row>
    <row r="40" spans="2:32" ht="15" x14ac:dyDescent="0.2">
      <c r="B40" s="253"/>
      <c r="C40" s="1"/>
      <c r="D40" s="775" t="s">
        <v>566</v>
      </c>
      <c r="E40" s="776" t="s">
        <v>40</v>
      </c>
      <c r="F40" s="777" t="s">
        <v>377</v>
      </c>
      <c r="G40" s="778">
        <v>240.6</v>
      </c>
      <c r="H40" s="779">
        <v>1</v>
      </c>
      <c r="I40" s="778" t="s">
        <v>1000</v>
      </c>
      <c r="J40" s="780">
        <v>0.58685031486247297</v>
      </c>
      <c r="K40" s="778">
        <v>23.06</v>
      </c>
      <c r="L40" s="778">
        <v>474.8</v>
      </c>
      <c r="M40" s="778">
        <v>0.99</v>
      </c>
      <c r="N40" s="1274"/>
      <c r="O40" s="1275"/>
      <c r="P40" s="1275"/>
      <c r="Q40" s="1275"/>
      <c r="R40" s="264"/>
      <c r="AF40" s="847" t="s">
        <v>1014</v>
      </c>
    </row>
    <row r="41" spans="2:32" ht="15.75" x14ac:dyDescent="0.2">
      <c r="B41" s="253"/>
      <c r="C41" s="1"/>
      <c r="D41" s="781"/>
      <c r="E41" s="782" t="s">
        <v>41</v>
      </c>
      <c r="F41" s="783" t="s">
        <v>1001</v>
      </c>
      <c r="G41" s="784">
        <v>257.10000000000002</v>
      </c>
      <c r="H41" s="785">
        <v>1</v>
      </c>
      <c r="I41" s="784" t="s">
        <v>1000</v>
      </c>
      <c r="J41" s="786">
        <v>0.67865051889206296</v>
      </c>
      <c r="K41" s="784">
        <v>22.89</v>
      </c>
      <c r="L41" s="784">
        <v>394.25</v>
      </c>
      <c r="M41" s="784">
        <v>0.99</v>
      </c>
      <c r="N41" s="1274"/>
      <c r="O41" s="1275"/>
      <c r="P41" s="1275"/>
      <c r="Q41" s="1275"/>
      <c r="R41" s="264"/>
      <c r="AF41" s="842" t="s">
        <v>248</v>
      </c>
    </row>
    <row r="42" spans="2:32" ht="15.75" x14ac:dyDescent="0.2">
      <c r="B42" s="253"/>
      <c r="C42" s="1"/>
      <c r="D42" s="769"/>
      <c r="E42" s="770" t="s">
        <v>39</v>
      </c>
      <c r="F42" s="771" t="s">
        <v>251</v>
      </c>
      <c r="G42" s="789">
        <v>240.2</v>
      </c>
      <c r="H42" s="790">
        <v>1</v>
      </c>
      <c r="I42" s="789" t="s">
        <v>1000</v>
      </c>
      <c r="J42" s="791">
        <v>0.58599353358984785</v>
      </c>
      <c r="K42" s="789">
        <v>23.06</v>
      </c>
      <c r="L42" s="789">
        <v>474.7</v>
      </c>
      <c r="M42" s="789">
        <v>0.99</v>
      </c>
      <c r="N42" s="1274"/>
      <c r="O42" s="1275"/>
      <c r="P42" s="1275"/>
      <c r="Q42" s="1275"/>
      <c r="R42" s="264"/>
      <c r="AF42" s="846" t="s">
        <v>249</v>
      </c>
    </row>
    <row r="43" spans="2:32" ht="15" x14ac:dyDescent="0.2">
      <c r="B43" s="253"/>
      <c r="C43" s="1"/>
      <c r="D43" s="775" t="s">
        <v>642</v>
      </c>
      <c r="E43" s="776" t="s">
        <v>40</v>
      </c>
      <c r="F43" s="777" t="s">
        <v>252</v>
      </c>
      <c r="G43" s="917">
        <v>239</v>
      </c>
      <c r="H43" s="918">
        <v>1</v>
      </c>
      <c r="I43" s="917" t="s">
        <v>1000</v>
      </c>
      <c r="J43" s="919">
        <v>0.636113886097321</v>
      </c>
      <c r="K43" s="917">
        <v>23.06</v>
      </c>
      <c r="L43" s="917">
        <v>397</v>
      </c>
      <c r="M43" s="917">
        <v>0.99</v>
      </c>
      <c r="N43" s="1274"/>
      <c r="O43" s="1275"/>
      <c r="P43" s="1275"/>
      <c r="Q43" s="1275"/>
      <c r="R43" s="264"/>
      <c r="AF43" s="844" t="s">
        <v>250</v>
      </c>
    </row>
    <row r="44" spans="2:32" ht="15.75" x14ac:dyDescent="0.2">
      <c r="B44" s="253"/>
      <c r="C44" s="1"/>
      <c r="D44" s="787"/>
      <c r="E44" s="782" t="s">
        <v>41</v>
      </c>
      <c r="F44" s="783" t="s">
        <v>1013</v>
      </c>
      <c r="G44" s="784">
        <v>239.6</v>
      </c>
      <c r="H44" s="785">
        <v>1</v>
      </c>
      <c r="I44" s="784" t="s">
        <v>1000</v>
      </c>
      <c r="J44" s="786">
        <v>0.60996693432596694</v>
      </c>
      <c r="K44" s="784">
        <v>23.06</v>
      </c>
      <c r="L44" s="784">
        <v>435.85</v>
      </c>
      <c r="M44" s="784">
        <v>0.99</v>
      </c>
      <c r="N44" s="1274"/>
      <c r="O44" s="1275"/>
      <c r="P44" s="1275"/>
      <c r="Q44" s="1275"/>
      <c r="R44" s="264"/>
      <c r="AF44" s="842" t="s">
        <v>251</v>
      </c>
    </row>
    <row r="45" spans="2:32" ht="15.75" x14ac:dyDescent="0.2">
      <c r="B45" s="253"/>
      <c r="C45" s="1"/>
      <c r="D45" s="769"/>
      <c r="E45" s="770" t="s">
        <v>39</v>
      </c>
      <c r="F45" s="771" t="s">
        <v>250</v>
      </c>
      <c r="G45" s="772">
        <v>238.1</v>
      </c>
      <c r="H45" s="773">
        <v>1</v>
      </c>
      <c r="I45" s="772" t="s">
        <v>1000</v>
      </c>
      <c r="J45" s="774">
        <v>0.63385727396690095</v>
      </c>
      <c r="K45" s="772">
        <v>23.06</v>
      </c>
      <c r="L45" s="772">
        <v>397</v>
      </c>
      <c r="M45" s="772">
        <v>0.99</v>
      </c>
      <c r="N45" s="1274"/>
      <c r="O45" s="1275"/>
      <c r="P45" s="1275"/>
      <c r="Q45" s="1275"/>
      <c r="R45" s="264"/>
      <c r="AF45" s="846" t="s">
        <v>252</v>
      </c>
    </row>
    <row r="46" spans="2:32" ht="15" x14ac:dyDescent="0.2">
      <c r="B46" s="253"/>
      <c r="C46" s="1"/>
      <c r="D46" s="775" t="s">
        <v>568</v>
      </c>
      <c r="E46" s="776" t="s">
        <v>40</v>
      </c>
      <c r="F46" s="777">
        <v>106</v>
      </c>
      <c r="G46" s="778">
        <v>236.8</v>
      </c>
      <c r="H46" s="779">
        <v>1</v>
      </c>
      <c r="I46" s="788" t="s">
        <v>1000</v>
      </c>
      <c r="J46" s="780">
        <v>0.76492887290425349</v>
      </c>
      <c r="K46" s="778">
        <v>23.06</v>
      </c>
      <c r="L46" s="778">
        <v>246.5</v>
      </c>
      <c r="M46" s="778">
        <v>0.98</v>
      </c>
      <c r="N46" s="1274"/>
      <c r="O46" s="1275"/>
      <c r="P46" s="1275"/>
      <c r="Q46" s="1275"/>
      <c r="R46" s="264"/>
      <c r="AF46" s="844" t="s">
        <v>255</v>
      </c>
    </row>
    <row r="47" spans="2:32" ht="15.75" x14ac:dyDescent="0.2">
      <c r="B47" s="253"/>
      <c r="C47" s="1"/>
      <c r="D47" s="781"/>
      <c r="E47" s="782" t="s">
        <v>41</v>
      </c>
      <c r="F47" s="783" t="s">
        <v>785</v>
      </c>
      <c r="G47" s="784">
        <v>237.45</v>
      </c>
      <c r="H47" s="785">
        <v>1</v>
      </c>
      <c r="I47" s="784" t="s">
        <v>1000</v>
      </c>
      <c r="J47" s="786">
        <v>0.69308470258809662</v>
      </c>
      <c r="K47" s="784">
        <v>23.06</v>
      </c>
      <c r="L47" s="784">
        <v>321.75</v>
      </c>
      <c r="M47" s="784">
        <v>0.98499999999999999</v>
      </c>
      <c r="N47" s="1274"/>
      <c r="O47" s="1275"/>
      <c r="P47" s="1275"/>
      <c r="Q47" s="1275"/>
      <c r="R47" s="264"/>
      <c r="AF47" s="842" t="s">
        <v>1005</v>
      </c>
    </row>
    <row r="48" spans="2:32" ht="15.75" x14ac:dyDescent="0.2">
      <c r="B48" s="253"/>
      <c r="C48" s="1"/>
      <c r="D48" s="769"/>
      <c r="E48" s="770" t="s">
        <v>39</v>
      </c>
      <c r="F48" s="771">
        <v>221</v>
      </c>
      <c r="G48" s="772">
        <v>235.9</v>
      </c>
      <c r="H48" s="773">
        <v>1</v>
      </c>
      <c r="I48" s="772" t="s">
        <v>1000</v>
      </c>
      <c r="J48" s="774">
        <v>0.76208368541053639</v>
      </c>
      <c r="K48" s="772">
        <v>23.06</v>
      </c>
      <c r="L48" s="772">
        <v>246.6</v>
      </c>
      <c r="M48" s="772">
        <v>0.98</v>
      </c>
      <c r="N48" s="1274"/>
      <c r="O48" s="1275"/>
      <c r="P48" s="1275"/>
      <c r="Q48" s="1275"/>
      <c r="R48" s="264"/>
      <c r="AF48" s="846" t="s">
        <v>1015</v>
      </c>
    </row>
    <row r="49" spans="1:32" ht="15" x14ac:dyDescent="0.2">
      <c r="B49" s="253"/>
      <c r="C49" s="1"/>
      <c r="D49" s="775" t="s">
        <v>569</v>
      </c>
      <c r="E49" s="776" t="s">
        <v>40</v>
      </c>
      <c r="F49" s="777" t="s">
        <v>255</v>
      </c>
      <c r="G49" s="778">
        <v>234.5</v>
      </c>
      <c r="H49" s="779">
        <v>0.99</v>
      </c>
      <c r="I49" s="788">
        <v>61.06</v>
      </c>
      <c r="J49" s="780">
        <v>0.91378842560845364</v>
      </c>
      <c r="K49" s="778">
        <v>23.06</v>
      </c>
      <c r="L49" s="778">
        <v>126</v>
      </c>
      <c r="M49" s="778">
        <v>0.96</v>
      </c>
      <c r="N49" s="1274"/>
      <c r="O49" s="1275"/>
      <c r="P49" s="1275"/>
      <c r="Q49" s="1275"/>
      <c r="R49" s="264"/>
      <c r="AF49" s="845" t="s">
        <v>375</v>
      </c>
    </row>
    <row r="50" spans="1:32" ht="15.75" x14ac:dyDescent="0.2">
      <c r="B50" s="253"/>
      <c r="C50" s="1"/>
      <c r="D50" s="781"/>
      <c r="E50" s="782" t="s">
        <v>41</v>
      </c>
      <c r="F50" s="783" t="s">
        <v>786</v>
      </c>
      <c r="G50" s="784">
        <v>235.2</v>
      </c>
      <c r="H50" s="785">
        <v>0.995</v>
      </c>
      <c r="I50" s="784">
        <v>61.06</v>
      </c>
      <c r="J50" s="786">
        <v>0.83085900473281682</v>
      </c>
      <c r="K50" s="784">
        <v>23.06</v>
      </c>
      <c r="L50" s="784">
        <v>186.3</v>
      </c>
      <c r="M50" s="784">
        <v>0.97</v>
      </c>
      <c r="N50" s="1274"/>
      <c r="O50" s="1275"/>
      <c r="P50" s="1275"/>
      <c r="Q50" s="1275"/>
      <c r="R50" s="264"/>
      <c r="AF50" s="845" t="s">
        <v>377</v>
      </c>
    </row>
    <row r="51" spans="1:32" ht="15" x14ac:dyDescent="0.2">
      <c r="B51" s="253"/>
      <c r="C51" s="1"/>
      <c r="D51" s="769"/>
      <c r="E51" s="770" t="s">
        <v>39</v>
      </c>
      <c r="F51" s="771" t="s">
        <v>381</v>
      </c>
      <c r="G51" s="789">
        <v>234.1</v>
      </c>
      <c r="H51" s="790">
        <v>0.99</v>
      </c>
      <c r="I51" s="789">
        <v>0.95</v>
      </c>
      <c r="J51" s="791">
        <v>0.91193919491492248</v>
      </c>
      <c r="K51" s="789">
        <v>23.07</v>
      </c>
      <c r="L51" s="789">
        <v>126.5</v>
      </c>
      <c r="M51" s="789">
        <v>0.96</v>
      </c>
      <c r="N51" s="1274"/>
      <c r="O51" s="1275"/>
      <c r="P51" s="1275"/>
      <c r="Q51" s="1275"/>
      <c r="R51" s="264"/>
      <c r="AF51" s="845" t="s">
        <v>381</v>
      </c>
    </row>
    <row r="52" spans="1:32" ht="15" x14ac:dyDescent="0.2">
      <c r="B52" s="253"/>
      <c r="C52" s="1"/>
      <c r="D52" s="775" t="s">
        <v>652</v>
      </c>
      <c r="E52" s="776" t="s">
        <v>40</v>
      </c>
      <c r="F52" s="777">
        <v>223</v>
      </c>
      <c r="G52" s="778">
        <v>232.9</v>
      </c>
      <c r="H52" s="779">
        <v>1</v>
      </c>
      <c r="I52" s="788" t="s">
        <v>1000</v>
      </c>
      <c r="J52" s="780">
        <v>0.93833379533327599</v>
      </c>
      <c r="K52" s="778">
        <v>22.47</v>
      </c>
      <c r="L52" s="778">
        <v>92.5</v>
      </c>
      <c r="M52" s="778">
        <v>0.96</v>
      </c>
      <c r="N52" s="1274"/>
      <c r="O52" s="1275"/>
      <c r="P52" s="1275"/>
      <c r="Q52" s="1275"/>
      <c r="R52" s="264"/>
    </row>
    <row r="53" spans="1:32" ht="15.75" x14ac:dyDescent="0.2">
      <c r="B53" s="253"/>
      <c r="C53" s="1"/>
      <c r="D53" s="781"/>
      <c r="E53" s="782" t="s">
        <v>41</v>
      </c>
      <c r="F53" s="783" t="s">
        <v>1014</v>
      </c>
      <c r="G53" s="784">
        <v>233.5</v>
      </c>
      <c r="H53" s="785">
        <v>0.995</v>
      </c>
      <c r="I53" s="784">
        <v>0.95</v>
      </c>
      <c r="J53" s="786">
        <v>0.92471309387003919</v>
      </c>
      <c r="K53" s="784">
        <v>22.77</v>
      </c>
      <c r="L53" s="784">
        <v>109.5</v>
      </c>
      <c r="M53" s="784">
        <v>0.96</v>
      </c>
      <c r="N53" s="1274"/>
      <c r="O53" s="1275"/>
      <c r="P53" s="1275"/>
      <c r="Q53" s="1275"/>
      <c r="R53" s="264"/>
    </row>
    <row r="54" spans="1:32" ht="15" x14ac:dyDescent="0.2">
      <c r="B54" s="253"/>
      <c r="C54" s="1"/>
      <c r="D54" s="756" t="s">
        <v>653</v>
      </c>
      <c r="E54" s="7" t="s">
        <v>40</v>
      </c>
      <c r="F54" s="762">
        <v>224</v>
      </c>
      <c r="G54" s="137">
        <v>232.9</v>
      </c>
      <c r="H54" s="766"/>
      <c r="I54" s="767">
        <v>61.63</v>
      </c>
      <c r="J54" s="768">
        <v>0.76160620542109803</v>
      </c>
      <c r="K54" s="767">
        <v>19.05</v>
      </c>
      <c r="L54" s="767">
        <v>117.1</v>
      </c>
      <c r="M54" s="767"/>
      <c r="N54" s="1"/>
      <c r="O54" s="1"/>
      <c r="P54" s="1"/>
      <c r="Q54" s="1"/>
      <c r="R54" s="264"/>
    </row>
    <row r="55" spans="1:32" ht="15" x14ac:dyDescent="0.2">
      <c r="B55" s="253"/>
      <c r="C55" s="1"/>
      <c r="D55" s="756" t="s">
        <v>545</v>
      </c>
      <c r="E55" s="7" t="s">
        <v>40</v>
      </c>
      <c r="F55" s="762">
        <v>102</v>
      </c>
      <c r="G55" s="137">
        <v>295</v>
      </c>
      <c r="H55" s="766">
        <v>1</v>
      </c>
      <c r="I55" s="767" t="s">
        <v>1000</v>
      </c>
      <c r="J55" s="768">
        <v>1.4852976590223028</v>
      </c>
      <c r="K55" s="767">
        <v>28.05</v>
      </c>
      <c r="L55" s="767">
        <v>85</v>
      </c>
      <c r="M55" s="767">
        <v>0.87</v>
      </c>
      <c r="N55" s="1"/>
      <c r="O55" s="1"/>
      <c r="P55" s="1"/>
      <c r="Q55" s="1"/>
      <c r="R55" s="264"/>
    </row>
    <row r="56" spans="1:32" ht="15" x14ac:dyDescent="0.2">
      <c r="B56" s="253"/>
      <c r="C56" s="1"/>
      <c r="D56" s="756" t="s">
        <v>542</v>
      </c>
      <c r="E56" s="7" t="s">
        <v>40</v>
      </c>
      <c r="F56" s="762">
        <v>101</v>
      </c>
      <c r="G56" s="137">
        <v>315</v>
      </c>
      <c r="H56" s="766">
        <v>1</v>
      </c>
      <c r="I56" s="767" t="s">
        <v>1000</v>
      </c>
      <c r="J56" s="768">
        <v>1.8044466524882281</v>
      </c>
      <c r="K56" s="767">
        <v>32.01</v>
      </c>
      <c r="L56" s="767">
        <v>85</v>
      </c>
      <c r="M56" s="767">
        <v>0.98</v>
      </c>
      <c r="N56" s="1"/>
      <c r="O56" s="1"/>
      <c r="P56" s="1"/>
      <c r="Q56" s="1"/>
      <c r="R56" s="264"/>
    </row>
    <row r="57" spans="1:32" ht="20.100000000000001" customHeight="1" x14ac:dyDescent="0.2">
      <c r="B57" s="253"/>
      <c r="C57" s="1"/>
      <c r="D57" s="1"/>
      <c r="E57" s="1"/>
      <c r="F57" s="841"/>
      <c r="G57" s="1"/>
      <c r="H57" s="1"/>
      <c r="I57" s="1"/>
      <c r="J57" s="1"/>
      <c r="K57" s="1"/>
      <c r="L57" s="1"/>
      <c r="M57" s="1"/>
      <c r="N57" s="1"/>
      <c r="O57" s="1"/>
      <c r="P57" s="1"/>
      <c r="Q57" s="1"/>
      <c r="R57" s="264"/>
    </row>
    <row r="58" spans="1:32" ht="20.100000000000001" customHeight="1" x14ac:dyDescent="0.2">
      <c r="B58" s="253"/>
      <c r="C58" s="1"/>
      <c r="D58" s="1"/>
      <c r="E58" s="1"/>
      <c r="F58" s="1"/>
      <c r="G58" s="1"/>
      <c r="H58" s="1"/>
      <c r="I58" s="1"/>
      <c r="J58" s="1"/>
      <c r="K58" s="336"/>
      <c r="L58" s="1"/>
      <c r="M58" s="1"/>
      <c r="N58" s="1"/>
      <c r="O58" s="1"/>
      <c r="P58" s="1"/>
      <c r="Q58" s="1"/>
      <c r="R58" s="264"/>
    </row>
    <row r="59" spans="1:32" ht="20.100000000000001" customHeight="1" x14ac:dyDescent="0.2">
      <c r="B59" s="253"/>
      <c r="C59" s="1"/>
      <c r="D59" s="1"/>
      <c r="E59" s="1"/>
      <c r="F59" s="1"/>
      <c r="G59" s="1"/>
      <c r="H59" s="1"/>
      <c r="I59" s="1"/>
      <c r="J59" s="1"/>
      <c r="K59" s="336"/>
      <c r="L59" s="1"/>
      <c r="M59" s="1"/>
      <c r="N59" s="1"/>
      <c r="O59" s="1"/>
      <c r="P59" s="1"/>
      <c r="Q59" s="1"/>
      <c r="R59" s="264"/>
    </row>
    <row r="60" spans="1:32" ht="20.100000000000001" customHeight="1" x14ac:dyDescent="0.2">
      <c r="B60" s="253"/>
      <c r="C60" s="1"/>
      <c r="D60" s="1"/>
      <c r="E60" s="1"/>
      <c r="F60" s="1"/>
      <c r="G60" s="1"/>
      <c r="H60" s="1"/>
      <c r="I60" s="1"/>
      <c r="J60" s="1"/>
      <c r="K60" s="1"/>
      <c r="L60" s="1"/>
      <c r="M60" s="1"/>
      <c r="N60" s="1"/>
      <c r="O60" s="1"/>
      <c r="P60" s="1"/>
      <c r="Q60" s="1"/>
      <c r="R60" s="264"/>
    </row>
    <row r="61" spans="1:32" ht="20.100000000000001" customHeight="1" x14ac:dyDescent="0.2">
      <c r="B61" s="253"/>
      <c r="C61" s="1"/>
      <c r="D61" s="1"/>
      <c r="E61" s="1"/>
      <c r="F61" s="1"/>
      <c r="G61" s="1"/>
      <c r="H61" s="1"/>
      <c r="I61" s="1"/>
      <c r="J61" s="1"/>
      <c r="K61" s="336"/>
      <c r="L61" s="1"/>
      <c r="M61" s="1"/>
      <c r="N61" s="1"/>
      <c r="O61" s="1"/>
      <c r="P61" s="1"/>
      <c r="Q61" s="1"/>
      <c r="R61" s="264"/>
    </row>
    <row r="62" spans="1:32" ht="20.100000000000001" customHeight="1" x14ac:dyDescent="0.2">
      <c r="B62" s="253"/>
      <c r="C62" s="1"/>
      <c r="D62" s="1"/>
      <c r="E62" s="1"/>
      <c r="F62" s="1"/>
      <c r="G62" s="1"/>
      <c r="H62" s="1"/>
      <c r="I62" s="1"/>
      <c r="J62" s="1"/>
      <c r="K62" s="336"/>
      <c r="L62" s="1"/>
      <c r="M62" s="1"/>
      <c r="N62" s="1"/>
      <c r="O62" s="1"/>
      <c r="P62" s="1"/>
      <c r="Q62" s="1"/>
      <c r="R62" s="264"/>
    </row>
    <row r="63" spans="1:32" ht="20.100000000000001" customHeight="1" x14ac:dyDescent="0.2">
      <c r="B63" s="253"/>
      <c r="C63" s="1"/>
      <c r="D63" s="1"/>
      <c r="E63" s="1"/>
      <c r="F63" s="1"/>
      <c r="G63" s="1"/>
      <c r="H63" s="1"/>
      <c r="I63" s="1"/>
      <c r="J63" s="1"/>
      <c r="K63" s="336"/>
      <c r="L63" s="1"/>
      <c r="M63" s="1"/>
      <c r="N63" s="1"/>
      <c r="O63" s="1"/>
      <c r="P63" s="1"/>
      <c r="Q63" s="1"/>
      <c r="R63" s="264"/>
    </row>
    <row r="64" spans="1:32" ht="20.100000000000001" customHeight="1" x14ac:dyDescent="0.2">
      <c r="A64" s="126"/>
      <c r="B64" s="797"/>
      <c r="C64" s="133"/>
      <c r="D64" s="134"/>
      <c r="E64" s="134"/>
      <c r="F64" s="134"/>
      <c r="G64" s="131"/>
      <c r="H64" s="134"/>
      <c r="I64" s="134"/>
      <c r="J64" s="134"/>
      <c r="K64" s="1"/>
      <c r="L64" s="1"/>
      <c r="M64" s="1"/>
      <c r="N64" s="1"/>
      <c r="O64" s="1"/>
      <c r="P64" s="1"/>
      <c r="Q64" s="1"/>
      <c r="R64" s="264"/>
    </row>
    <row r="65" spans="1:18" ht="20.100000000000001" customHeight="1" x14ac:dyDescent="0.2">
      <c r="A65" s="126"/>
      <c r="B65" s="797"/>
      <c r="C65" s="128"/>
      <c r="D65" s="129"/>
      <c r="E65" s="334"/>
      <c r="F65" s="130"/>
      <c r="G65" s="131"/>
      <c r="H65" s="130"/>
      <c r="I65" s="130"/>
      <c r="J65" s="130"/>
      <c r="K65" s="1"/>
      <c r="L65" s="1"/>
      <c r="M65" s="1"/>
      <c r="N65" s="1"/>
      <c r="O65" s="1"/>
      <c r="P65" s="1"/>
      <c r="Q65" s="1"/>
      <c r="R65" s="264"/>
    </row>
    <row r="66" spans="1:18" ht="20.100000000000001" customHeight="1" x14ac:dyDescent="0.2">
      <c r="A66" s="132"/>
      <c r="B66" s="797"/>
      <c r="C66" s="128"/>
      <c r="D66" s="129"/>
      <c r="E66" s="334"/>
      <c r="F66" s="130"/>
      <c r="G66" s="131"/>
      <c r="H66" s="130"/>
      <c r="I66" s="130"/>
      <c r="J66" s="130"/>
      <c r="K66" s="1"/>
      <c r="L66" s="1"/>
      <c r="M66" s="1"/>
      <c r="N66" s="1"/>
      <c r="O66" s="1"/>
      <c r="P66" s="1"/>
      <c r="Q66" s="1"/>
      <c r="R66" s="264"/>
    </row>
    <row r="67" spans="1:18" ht="20.100000000000001" customHeight="1" x14ac:dyDescent="0.2">
      <c r="A67" s="126"/>
      <c r="B67" s="797"/>
      <c r="C67" s="133"/>
      <c r="D67" s="134"/>
      <c r="E67" s="333"/>
      <c r="F67" s="135"/>
      <c r="G67" s="131"/>
      <c r="H67" s="135"/>
      <c r="I67" s="135"/>
      <c r="J67" s="135"/>
      <c r="K67" s="1"/>
      <c r="L67" s="1"/>
      <c r="M67" s="1"/>
      <c r="N67" s="1"/>
      <c r="O67" s="1"/>
      <c r="P67" s="1"/>
      <c r="Q67" s="1"/>
      <c r="R67" s="264"/>
    </row>
    <row r="68" spans="1:18" ht="20.100000000000001" customHeight="1" x14ac:dyDescent="0.2">
      <c r="A68" s="126"/>
      <c r="B68" s="797"/>
      <c r="C68" s="128"/>
      <c r="D68" s="129"/>
      <c r="E68" s="334"/>
      <c r="F68" s="130"/>
      <c r="G68" s="131"/>
      <c r="H68" s="130"/>
      <c r="I68" s="130"/>
      <c r="J68" s="130"/>
      <c r="K68" s="1"/>
      <c r="L68" s="1"/>
      <c r="M68" s="1"/>
      <c r="N68" s="1"/>
      <c r="O68" s="1"/>
      <c r="P68" s="1"/>
      <c r="Q68" s="1"/>
      <c r="R68" s="264"/>
    </row>
    <row r="69" spans="1:18" ht="20.100000000000001" customHeight="1" x14ac:dyDescent="0.2">
      <c r="A69" s="132"/>
      <c r="B69" s="797"/>
      <c r="C69" s="128"/>
      <c r="D69" s="129"/>
      <c r="E69" s="334"/>
      <c r="F69" s="130"/>
      <c r="G69" s="131"/>
      <c r="H69" s="130"/>
      <c r="I69" s="130"/>
      <c r="J69" s="130"/>
      <c r="K69" s="1"/>
      <c r="L69" s="1"/>
      <c r="M69" s="1"/>
      <c r="N69" s="1"/>
      <c r="O69" s="1"/>
      <c r="P69" s="1"/>
      <c r="Q69" s="1"/>
      <c r="R69" s="264"/>
    </row>
    <row r="70" spans="1:18" ht="20.100000000000001" customHeight="1" x14ac:dyDescent="0.2">
      <c r="A70" s="126"/>
      <c r="B70" s="797"/>
      <c r="C70" s="133"/>
      <c r="D70" s="134"/>
      <c r="E70" s="333"/>
      <c r="F70" s="135"/>
      <c r="G70" s="131"/>
      <c r="H70" s="135"/>
      <c r="I70" s="135"/>
      <c r="J70" s="135"/>
      <c r="K70" s="1"/>
      <c r="L70" s="1"/>
      <c r="M70" s="1"/>
      <c r="N70" s="1"/>
      <c r="O70" s="1"/>
      <c r="P70" s="1"/>
      <c r="Q70" s="1"/>
      <c r="R70" s="264"/>
    </row>
    <row r="71" spans="1:18" ht="20.100000000000001" customHeight="1" x14ac:dyDescent="0.2">
      <c r="A71" s="126"/>
      <c r="B71" s="797"/>
      <c r="C71" s="128"/>
      <c r="D71" s="129"/>
      <c r="E71" s="334"/>
      <c r="F71" s="130"/>
      <c r="G71" s="131"/>
      <c r="H71" s="130"/>
      <c r="I71" s="130"/>
      <c r="J71" s="130"/>
      <c r="K71" s="1"/>
      <c r="L71" s="1"/>
      <c r="M71" s="1"/>
      <c r="N71" s="1"/>
      <c r="O71" s="1"/>
      <c r="P71" s="1"/>
      <c r="Q71" s="1"/>
      <c r="R71" s="264"/>
    </row>
    <row r="72" spans="1:18" ht="20.100000000000001" customHeight="1" x14ac:dyDescent="0.2">
      <c r="A72" s="126"/>
      <c r="B72" s="797"/>
      <c r="C72" s="128"/>
      <c r="D72" s="129"/>
      <c r="E72" s="334"/>
      <c r="F72" s="130"/>
      <c r="G72" s="131"/>
      <c r="H72" s="130"/>
      <c r="I72" s="130"/>
      <c r="J72" s="130"/>
      <c r="K72" s="1"/>
      <c r="L72" s="1"/>
      <c r="M72" s="1"/>
      <c r="N72" s="1"/>
      <c r="O72" s="1"/>
      <c r="P72" s="1"/>
      <c r="Q72" s="1"/>
      <c r="R72" s="264"/>
    </row>
    <row r="73" spans="1:18" ht="20.100000000000001" customHeight="1" x14ac:dyDescent="0.2">
      <c r="A73" s="126"/>
      <c r="B73" s="797"/>
      <c r="C73" s="133"/>
      <c r="D73" s="134"/>
      <c r="E73" s="333"/>
      <c r="F73" s="135"/>
      <c r="G73" s="131"/>
      <c r="H73" s="135"/>
      <c r="I73" s="135"/>
      <c r="J73" s="135"/>
      <c r="K73" s="1"/>
      <c r="L73" s="1"/>
      <c r="M73" s="1"/>
      <c r="N73" s="1"/>
      <c r="O73" s="1"/>
      <c r="P73" s="1"/>
      <c r="Q73" s="1"/>
      <c r="R73" s="264"/>
    </row>
    <row r="74" spans="1:18" ht="20.100000000000001" customHeight="1" x14ac:dyDescent="0.2">
      <c r="A74" s="126"/>
      <c r="B74" s="797"/>
      <c r="C74" s="128"/>
      <c r="D74" s="129"/>
      <c r="E74" s="334"/>
      <c r="F74" s="136"/>
      <c r="G74" s="131"/>
      <c r="H74" s="130"/>
      <c r="I74" s="130"/>
      <c r="J74" s="130"/>
      <c r="K74" s="1"/>
      <c r="L74" s="1"/>
      <c r="M74" s="1"/>
      <c r="N74" s="1"/>
      <c r="O74" s="1"/>
      <c r="P74" s="1"/>
      <c r="Q74" s="1"/>
      <c r="R74" s="264"/>
    </row>
    <row r="75" spans="1:18" ht="20.100000000000001" customHeight="1" x14ac:dyDescent="0.2">
      <c r="A75" s="132"/>
      <c r="B75" s="797"/>
      <c r="C75" s="128"/>
      <c r="D75" s="129"/>
      <c r="E75" s="334"/>
      <c r="F75" s="130"/>
      <c r="G75" s="131"/>
      <c r="H75" s="130"/>
      <c r="I75" s="130"/>
      <c r="J75" s="130"/>
      <c r="K75" s="1"/>
      <c r="L75" s="1"/>
      <c r="M75" s="1"/>
      <c r="N75" s="1"/>
      <c r="O75" s="1"/>
      <c r="P75" s="1"/>
      <c r="Q75" s="1"/>
      <c r="R75" s="264"/>
    </row>
    <row r="76" spans="1:18" ht="20.100000000000001" customHeight="1" thickBot="1" x14ac:dyDescent="0.25">
      <c r="A76" s="126"/>
      <c r="B76" s="798"/>
      <c r="C76" s="799"/>
      <c r="D76" s="800"/>
      <c r="E76" s="801"/>
      <c r="F76" s="799"/>
      <c r="G76" s="802"/>
      <c r="H76" s="799"/>
      <c r="I76" s="799"/>
      <c r="J76" s="799"/>
      <c r="K76" s="271"/>
      <c r="L76" s="271"/>
      <c r="M76" s="271"/>
      <c r="N76" s="271"/>
      <c r="O76" s="271"/>
      <c r="P76" s="271"/>
      <c r="Q76" s="271"/>
      <c r="R76" s="305"/>
    </row>
    <row r="77" spans="1:18" ht="20.100000000000001" customHeight="1" x14ac:dyDescent="0.2">
      <c r="A77" s="126"/>
      <c r="B77" s="127"/>
      <c r="C77" s="128"/>
      <c r="D77" s="129"/>
      <c r="E77" s="334"/>
      <c r="F77" s="130"/>
      <c r="G77" s="131"/>
      <c r="H77" s="130"/>
      <c r="I77" s="130"/>
      <c r="J77" s="130"/>
      <c r="K77" s="1"/>
    </row>
    <row r="78" spans="1:18" ht="20.100000000000001" customHeight="1" x14ac:dyDescent="0.2">
      <c r="A78" s="132"/>
      <c r="B78" s="127"/>
      <c r="C78" s="128"/>
      <c r="D78" s="129"/>
      <c r="E78" s="334"/>
      <c r="F78" s="130"/>
      <c r="G78" s="131"/>
      <c r="H78" s="130"/>
      <c r="I78" s="130"/>
      <c r="J78" s="130"/>
      <c r="K78" s="1"/>
    </row>
    <row r="79" spans="1:18" ht="20.100000000000001" customHeight="1" x14ac:dyDescent="0.2">
      <c r="A79" s="126"/>
      <c r="B79" s="127"/>
      <c r="C79" s="135"/>
      <c r="D79" s="134"/>
      <c r="E79" s="333"/>
      <c r="F79" s="135"/>
      <c r="G79" s="131"/>
      <c r="H79" s="135"/>
      <c r="I79" s="135"/>
      <c r="J79" s="135"/>
      <c r="K79" s="1"/>
    </row>
    <row r="80" spans="1:18" ht="20.100000000000001" customHeight="1" x14ac:dyDescent="0.2">
      <c r="A80" s="126"/>
      <c r="B80" s="127"/>
      <c r="C80" s="128"/>
      <c r="D80" s="129"/>
      <c r="E80" s="334"/>
      <c r="F80" s="130"/>
      <c r="G80" s="131"/>
      <c r="H80" s="130"/>
      <c r="I80" s="130"/>
      <c r="J80" s="130"/>
      <c r="K80" s="1"/>
    </row>
    <row r="81" spans="1:11" ht="20.100000000000001" customHeight="1" x14ac:dyDescent="0.2">
      <c r="A81" s="132"/>
      <c r="B81" s="127"/>
      <c r="C81" s="128"/>
      <c r="D81" s="129"/>
      <c r="E81" s="334"/>
      <c r="F81" s="136"/>
      <c r="G81" s="131"/>
      <c r="H81" s="130"/>
      <c r="I81" s="130"/>
      <c r="J81" s="130"/>
      <c r="K81" s="1"/>
    </row>
    <row r="82" spans="1:11" ht="20.100000000000001" customHeight="1" x14ac:dyDescent="0.2">
      <c r="A82" s="126"/>
      <c r="B82" s="127"/>
      <c r="C82" s="135"/>
      <c r="D82" s="134"/>
      <c r="E82" s="333"/>
      <c r="F82" s="135"/>
      <c r="G82" s="131"/>
      <c r="H82" s="135"/>
      <c r="I82" s="135"/>
      <c r="J82" s="135"/>
      <c r="K82" s="1"/>
    </row>
    <row r="83" spans="1:11" ht="20.100000000000001" customHeight="1" x14ac:dyDescent="0.2">
      <c r="A83" s="126"/>
      <c r="B83" s="127"/>
      <c r="C83" s="128"/>
      <c r="D83" s="129"/>
      <c r="E83" s="334"/>
      <c r="F83" s="136"/>
      <c r="G83" s="131"/>
      <c r="H83" s="130"/>
      <c r="I83" s="130"/>
      <c r="J83" s="130"/>
      <c r="K83" s="1"/>
    </row>
    <row r="84" spans="1:11" ht="20.100000000000001" customHeight="1" x14ac:dyDescent="0.2">
      <c r="A84" s="132"/>
      <c r="B84" s="127"/>
      <c r="C84" s="128"/>
      <c r="D84" s="129"/>
      <c r="E84" s="334"/>
      <c r="F84" s="136"/>
      <c r="G84" s="131"/>
      <c r="H84" s="130"/>
      <c r="I84" s="130"/>
      <c r="J84" s="130"/>
      <c r="K84" s="1"/>
    </row>
    <row r="85" spans="1:11" ht="20.100000000000001" customHeight="1" x14ac:dyDescent="0.2">
      <c r="A85" s="126"/>
      <c r="B85" s="127"/>
      <c r="C85" s="135"/>
      <c r="D85" s="134"/>
      <c r="E85" s="333"/>
      <c r="F85" s="135"/>
      <c r="G85" s="131"/>
      <c r="H85" s="135"/>
      <c r="I85" s="135"/>
      <c r="J85" s="135"/>
      <c r="K85" s="1"/>
    </row>
    <row r="86" spans="1:11" ht="20.100000000000001" customHeight="1" x14ac:dyDescent="0.2">
      <c r="A86" s="126"/>
      <c r="B86" s="127"/>
      <c r="C86" s="128"/>
      <c r="D86" s="129"/>
      <c r="E86" s="334"/>
      <c r="F86" s="136"/>
      <c r="G86" s="131"/>
      <c r="H86" s="130"/>
      <c r="I86" s="130"/>
      <c r="J86" s="130"/>
      <c r="K86" s="1"/>
    </row>
    <row r="87" spans="1:11" ht="20.100000000000001" customHeight="1" x14ac:dyDescent="0.2">
      <c r="A87" s="132"/>
      <c r="B87" s="127"/>
      <c r="C87" s="128"/>
      <c r="D87" s="129"/>
      <c r="E87" s="334"/>
      <c r="F87" s="136"/>
      <c r="G87" s="131"/>
      <c r="H87" s="130"/>
      <c r="I87" s="130"/>
      <c r="J87" s="130"/>
      <c r="K87" s="1"/>
    </row>
    <row r="88" spans="1:11" ht="20.100000000000001" customHeight="1" x14ac:dyDescent="0.2">
      <c r="A88" s="126"/>
      <c r="B88" s="127"/>
      <c r="C88" s="135"/>
      <c r="D88" s="134"/>
      <c r="E88" s="333"/>
      <c r="F88" s="135"/>
      <c r="G88" s="131"/>
      <c r="H88" s="135"/>
      <c r="I88" s="135"/>
      <c r="J88" s="135"/>
      <c r="K88" s="1"/>
    </row>
    <row r="89" spans="1:11" ht="20.100000000000001" customHeight="1" x14ac:dyDescent="0.2">
      <c r="A89" s="1"/>
      <c r="B89" s="1"/>
      <c r="C89" s="1"/>
      <c r="D89" s="1"/>
      <c r="E89" s="335"/>
      <c r="F89" s="1"/>
      <c r="G89" s="1"/>
      <c r="H89" s="1"/>
      <c r="I89" s="1"/>
      <c r="J89" s="1"/>
      <c r="K89" s="1"/>
    </row>
    <row r="90" spans="1:11" ht="20.100000000000001" customHeight="1" x14ac:dyDescent="0.2">
      <c r="A90" s="1"/>
      <c r="B90" s="1"/>
      <c r="C90" s="1"/>
      <c r="D90" s="1"/>
      <c r="E90" s="335"/>
      <c r="F90" s="1"/>
      <c r="G90" s="1"/>
      <c r="H90" s="1"/>
      <c r="I90" s="1"/>
      <c r="J90" s="1"/>
      <c r="K90" s="1"/>
    </row>
    <row r="91" spans="1:11" ht="20.100000000000001" customHeight="1" x14ac:dyDescent="0.2">
      <c r="A91" s="1"/>
      <c r="B91" s="1"/>
      <c r="C91" s="1"/>
      <c r="D91" s="1"/>
      <c r="E91" s="335"/>
      <c r="F91" s="1"/>
      <c r="G91" s="1"/>
      <c r="H91" s="1"/>
      <c r="I91" s="1"/>
      <c r="J91" s="1"/>
      <c r="K91" s="1"/>
    </row>
    <row r="92" spans="1:11" ht="20.100000000000001" customHeight="1" x14ac:dyDescent="0.2">
      <c r="A92" s="1"/>
      <c r="B92" s="1"/>
      <c r="C92" s="1"/>
      <c r="D92" s="1"/>
      <c r="E92" s="335"/>
      <c r="F92" s="1"/>
      <c r="G92" s="1"/>
      <c r="H92" s="1"/>
      <c r="I92" s="1"/>
      <c r="J92" s="1"/>
      <c r="K92" s="1"/>
    </row>
    <row r="93" spans="1:11" ht="20.100000000000001" customHeight="1" x14ac:dyDescent="0.2">
      <c r="A93" s="1"/>
      <c r="B93" s="1"/>
      <c r="C93" s="1"/>
      <c r="D93" s="1"/>
      <c r="E93" s="335"/>
      <c r="F93" s="1"/>
      <c r="G93" s="1"/>
      <c r="H93" s="1"/>
      <c r="I93" s="1"/>
      <c r="J93" s="1"/>
      <c r="K93" s="1"/>
    </row>
    <row r="94" spans="1:11" ht="20.100000000000001" customHeight="1" x14ac:dyDescent="0.2">
      <c r="A94" s="1"/>
      <c r="B94" s="1"/>
      <c r="C94" s="1"/>
      <c r="D94" s="1"/>
      <c r="E94" s="335"/>
      <c r="F94" s="1"/>
      <c r="G94" s="1"/>
      <c r="H94" s="1"/>
      <c r="I94" s="1"/>
      <c r="J94" s="1"/>
      <c r="K94" s="1"/>
    </row>
    <row r="95" spans="1:11" ht="20.100000000000001" customHeight="1" x14ac:dyDescent="0.2">
      <c r="A95" s="1"/>
      <c r="B95" s="1"/>
      <c r="C95" s="1"/>
      <c r="D95" s="1"/>
      <c r="E95" s="335"/>
      <c r="F95" s="1"/>
      <c r="G95" s="1"/>
      <c r="H95" s="1"/>
      <c r="I95" s="1"/>
      <c r="J95" s="1"/>
      <c r="K95" s="1"/>
    </row>
    <row r="96" spans="1:11" ht="20.100000000000001" customHeight="1" x14ac:dyDescent="0.2">
      <c r="A96" s="1"/>
      <c r="B96" s="1"/>
      <c r="C96" s="1"/>
      <c r="D96" s="1"/>
      <c r="E96" s="335"/>
      <c r="F96" s="1"/>
      <c r="G96" s="1"/>
      <c r="H96" s="1"/>
      <c r="I96" s="1"/>
      <c r="J96" s="1"/>
      <c r="K96" s="1"/>
    </row>
    <row r="97" spans="1:11" ht="20.100000000000001" customHeight="1" x14ac:dyDescent="0.2">
      <c r="A97" s="1"/>
      <c r="B97" s="1"/>
      <c r="C97" s="1"/>
      <c r="D97" s="1"/>
      <c r="E97" s="335"/>
      <c r="F97" s="1"/>
      <c r="G97" s="1"/>
      <c r="H97" s="1"/>
      <c r="I97" s="1"/>
      <c r="J97" s="1"/>
      <c r="K97" s="1"/>
    </row>
    <row r="98" spans="1:11" ht="20.100000000000001" customHeight="1" x14ac:dyDescent="0.2">
      <c r="E98" s="332"/>
    </row>
    <row r="99" spans="1:11" ht="20.100000000000001" customHeight="1" x14ac:dyDescent="0.2">
      <c r="E99" s="332"/>
    </row>
    <row r="100" spans="1:11" ht="20.100000000000001" customHeight="1" x14ac:dyDescent="0.2">
      <c r="E100" s="332"/>
    </row>
    <row r="101" spans="1:11" ht="20.100000000000001" customHeight="1" x14ac:dyDescent="0.2">
      <c r="E101" s="332"/>
    </row>
    <row r="102" spans="1:11" ht="20.100000000000001" customHeight="1" x14ac:dyDescent="0.2">
      <c r="E102" s="332"/>
    </row>
    <row r="103" spans="1:11" ht="20.100000000000001" customHeight="1" x14ac:dyDescent="0.2">
      <c r="E103" s="332"/>
    </row>
    <row r="104" spans="1:11" ht="20.100000000000001" customHeight="1" x14ac:dyDescent="0.2">
      <c r="E104" s="332"/>
    </row>
    <row r="105" spans="1:11" ht="20.100000000000001" customHeight="1" x14ac:dyDescent="0.2">
      <c r="E105" s="332"/>
    </row>
    <row r="106" spans="1:11" ht="20.100000000000001" customHeight="1" x14ac:dyDescent="0.2">
      <c r="E106" s="332"/>
    </row>
    <row r="107" spans="1:11" ht="20.100000000000001" customHeight="1" x14ac:dyDescent="0.2">
      <c r="E107" s="332"/>
    </row>
    <row r="108" spans="1:11" ht="20.100000000000001" customHeight="1" x14ac:dyDescent="0.2">
      <c r="E108" s="332"/>
    </row>
    <row r="109" spans="1:11" ht="20.100000000000001" customHeight="1" x14ac:dyDescent="0.2">
      <c r="E109" s="332"/>
    </row>
    <row r="110" spans="1:11" ht="20.100000000000001" customHeight="1" x14ac:dyDescent="0.2">
      <c r="E110" s="332"/>
    </row>
    <row r="111" spans="1:11" ht="20.100000000000001" customHeight="1" x14ac:dyDescent="0.2">
      <c r="E111" s="332"/>
    </row>
    <row r="112" spans="1:11" ht="20.100000000000001" customHeight="1" x14ac:dyDescent="0.2">
      <c r="E112" s="332"/>
    </row>
    <row r="113" spans="5:5" ht="20.100000000000001" customHeight="1" x14ac:dyDescent="0.2">
      <c r="E113" s="332"/>
    </row>
    <row r="114" spans="5:5" ht="20.100000000000001" customHeight="1" x14ac:dyDescent="0.2">
      <c r="E114" s="332"/>
    </row>
    <row r="115" spans="5:5" ht="20.100000000000001" customHeight="1" x14ac:dyDescent="0.2">
      <c r="E115" s="332"/>
    </row>
    <row r="116" spans="5:5" ht="20.100000000000001" customHeight="1" x14ac:dyDescent="0.2">
      <c r="E116" s="332"/>
    </row>
    <row r="117" spans="5:5" ht="20.100000000000001" customHeight="1" x14ac:dyDescent="0.2">
      <c r="E117" s="332"/>
    </row>
    <row r="118" spans="5:5" ht="20.100000000000001" customHeight="1" x14ac:dyDescent="0.2">
      <c r="E118" s="332"/>
    </row>
    <row r="119" spans="5:5" ht="20.100000000000001" customHeight="1" x14ac:dyDescent="0.2">
      <c r="E119" s="332"/>
    </row>
    <row r="120" spans="5:5" ht="20.100000000000001" customHeight="1" x14ac:dyDescent="0.2">
      <c r="E120" s="332"/>
    </row>
    <row r="121" spans="5:5" ht="20.100000000000001" customHeight="1" x14ac:dyDescent="0.2">
      <c r="E121" s="332"/>
    </row>
    <row r="122" spans="5:5" ht="20.100000000000001" customHeight="1" x14ac:dyDescent="0.2">
      <c r="E122" s="332"/>
    </row>
    <row r="123" spans="5:5" ht="20.100000000000001" customHeight="1" x14ac:dyDescent="0.2">
      <c r="E123" s="332"/>
    </row>
    <row r="124" spans="5:5" ht="20.100000000000001" customHeight="1" x14ac:dyDescent="0.2">
      <c r="E124" s="332"/>
    </row>
    <row r="125" spans="5:5" ht="20.100000000000001" customHeight="1" x14ac:dyDescent="0.2">
      <c r="E125" s="332"/>
    </row>
    <row r="126" spans="5:5" ht="20.100000000000001" customHeight="1" x14ac:dyDescent="0.2">
      <c r="E126" s="332"/>
    </row>
    <row r="127" spans="5:5" ht="20.100000000000001" customHeight="1" x14ac:dyDescent="0.2">
      <c r="E127" s="332"/>
    </row>
    <row r="128" spans="5:5" ht="20.100000000000001" customHeight="1" x14ac:dyDescent="0.2">
      <c r="E128" s="332"/>
    </row>
    <row r="129" spans="5:5" ht="20.100000000000001" customHeight="1" x14ac:dyDescent="0.2">
      <c r="E129" s="332"/>
    </row>
    <row r="130" spans="5:5" ht="20.100000000000001" customHeight="1" x14ac:dyDescent="0.2">
      <c r="E130" s="332"/>
    </row>
    <row r="131" spans="5:5" ht="20.100000000000001" customHeight="1" x14ac:dyDescent="0.2">
      <c r="E131" s="332"/>
    </row>
    <row r="132" spans="5:5" ht="20.100000000000001" customHeight="1" x14ac:dyDescent="0.2">
      <c r="E132" s="332"/>
    </row>
    <row r="133" spans="5:5" ht="20.100000000000001" customHeight="1" x14ac:dyDescent="0.2">
      <c r="E133" s="332"/>
    </row>
    <row r="134" spans="5:5" ht="20.100000000000001" customHeight="1" x14ac:dyDescent="0.2">
      <c r="E134" s="332"/>
    </row>
    <row r="135" spans="5:5" ht="20.100000000000001" customHeight="1" x14ac:dyDescent="0.2">
      <c r="E135" s="332"/>
    </row>
    <row r="136" spans="5:5" x14ac:dyDescent="0.2">
      <c r="E136" s="332"/>
    </row>
    <row r="137" spans="5:5" x14ac:dyDescent="0.2">
      <c r="E137" s="332"/>
    </row>
    <row r="138" spans="5:5" x14ac:dyDescent="0.2">
      <c r="E138" s="332"/>
    </row>
    <row r="139" spans="5:5" x14ac:dyDescent="0.2">
      <c r="E139" s="332"/>
    </row>
    <row r="140" spans="5:5" x14ac:dyDescent="0.2">
      <c r="E140" s="332"/>
    </row>
    <row r="141" spans="5:5" x14ac:dyDescent="0.2">
      <c r="E141" s="332"/>
    </row>
    <row r="142" spans="5:5" x14ac:dyDescent="0.2">
      <c r="E142" s="332"/>
    </row>
    <row r="143" spans="5:5" x14ac:dyDescent="0.2">
      <c r="E143" s="332"/>
    </row>
    <row r="144" spans="5:5" x14ac:dyDescent="0.2">
      <c r="E144" s="332"/>
    </row>
    <row r="145" spans="5:5" x14ac:dyDescent="0.2">
      <c r="E145" s="332"/>
    </row>
    <row r="146" spans="5:5" x14ac:dyDescent="0.2">
      <c r="E146" s="332"/>
    </row>
    <row r="147" spans="5:5" x14ac:dyDescent="0.2">
      <c r="E147" s="332"/>
    </row>
    <row r="148" spans="5:5" x14ac:dyDescent="0.2">
      <c r="E148" s="332"/>
    </row>
    <row r="149" spans="5:5" x14ac:dyDescent="0.2">
      <c r="E149" s="332"/>
    </row>
    <row r="150" spans="5:5" x14ac:dyDescent="0.2">
      <c r="E150" s="332"/>
    </row>
    <row r="151" spans="5:5" x14ac:dyDescent="0.2">
      <c r="E151" s="332"/>
    </row>
    <row r="152" spans="5:5" x14ac:dyDescent="0.2">
      <c r="E152" s="332"/>
    </row>
    <row r="153" spans="5:5" x14ac:dyDescent="0.2">
      <c r="E153" s="332"/>
    </row>
    <row r="154" spans="5:5" x14ac:dyDescent="0.2">
      <c r="E154" s="332"/>
    </row>
    <row r="155" spans="5:5" x14ac:dyDescent="0.2">
      <c r="E155" s="332"/>
    </row>
    <row r="156" spans="5:5" x14ac:dyDescent="0.2">
      <c r="E156" s="332"/>
    </row>
    <row r="157" spans="5:5" x14ac:dyDescent="0.2">
      <c r="E157" s="332"/>
    </row>
    <row r="158" spans="5:5" x14ac:dyDescent="0.2">
      <c r="E158" s="332"/>
    </row>
    <row r="159" spans="5:5" x14ac:dyDescent="0.2">
      <c r="E159" s="332"/>
    </row>
    <row r="160" spans="5:5" x14ac:dyDescent="0.2">
      <c r="E160" s="332"/>
    </row>
    <row r="161" spans="5:5" x14ac:dyDescent="0.2">
      <c r="E161" s="332"/>
    </row>
    <row r="162" spans="5:5" x14ac:dyDescent="0.2">
      <c r="E162" s="332"/>
    </row>
    <row r="163" spans="5:5" x14ac:dyDescent="0.2">
      <c r="E163" s="332"/>
    </row>
    <row r="164" spans="5:5" x14ac:dyDescent="0.2">
      <c r="E164" s="332"/>
    </row>
    <row r="165" spans="5:5" x14ac:dyDescent="0.2">
      <c r="E165" s="332"/>
    </row>
    <row r="166" spans="5:5" x14ac:dyDescent="0.2">
      <c r="E166" s="332"/>
    </row>
    <row r="167" spans="5:5" x14ac:dyDescent="0.2">
      <c r="E167" s="332"/>
    </row>
    <row r="168" spans="5:5" x14ac:dyDescent="0.2">
      <c r="E168" s="332"/>
    </row>
    <row r="169" spans="5:5" x14ac:dyDescent="0.2">
      <c r="E169" s="332"/>
    </row>
    <row r="170" spans="5:5" x14ac:dyDescent="0.2">
      <c r="E170" s="332"/>
    </row>
    <row r="171" spans="5:5" x14ac:dyDescent="0.2">
      <c r="E171" s="332"/>
    </row>
    <row r="172" spans="5:5" x14ac:dyDescent="0.2">
      <c r="E172" s="332"/>
    </row>
    <row r="173" spans="5:5" x14ac:dyDescent="0.2">
      <c r="E173" s="332"/>
    </row>
    <row r="174" spans="5:5" x14ac:dyDescent="0.2">
      <c r="E174" s="332"/>
    </row>
    <row r="175" spans="5:5" x14ac:dyDescent="0.2">
      <c r="E175" s="332"/>
    </row>
    <row r="176" spans="5:5" x14ac:dyDescent="0.2">
      <c r="E176" s="332"/>
    </row>
    <row r="177" spans="5:5" x14ac:dyDescent="0.2">
      <c r="E177" s="332"/>
    </row>
    <row r="178" spans="5:5" x14ac:dyDescent="0.2">
      <c r="E178" s="332"/>
    </row>
    <row r="179" spans="5:5" x14ac:dyDescent="0.2">
      <c r="E179" s="332"/>
    </row>
    <row r="180" spans="5:5" x14ac:dyDescent="0.2">
      <c r="E180" s="332"/>
    </row>
    <row r="181" spans="5:5" x14ac:dyDescent="0.2">
      <c r="E181" s="332"/>
    </row>
    <row r="182" spans="5:5" x14ac:dyDescent="0.2">
      <c r="E182" s="332"/>
    </row>
    <row r="183" spans="5:5" x14ac:dyDescent="0.2">
      <c r="E183" s="332"/>
    </row>
    <row r="184" spans="5:5" x14ac:dyDescent="0.2">
      <c r="E184" s="332"/>
    </row>
    <row r="185" spans="5:5" x14ac:dyDescent="0.2">
      <c r="E185" s="332"/>
    </row>
    <row r="186" spans="5:5" x14ac:dyDescent="0.2">
      <c r="E186" s="332"/>
    </row>
    <row r="187" spans="5:5" x14ac:dyDescent="0.2">
      <c r="E187" s="332"/>
    </row>
    <row r="188" spans="5:5" x14ac:dyDescent="0.2">
      <c r="E188" s="332"/>
    </row>
    <row r="189" spans="5:5" x14ac:dyDescent="0.2">
      <c r="E189" s="332"/>
    </row>
    <row r="190" spans="5:5" x14ac:dyDescent="0.2">
      <c r="E190" s="332"/>
    </row>
    <row r="191" spans="5:5" x14ac:dyDescent="0.2">
      <c r="E191" s="332"/>
    </row>
    <row r="192" spans="5:5" x14ac:dyDescent="0.2">
      <c r="E192" s="332"/>
    </row>
    <row r="193" spans="5:5" x14ac:dyDescent="0.2">
      <c r="E193" s="332"/>
    </row>
    <row r="194" spans="5:5" x14ac:dyDescent="0.2">
      <c r="E194" s="332"/>
    </row>
    <row r="195" spans="5:5" x14ac:dyDescent="0.2">
      <c r="E195" s="332"/>
    </row>
    <row r="196" spans="5:5" x14ac:dyDescent="0.2">
      <c r="E196" s="332"/>
    </row>
    <row r="197" spans="5:5" x14ac:dyDescent="0.2">
      <c r="E197" s="332"/>
    </row>
    <row r="198" spans="5:5" x14ac:dyDescent="0.2">
      <c r="E198" s="332"/>
    </row>
    <row r="199" spans="5:5" x14ac:dyDescent="0.2">
      <c r="E199" s="332"/>
    </row>
    <row r="200" spans="5:5" x14ac:dyDescent="0.2">
      <c r="E200" s="332"/>
    </row>
    <row r="201" spans="5:5" x14ac:dyDescent="0.2">
      <c r="E201" s="332"/>
    </row>
    <row r="202" spans="5:5" x14ac:dyDescent="0.2">
      <c r="E202" s="332"/>
    </row>
    <row r="203" spans="5:5" x14ac:dyDescent="0.2">
      <c r="E203" s="332"/>
    </row>
    <row r="204" spans="5:5" x14ac:dyDescent="0.2">
      <c r="E204" s="332"/>
    </row>
    <row r="205" spans="5:5" x14ac:dyDescent="0.2">
      <c r="E205" s="332"/>
    </row>
    <row r="206" spans="5:5" x14ac:dyDescent="0.2">
      <c r="E206" s="332"/>
    </row>
    <row r="207" spans="5:5" x14ac:dyDescent="0.2">
      <c r="E207" s="332"/>
    </row>
    <row r="208" spans="5:5" x14ac:dyDescent="0.2">
      <c r="E208" s="332"/>
    </row>
    <row r="209" spans="5:5" x14ac:dyDescent="0.2">
      <c r="E209" s="332"/>
    </row>
    <row r="210" spans="5:5" x14ac:dyDescent="0.2">
      <c r="E210" s="332"/>
    </row>
    <row r="211" spans="5:5" x14ac:dyDescent="0.2">
      <c r="E211" s="332"/>
    </row>
    <row r="212" spans="5:5" x14ac:dyDescent="0.2">
      <c r="E212" s="332"/>
    </row>
    <row r="213" spans="5:5" x14ac:dyDescent="0.2">
      <c r="E213" s="332"/>
    </row>
    <row r="214" spans="5:5" x14ac:dyDescent="0.2">
      <c r="E214" s="332"/>
    </row>
    <row r="215" spans="5:5" x14ac:dyDescent="0.2">
      <c r="E215" s="332"/>
    </row>
    <row r="216" spans="5:5" x14ac:dyDescent="0.2">
      <c r="E216" s="332"/>
    </row>
    <row r="217" spans="5:5" x14ac:dyDescent="0.2">
      <c r="E217" s="332"/>
    </row>
    <row r="218" spans="5:5" x14ac:dyDescent="0.2">
      <c r="E218" s="332"/>
    </row>
    <row r="219" spans="5:5" x14ac:dyDescent="0.2">
      <c r="E219" s="332"/>
    </row>
    <row r="220" spans="5:5" x14ac:dyDescent="0.2">
      <c r="E220" s="332"/>
    </row>
    <row r="221" spans="5:5" x14ac:dyDescent="0.2">
      <c r="E221" s="332"/>
    </row>
    <row r="222" spans="5:5" x14ac:dyDescent="0.2">
      <c r="E222" s="332"/>
    </row>
    <row r="223" spans="5:5" x14ac:dyDescent="0.2">
      <c r="E223" s="332"/>
    </row>
    <row r="224" spans="5:5" x14ac:dyDescent="0.2">
      <c r="E224" s="332"/>
    </row>
    <row r="225" spans="5:5" x14ac:dyDescent="0.2">
      <c r="E225" s="332"/>
    </row>
    <row r="226" spans="5:5" x14ac:dyDescent="0.2">
      <c r="E226" s="332"/>
    </row>
    <row r="227" spans="5:5" x14ac:dyDescent="0.2">
      <c r="E227" s="332"/>
    </row>
    <row r="228" spans="5:5" x14ac:dyDescent="0.2">
      <c r="E228" s="332"/>
    </row>
    <row r="229" spans="5:5" x14ac:dyDescent="0.2">
      <c r="E229" s="332"/>
    </row>
    <row r="230" spans="5:5" x14ac:dyDescent="0.2">
      <c r="E230" s="332"/>
    </row>
    <row r="231" spans="5:5" x14ac:dyDescent="0.2">
      <c r="E231" s="332"/>
    </row>
    <row r="232" spans="5:5" x14ac:dyDescent="0.2">
      <c r="E232" s="332"/>
    </row>
    <row r="233" spans="5:5" x14ac:dyDescent="0.2">
      <c r="E233" s="332"/>
    </row>
    <row r="234" spans="5:5" x14ac:dyDescent="0.2">
      <c r="E234" s="332"/>
    </row>
    <row r="235" spans="5:5" x14ac:dyDescent="0.2">
      <c r="E235" s="332"/>
    </row>
    <row r="236" spans="5:5" x14ac:dyDescent="0.2">
      <c r="E236" s="332"/>
    </row>
    <row r="237" spans="5:5" x14ac:dyDescent="0.2">
      <c r="E237" s="332"/>
    </row>
    <row r="238" spans="5:5" x14ac:dyDescent="0.2">
      <c r="E238" s="332"/>
    </row>
    <row r="239" spans="5:5" x14ac:dyDescent="0.2">
      <c r="E239" s="332"/>
    </row>
    <row r="240" spans="5:5" x14ac:dyDescent="0.2">
      <c r="E240" s="332"/>
    </row>
    <row r="241" spans="5:5" x14ac:dyDescent="0.2">
      <c r="E241" s="332"/>
    </row>
    <row r="242" spans="5:5" x14ac:dyDescent="0.2">
      <c r="E242" s="332"/>
    </row>
    <row r="243" spans="5:5" x14ac:dyDescent="0.2">
      <c r="E243" s="332"/>
    </row>
    <row r="244" spans="5:5" x14ac:dyDescent="0.2">
      <c r="E244" s="332"/>
    </row>
    <row r="245" spans="5:5" x14ac:dyDescent="0.2">
      <c r="E245" s="332"/>
    </row>
    <row r="246" spans="5:5" x14ac:dyDescent="0.2">
      <c r="E246" s="332"/>
    </row>
    <row r="247" spans="5:5" x14ac:dyDescent="0.2">
      <c r="E247" s="332"/>
    </row>
    <row r="248" spans="5:5" x14ac:dyDescent="0.2">
      <c r="E248" s="332"/>
    </row>
    <row r="249" spans="5:5" x14ac:dyDescent="0.2">
      <c r="E249" s="332"/>
    </row>
    <row r="250" spans="5:5" x14ac:dyDescent="0.2">
      <c r="E250" s="332"/>
    </row>
    <row r="251" spans="5:5" x14ac:dyDescent="0.2">
      <c r="E251" s="332"/>
    </row>
    <row r="252" spans="5:5" x14ac:dyDescent="0.2">
      <c r="E252" s="332"/>
    </row>
    <row r="253" spans="5:5" x14ac:dyDescent="0.2">
      <c r="E253" s="332"/>
    </row>
    <row r="254" spans="5:5" x14ac:dyDescent="0.2">
      <c r="E254" s="332"/>
    </row>
    <row r="255" spans="5:5" x14ac:dyDescent="0.2">
      <c r="E255" s="332"/>
    </row>
    <row r="256" spans="5:5" x14ac:dyDescent="0.2">
      <c r="E256" s="332"/>
    </row>
    <row r="257" spans="5:5" x14ac:dyDescent="0.2">
      <c r="E257" s="332"/>
    </row>
    <row r="258" spans="5:5" x14ac:dyDescent="0.2">
      <c r="E258" s="332"/>
    </row>
    <row r="259" spans="5:5" x14ac:dyDescent="0.2">
      <c r="E259" s="332"/>
    </row>
    <row r="260" spans="5:5" x14ac:dyDescent="0.2">
      <c r="E260" s="332"/>
    </row>
    <row r="261" spans="5:5" x14ac:dyDescent="0.2">
      <c r="E261" s="332"/>
    </row>
    <row r="262" spans="5:5" x14ac:dyDescent="0.2">
      <c r="E262" s="332"/>
    </row>
    <row r="263" spans="5:5" x14ac:dyDescent="0.2">
      <c r="E263" s="332"/>
    </row>
    <row r="264" spans="5:5" x14ac:dyDescent="0.2">
      <c r="E264" s="332"/>
    </row>
    <row r="265" spans="5:5" x14ac:dyDescent="0.2">
      <c r="E265" s="332"/>
    </row>
    <row r="266" spans="5:5" x14ac:dyDescent="0.2">
      <c r="E266" s="332"/>
    </row>
    <row r="267" spans="5:5" x14ac:dyDescent="0.2">
      <c r="E267" s="332"/>
    </row>
    <row r="268" spans="5:5" x14ac:dyDescent="0.2">
      <c r="E268" s="332"/>
    </row>
    <row r="269" spans="5:5" x14ac:dyDescent="0.2">
      <c r="E269" s="332"/>
    </row>
    <row r="270" spans="5:5" x14ac:dyDescent="0.2">
      <c r="E270" s="332"/>
    </row>
    <row r="271" spans="5:5" x14ac:dyDescent="0.2">
      <c r="E271" s="332"/>
    </row>
    <row r="272" spans="5:5" x14ac:dyDescent="0.2">
      <c r="E272" s="332"/>
    </row>
    <row r="273" spans="5:5" x14ac:dyDescent="0.2">
      <c r="E273" s="332"/>
    </row>
    <row r="274" spans="5:5" x14ac:dyDescent="0.2">
      <c r="E274" s="332"/>
    </row>
    <row r="275" spans="5:5" x14ac:dyDescent="0.2">
      <c r="E275" s="332"/>
    </row>
    <row r="276" spans="5:5" x14ac:dyDescent="0.2">
      <c r="E276" s="332"/>
    </row>
    <row r="277" spans="5:5" x14ac:dyDescent="0.2">
      <c r="E277" s="332"/>
    </row>
    <row r="278" spans="5:5" x14ac:dyDescent="0.2">
      <c r="E278" s="332"/>
    </row>
    <row r="279" spans="5:5" x14ac:dyDescent="0.2">
      <c r="E279" s="332"/>
    </row>
    <row r="280" spans="5:5" x14ac:dyDescent="0.2">
      <c r="E280" s="332"/>
    </row>
    <row r="281" spans="5:5" x14ac:dyDescent="0.2">
      <c r="E281" s="332"/>
    </row>
    <row r="282" spans="5:5" x14ac:dyDescent="0.2">
      <c r="E282" s="332"/>
    </row>
    <row r="283" spans="5:5" x14ac:dyDescent="0.2">
      <c r="E283" s="332"/>
    </row>
    <row r="284" spans="5:5" x14ac:dyDescent="0.2">
      <c r="E284" s="332"/>
    </row>
    <row r="285" spans="5:5" x14ac:dyDescent="0.2">
      <c r="E285" s="332"/>
    </row>
    <row r="286" spans="5:5" x14ac:dyDescent="0.2">
      <c r="E286" s="332"/>
    </row>
    <row r="287" spans="5:5" x14ac:dyDescent="0.2">
      <c r="E287" s="332"/>
    </row>
    <row r="288" spans="5:5" x14ac:dyDescent="0.2">
      <c r="E288" s="332"/>
    </row>
    <row r="289" spans="5:5" x14ac:dyDescent="0.2">
      <c r="E289" s="332"/>
    </row>
    <row r="290" spans="5:5" x14ac:dyDescent="0.2">
      <c r="E290" s="332"/>
    </row>
    <row r="291" spans="5:5" x14ac:dyDescent="0.2">
      <c r="E291" s="332"/>
    </row>
    <row r="292" spans="5:5" x14ac:dyDescent="0.2">
      <c r="E292" s="332"/>
    </row>
    <row r="293" spans="5:5" x14ac:dyDescent="0.2">
      <c r="E293" s="332"/>
    </row>
    <row r="294" spans="5:5" x14ac:dyDescent="0.2">
      <c r="E294" s="332"/>
    </row>
    <row r="295" spans="5:5" x14ac:dyDescent="0.2">
      <c r="E295" s="332"/>
    </row>
    <row r="296" spans="5:5" x14ac:dyDescent="0.2">
      <c r="E296" s="332"/>
    </row>
    <row r="297" spans="5:5" x14ac:dyDescent="0.2">
      <c r="E297" s="332"/>
    </row>
    <row r="298" spans="5:5" x14ac:dyDescent="0.2">
      <c r="E298" s="332"/>
    </row>
    <row r="299" spans="5:5" x14ac:dyDescent="0.2">
      <c r="E299" s="332"/>
    </row>
    <row r="300" spans="5:5" x14ac:dyDescent="0.2">
      <c r="E300" s="332"/>
    </row>
    <row r="301" spans="5:5" x14ac:dyDescent="0.2">
      <c r="E301" s="332"/>
    </row>
    <row r="302" spans="5:5" x14ac:dyDescent="0.2">
      <c r="E302" s="332"/>
    </row>
    <row r="303" spans="5:5" x14ac:dyDescent="0.2">
      <c r="E303" s="332"/>
    </row>
    <row r="304" spans="5:5" x14ac:dyDescent="0.2">
      <c r="E304" s="332"/>
    </row>
    <row r="305" spans="5:5" x14ac:dyDescent="0.2">
      <c r="E305" s="332"/>
    </row>
    <row r="306" spans="5:5" x14ac:dyDescent="0.2">
      <c r="E306" s="332"/>
    </row>
    <row r="307" spans="5:5" x14ac:dyDescent="0.2">
      <c r="E307" s="332"/>
    </row>
    <row r="308" spans="5:5" x14ac:dyDescent="0.2">
      <c r="E308" s="332"/>
    </row>
    <row r="309" spans="5:5" x14ac:dyDescent="0.2">
      <c r="E309" s="332"/>
    </row>
    <row r="310" spans="5:5" x14ac:dyDescent="0.2">
      <c r="E310" s="332"/>
    </row>
    <row r="311" spans="5:5" x14ac:dyDescent="0.2">
      <c r="E311" s="332"/>
    </row>
    <row r="312" spans="5:5" x14ac:dyDescent="0.2">
      <c r="E312" s="332"/>
    </row>
    <row r="313" spans="5:5" x14ac:dyDescent="0.2">
      <c r="E313" s="332"/>
    </row>
    <row r="314" spans="5:5" x14ac:dyDescent="0.2">
      <c r="E314" s="332"/>
    </row>
    <row r="315" spans="5:5" x14ac:dyDescent="0.2">
      <c r="E315" s="332"/>
    </row>
    <row r="316" spans="5:5" x14ac:dyDescent="0.2">
      <c r="E316" s="332"/>
    </row>
    <row r="317" spans="5:5" x14ac:dyDescent="0.2">
      <c r="E317" s="332"/>
    </row>
    <row r="318" spans="5:5" x14ac:dyDescent="0.2">
      <c r="E318" s="332"/>
    </row>
    <row r="319" spans="5:5" x14ac:dyDescent="0.2">
      <c r="E319" s="332"/>
    </row>
    <row r="320" spans="5:5" x14ac:dyDescent="0.2">
      <c r="E320" s="332"/>
    </row>
    <row r="321" spans="5:5" x14ac:dyDescent="0.2">
      <c r="E321" s="332"/>
    </row>
    <row r="322" spans="5:5" x14ac:dyDescent="0.2">
      <c r="E322" s="332"/>
    </row>
    <row r="323" spans="5:5" x14ac:dyDescent="0.2">
      <c r="E323" s="332"/>
    </row>
    <row r="324" spans="5:5" x14ac:dyDescent="0.2">
      <c r="E324" s="332"/>
    </row>
    <row r="325" spans="5:5" x14ac:dyDescent="0.2">
      <c r="E325" s="332"/>
    </row>
    <row r="326" spans="5:5" x14ac:dyDescent="0.2">
      <c r="E326" s="332"/>
    </row>
    <row r="327" spans="5:5" x14ac:dyDescent="0.2">
      <c r="E327" s="332"/>
    </row>
    <row r="328" spans="5:5" x14ac:dyDescent="0.2">
      <c r="E328" s="332"/>
    </row>
    <row r="329" spans="5:5" x14ac:dyDescent="0.2">
      <c r="E329" s="332"/>
    </row>
    <row r="330" spans="5:5" x14ac:dyDescent="0.2">
      <c r="E330" s="332"/>
    </row>
    <row r="331" spans="5:5" x14ac:dyDescent="0.2">
      <c r="E331" s="332"/>
    </row>
    <row r="332" spans="5:5" x14ac:dyDescent="0.2">
      <c r="E332" s="332"/>
    </row>
    <row r="333" spans="5:5" x14ac:dyDescent="0.2">
      <c r="E333" s="332"/>
    </row>
    <row r="334" spans="5:5" x14ac:dyDescent="0.2">
      <c r="E334" s="332"/>
    </row>
    <row r="335" spans="5:5" x14ac:dyDescent="0.2">
      <c r="E335" s="332"/>
    </row>
    <row r="336" spans="5:5" x14ac:dyDescent="0.2">
      <c r="E336" s="332"/>
    </row>
    <row r="337" spans="5:5" x14ac:dyDescent="0.2">
      <c r="E337" s="332"/>
    </row>
    <row r="338" spans="5:5" x14ac:dyDescent="0.2">
      <c r="E338" s="332"/>
    </row>
    <row r="339" spans="5:5" x14ac:dyDescent="0.2">
      <c r="E339" s="332"/>
    </row>
    <row r="340" spans="5:5" x14ac:dyDescent="0.2">
      <c r="E340" s="332"/>
    </row>
    <row r="341" spans="5:5" x14ac:dyDescent="0.2">
      <c r="E341" s="332"/>
    </row>
    <row r="342" spans="5:5" x14ac:dyDescent="0.2">
      <c r="E342" s="332"/>
    </row>
    <row r="343" spans="5:5" x14ac:dyDescent="0.2">
      <c r="E343" s="332"/>
    </row>
    <row r="344" spans="5:5" x14ac:dyDescent="0.2">
      <c r="E344" s="332"/>
    </row>
    <row r="345" spans="5:5" x14ac:dyDescent="0.2">
      <c r="E345" s="332"/>
    </row>
    <row r="346" spans="5:5" x14ac:dyDescent="0.2">
      <c r="E346" s="332"/>
    </row>
    <row r="347" spans="5:5" x14ac:dyDescent="0.2">
      <c r="E347" s="332"/>
    </row>
    <row r="348" spans="5:5" x14ac:dyDescent="0.2">
      <c r="E348" s="332"/>
    </row>
    <row r="349" spans="5:5" x14ac:dyDescent="0.2">
      <c r="E349" s="332"/>
    </row>
    <row r="350" spans="5:5" x14ac:dyDescent="0.2">
      <c r="E350" s="332"/>
    </row>
    <row r="351" spans="5:5" x14ac:dyDescent="0.2">
      <c r="E351" s="332"/>
    </row>
    <row r="352" spans="5:5" x14ac:dyDescent="0.2">
      <c r="E352" s="332"/>
    </row>
    <row r="353" spans="5:5" x14ac:dyDescent="0.2">
      <c r="E353" s="332"/>
    </row>
    <row r="354" spans="5:5" x14ac:dyDescent="0.2">
      <c r="E354" s="332"/>
    </row>
    <row r="355" spans="5:5" x14ac:dyDescent="0.2">
      <c r="E355" s="332"/>
    </row>
    <row r="356" spans="5:5" x14ac:dyDescent="0.2">
      <c r="E356" s="332"/>
    </row>
    <row r="357" spans="5:5" x14ac:dyDescent="0.2">
      <c r="E357" s="332"/>
    </row>
    <row r="358" spans="5:5" x14ac:dyDescent="0.2">
      <c r="E358" s="332"/>
    </row>
    <row r="359" spans="5:5" x14ac:dyDescent="0.2">
      <c r="E359" s="332"/>
    </row>
    <row r="360" spans="5:5" x14ac:dyDescent="0.2">
      <c r="E360" s="332"/>
    </row>
    <row r="361" spans="5:5" x14ac:dyDescent="0.2">
      <c r="E361" s="332"/>
    </row>
    <row r="362" spans="5:5" x14ac:dyDescent="0.2">
      <c r="E362" s="332"/>
    </row>
    <row r="363" spans="5:5" x14ac:dyDescent="0.2">
      <c r="E363" s="332"/>
    </row>
    <row r="364" spans="5:5" x14ac:dyDescent="0.2">
      <c r="E364" s="332"/>
    </row>
    <row r="365" spans="5:5" x14ac:dyDescent="0.2">
      <c r="E365" s="332"/>
    </row>
    <row r="366" spans="5:5" x14ac:dyDescent="0.2">
      <c r="E366" s="332"/>
    </row>
    <row r="367" spans="5:5" x14ac:dyDescent="0.2">
      <c r="E367" s="332"/>
    </row>
    <row r="368" spans="5:5" x14ac:dyDescent="0.2">
      <c r="E368" s="332"/>
    </row>
    <row r="369" spans="5:5" x14ac:dyDescent="0.2">
      <c r="E369" s="332"/>
    </row>
    <row r="370" spans="5:5" x14ac:dyDescent="0.2">
      <c r="E370" s="332"/>
    </row>
    <row r="371" spans="5:5" x14ac:dyDescent="0.2">
      <c r="E371" s="332"/>
    </row>
    <row r="372" spans="5:5" x14ac:dyDescent="0.2">
      <c r="E372" s="332"/>
    </row>
    <row r="373" spans="5:5" x14ac:dyDescent="0.2">
      <c r="E373" s="332"/>
    </row>
    <row r="374" spans="5:5" x14ac:dyDescent="0.2">
      <c r="E374" s="332"/>
    </row>
    <row r="375" spans="5:5" x14ac:dyDescent="0.2">
      <c r="E375" s="332"/>
    </row>
    <row r="376" spans="5:5" x14ac:dyDescent="0.2">
      <c r="E376" s="332"/>
    </row>
    <row r="377" spans="5:5" x14ac:dyDescent="0.2">
      <c r="E377" s="332"/>
    </row>
    <row r="378" spans="5:5" x14ac:dyDescent="0.2">
      <c r="E378" s="332"/>
    </row>
    <row r="379" spans="5:5" x14ac:dyDescent="0.2">
      <c r="E379" s="332"/>
    </row>
    <row r="380" spans="5:5" x14ac:dyDescent="0.2">
      <c r="E380" s="332"/>
    </row>
    <row r="381" spans="5:5" x14ac:dyDescent="0.2">
      <c r="E381" s="332"/>
    </row>
    <row r="382" spans="5:5" x14ac:dyDescent="0.2">
      <c r="E382" s="332"/>
    </row>
    <row r="383" spans="5:5" x14ac:dyDescent="0.2">
      <c r="E383" s="332"/>
    </row>
    <row r="384" spans="5:5" x14ac:dyDescent="0.2">
      <c r="E384" s="332"/>
    </row>
    <row r="385" spans="5:5" x14ac:dyDescent="0.2">
      <c r="E385" s="332"/>
    </row>
    <row r="386" spans="5:5" x14ac:dyDescent="0.2">
      <c r="E386" s="332"/>
    </row>
    <row r="387" spans="5:5" x14ac:dyDescent="0.2">
      <c r="E387" s="332"/>
    </row>
    <row r="388" spans="5:5" x14ac:dyDescent="0.2">
      <c r="E388" s="332"/>
    </row>
    <row r="389" spans="5:5" x14ac:dyDescent="0.2">
      <c r="E389" s="332"/>
    </row>
    <row r="390" spans="5:5" x14ac:dyDescent="0.2">
      <c r="E390" s="332"/>
    </row>
    <row r="391" spans="5:5" x14ac:dyDescent="0.2">
      <c r="E391" s="332"/>
    </row>
    <row r="392" spans="5:5" x14ac:dyDescent="0.2">
      <c r="E392" s="332"/>
    </row>
    <row r="393" spans="5:5" x14ac:dyDescent="0.2">
      <c r="E393" s="332"/>
    </row>
    <row r="394" spans="5:5" x14ac:dyDescent="0.2">
      <c r="E394" s="332"/>
    </row>
    <row r="395" spans="5:5" x14ac:dyDescent="0.2">
      <c r="E395" s="332"/>
    </row>
    <row r="396" spans="5:5" x14ac:dyDescent="0.2">
      <c r="E396" s="332"/>
    </row>
    <row r="397" spans="5:5" x14ac:dyDescent="0.2">
      <c r="E397" s="332"/>
    </row>
    <row r="398" spans="5:5" x14ac:dyDescent="0.2">
      <c r="E398" s="332"/>
    </row>
    <row r="399" spans="5:5" x14ac:dyDescent="0.2">
      <c r="E399" s="332"/>
    </row>
    <row r="400" spans="5:5" x14ac:dyDescent="0.2">
      <c r="E400" s="332"/>
    </row>
    <row r="401" spans="5:5" x14ac:dyDescent="0.2">
      <c r="E401" s="332"/>
    </row>
    <row r="402" spans="5:5" x14ac:dyDescent="0.2">
      <c r="E402" s="332"/>
    </row>
    <row r="403" spans="5:5" x14ac:dyDescent="0.2">
      <c r="E403" s="332"/>
    </row>
    <row r="404" spans="5:5" x14ac:dyDescent="0.2">
      <c r="E404" s="332"/>
    </row>
    <row r="405" spans="5:5" x14ac:dyDescent="0.2">
      <c r="E405" s="332"/>
    </row>
    <row r="406" spans="5:5" x14ac:dyDescent="0.2">
      <c r="E406" s="332"/>
    </row>
    <row r="407" spans="5:5" x14ac:dyDescent="0.2">
      <c r="E407" s="332"/>
    </row>
    <row r="408" spans="5:5" x14ac:dyDescent="0.2">
      <c r="E408" s="332"/>
    </row>
    <row r="409" spans="5:5" x14ac:dyDescent="0.2">
      <c r="E409" s="332"/>
    </row>
    <row r="410" spans="5:5" x14ac:dyDescent="0.2">
      <c r="E410" s="332"/>
    </row>
    <row r="411" spans="5:5" x14ac:dyDescent="0.2">
      <c r="E411" s="332"/>
    </row>
    <row r="412" spans="5:5" x14ac:dyDescent="0.2">
      <c r="E412" s="332"/>
    </row>
    <row r="413" spans="5:5" x14ac:dyDescent="0.2">
      <c r="E413" s="332"/>
    </row>
    <row r="414" spans="5:5" x14ac:dyDescent="0.2">
      <c r="E414" s="332"/>
    </row>
    <row r="415" spans="5:5" x14ac:dyDescent="0.2">
      <c r="E415" s="332"/>
    </row>
    <row r="416" spans="5:5" x14ac:dyDescent="0.2">
      <c r="E416" s="332"/>
    </row>
    <row r="417" spans="5:5" x14ac:dyDescent="0.2">
      <c r="E417" s="332"/>
    </row>
    <row r="418" spans="5:5" x14ac:dyDescent="0.2">
      <c r="E418" s="332"/>
    </row>
    <row r="419" spans="5:5" x14ac:dyDescent="0.2">
      <c r="E419" s="332"/>
    </row>
    <row r="420" spans="5:5" x14ac:dyDescent="0.2">
      <c r="E420" s="332"/>
    </row>
    <row r="421" spans="5:5" x14ac:dyDescent="0.2">
      <c r="E421" s="332"/>
    </row>
    <row r="422" spans="5:5" x14ac:dyDescent="0.2">
      <c r="E422" s="332"/>
    </row>
    <row r="423" spans="5:5" x14ac:dyDescent="0.2">
      <c r="E423" s="332"/>
    </row>
    <row r="424" spans="5:5" x14ac:dyDescent="0.2">
      <c r="E424" s="332"/>
    </row>
    <row r="425" spans="5:5" x14ac:dyDescent="0.2">
      <c r="E425" s="332"/>
    </row>
    <row r="426" spans="5:5" x14ac:dyDescent="0.2">
      <c r="E426" s="332"/>
    </row>
    <row r="427" spans="5:5" x14ac:dyDescent="0.2">
      <c r="E427" s="332"/>
    </row>
    <row r="428" spans="5:5" x14ac:dyDescent="0.2">
      <c r="E428" s="332"/>
    </row>
    <row r="429" spans="5:5" x14ac:dyDescent="0.2">
      <c r="E429" s="332"/>
    </row>
    <row r="430" spans="5:5" x14ac:dyDescent="0.2">
      <c r="E430" s="332"/>
    </row>
    <row r="431" spans="5:5" x14ac:dyDescent="0.2">
      <c r="E431" s="332"/>
    </row>
    <row r="432" spans="5:5" x14ac:dyDescent="0.2">
      <c r="E432" s="332"/>
    </row>
    <row r="433" spans="5:5" x14ac:dyDescent="0.2">
      <c r="E433" s="332"/>
    </row>
    <row r="434" spans="5:5" x14ac:dyDescent="0.2">
      <c r="E434" s="332"/>
    </row>
    <row r="435" spans="5:5" x14ac:dyDescent="0.2">
      <c r="E435" s="332"/>
    </row>
    <row r="436" spans="5:5" x14ac:dyDescent="0.2">
      <c r="E436" s="332"/>
    </row>
    <row r="437" spans="5:5" x14ac:dyDescent="0.2">
      <c r="E437" s="332"/>
    </row>
    <row r="438" spans="5:5" x14ac:dyDescent="0.2">
      <c r="E438" s="332"/>
    </row>
    <row r="439" spans="5:5" x14ac:dyDescent="0.2">
      <c r="E439" s="332"/>
    </row>
    <row r="440" spans="5:5" x14ac:dyDescent="0.2">
      <c r="E440" s="332"/>
    </row>
    <row r="441" spans="5:5" x14ac:dyDescent="0.2">
      <c r="E441" s="332"/>
    </row>
    <row r="442" spans="5:5" x14ac:dyDescent="0.2">
      <c r="E442" s="332"/>
    </row>
    <row r="443" spans="5:5" x14ac:dyDescent="0.2">
      <c r="E443" s="332"/>
    </row>
    <row r="444" spans="5:5" x14ac:dyDescent="0.2">
      <c r="E444" s="332"/>
    </row>
    <row r="445" spans="5:5" x14ac:dyDescent="0.2">
      <c r="E445" s="332"/>
    </row>
    <row r="446" spans="5:5" x14ac:dyDescent="0.2">
      <c r="E446" s="332"/>
    </row>
    <row r="447" spans="5:5" x14ac:dyDescent="0.2">
      <c r="E447" s="332"/>
    </row>
    <row r="448" spans="5:5" x14ac:dyDescent="0.2">
      <c r="E448" s="332"/>
    </row>
    <row r="449" spans="5:5" x14ac:dyDescent="0.2">
      <c r="E449" s="332"/>
    </row>
    <row r="450" spans="5:5" x14ac:dyDescent="0.2">
      <c r="E450" s="332"/>
    </row>
    <row r="451" spans="5:5" x14ac:dyDescent="0.2">
      <c r="E451" s="332"/>
    </row>
    <row r="452" spans="5:5" x14ac:dyDescent="0.2">
      <c r="E452" s="332"/>
    </row>
    <row r="453" spans="5:5" x14ac:dyDescent="0.2">
      <c r="E453" s="332"/>
    </row>
    <row r="454" spans="5:5" x14ac:dyDescent="0.2">
      <c r="E454" s="332"/>
    </row>
    <row r="455" spans="5:5" x14ac:dyDescent="0.2">
      <c r="E455" s="332"/>
    </row>
    <row r="456" spans="5:5" x14ac:dyDescent="0.2">
      <c r="E456" s="332"/>
    </row>
    <row r="457" spans="5:5" x14ac:dyDescent="0.2">
      <c r="E457" s="332"/>
    </row>
    <row r="458" spans="5:5" x14ac:dyDescent="0.2">
      <c r="E458" s="332"/>
    </row>
    <row r="459" spans="5:5" x14ac:dyDescent="0.2">
      <c r="E459" s="332"/>
    </row>
    <row r="460" spans="5:5" x14ac:dyDescent="0.2">
      <c r="E460" s="332"/>
    </row>
    <row r="461" spans="5:5" x14ac:dyDescent="0.2">
      <c r="E461" s="332"/>
    </row>
    <row r="462" spans="5:5" x14ac:dyDescent="0.2">
      <c r="E462" s="332"/>
    </row>
    <row r="463" spans="5:5" x14ac:dyDescent="0.2">
      <c r="E463" s="332"/>
    </row>
    <row r="464" spans="5:5" x14ac:dyDescent="0.2">
      <c r="E464" s="332"/>
    </row>
    <row r="465" spans="5:5" x14ac:dyDescent="0.2">
      <c r="E465" s="332"/>
    </row>
    <row r="466" spans="5:5" x14ac:dyDescent="0.2">
      <c r="E466" s="332"/>
    </row>
    <row r="467" spans="5:5" x14ac:dyDescent="0.2">
      <c r="E467" s="332"/>
    </row>
    <row r="468" spans="5:5" x14ac:dyDescent="0.2">
      <c r="E468" s="332"/>
    </row>
    <row r="469" spans="5:5" x14ac:dyDescent="0.2">
      <c r="E469" s="332"/>
    </row>
    <row r="470" spans="5:5" x14ac:dyDescent="0.2">
      <c r="E470" s="332"/>
    </row>
    <row r="471" spans="5:5" x14ac:dyDescent="0.2">
      <c r="E471" s="332"/>
    </row>
    <row r="472" spans="5:5" x14ac:dyDescent="0.2">
      <c r="E472" s="332"/>
    </row>
    <row r="473" spans="5:5" x14ac:dyDescent="0.2">
      <c r="E473" s="332"/>
    </row>
    <row r="474" spans="5:5" x14ac:dyDescent="0.2">
      <c r="E474" s="332"/>
    </row>
    <row r="475" spans="5:5" x14ac:dyDescent="0.2">
      <c r="E475" s="332"/>
    </row>
    <row r="476" spans="5:5" x14ac:dyDescent="0.2">
      <c r="E476" s="332"/>
    </row>
    <row r="477" spans="5:5" x14ac:dyDescent="0.2">
      <c r="E477" s="332"/>
    </row>
    <row r="478" spans="5:5" x14ac:dyDescent="0.2">
      <c r="E478" s="332"/>
    </row>
    <row r="479" spans="5:5" x14ac:dyDescent="0.2">
      <c r="E479" s="332"/>
    </row>
    <row r="480" spans="5:5" x14ac:dyDescent="0.2">
      <c r="E480" s="332"/>
    </row>
    <row r="481" spans="5:5" x14ac:dyDescent="0.2">
      <c r="E481" s="332"/>
    </row>
    <row r="482" spans="5:5" x14ac:dyDescent="0.2">
      <c r="E482" s="332"/>
    </row>
    <row r="483" spans="5:5" x14ac:dyDescent="0.2">
      <c r="E483" s="332"/>
    </row>
    <row r="484" spans="5:5" x14ac:dyDescent="0.2">
      <c r="E484" s="332"/>
    </row>
    <row r="485" spans="5:5" x14ac:dyDescent="0.2">
      <c r="E485" s="332"/>
    </row>
    <row r="486" spans="5:5" x14ac:dyDescent="0.2">
      <c r="E486" s="332"/>
    </row>
    <row r="487" spans="5:5" x14ac:dyDescent="0.2">
      <c r="E487" s="332"/>
    </row>
    <row r="488" spans="5:5" x14ac:dyDescent="0.2">
      <c r="E488" s="332"/>
    </row>
    <row r="489" spans="5:5" x14ac:dyDescent="0.2">
      <c r="E489" s="332"/>
    </row>
    <row r="490" spans="5:5" x14ac:dyDescent="0.2">
      <c r="E490" s="332"/>
    </row>
    <row r="491" spans="5:5" x14ac:dyDescent="0.2">
      <c r="E491" s="332"/>
    </row>
    <row r="492" spans="5:5" x14ac:dyDescent="0.2">
      <c r="E492" s="332"/>
    </row>
    <row r="493" spans="5:5" x14ac:dyDescent="0.2">
      <c r="E493" s="332"/>
    </row>
    <row r="494" spans="5:5" x14ac:dyDescent="0.2">
      <c r="E494" s="332"/>
    </row>
    <row r="495" spans="5:5" x14ac:dyDescent="0.2">
      <c r="E495" s="332"/>
    </row>
    <row r="496" spans="5:5" x14ac:dyDescent="0.2">
      <c r="E496" s="332"/>
    </row>
    <row r="497" spans="5:5" x14ac:dyDescent="0.2">
      <c r="E497" s="332"/>
    </row>
    <row r="498" spans="5:5" x14ac:dyDescent="0.2">
      <c r="E498" s="332"/>
    </row>
    <row r="499" spans="5:5" x14ac:dyDescent="0.2">
      <c r="E499" s="332"/>
    </row>
    <row r="500" spans="5:5" x14ac:dyDescent="0.2">
      <c r="E500" s="332"/>
    </row>
    <row r="501" spans="5:5" x14ac:dyDescent="0.2">
      <c r="E501" s="332"/>
    </row>
    <row r="502" spans="5:5" x14ac:dyDescent="0.2">
      <c r="E502" s="332"/>
    </row>
    <row r="503" spans="5:5" x14ac:dyDescent="0.2">
      <c r="E503" s="332"/>
    </row>
    <row r="504" spans="5:5" x14ac:dyDescent="0.2">
      <c r="E504" s="332"/>
    </row>
    <row r="505" spans="5:5" x14ac:dyDescent="0.2">
      <c r="E505" s="332"/>
    </row>
    <row r="506" spans="5:5" x14ac:dyDescent="0.2">
      <c r="E506" s="332"/>
    </row>
    <row r="507" spans="5:5" x14ac:dyDescent="0.2">
      <c r="E507" s="332"/>
    </row>
    <row r="508" spans="5:5" x14ac:dyDescent="0.2">
      <c r="E508" s="332"/>
    </row>
    <row r="509" spans="5:5" x14ac:dyDescent="0.2">
      <c r="E509" s="332"/>
    </row>
    <row r="510" spans="5:5" x14ac:dyDescent="0.2">
      <c r="E510" s="332"/>
    </row>
    <row r="511" spans="5:5" x14ac:dyDescent="0.2">
      <c r="E511" s="332"/>
    </row>
    <row r="512" spans="5:5" x14ac:dyDescent="0.2">
      <c r="E512" s="332"/>
    </row>
    <row r="513" spans="5:5" x14ac:dyDescent="0.2">
      <c r="E513" s="332"/>
    </row>
    <row r="514" spans="5:5" x14ac:dyDescent="0.2">
      <c r="E514" s="332"/>
    </row>
    <row r="515" spans="5:5" x14ac:dyDescent="0.2">
      <c r="E515" s="332"/>
    </row>
    <row r="516" spans="5:5" x14ac:dyDescent="0.2">
      <c r="E516" s="332"/>
    </row>
    <row r="517" spans="5:5" x14ac:dyDescent="0.2">
      <c r="E517" s="332"/>
    </row>
    <row r="518" spans="5:5" x14ac:dyDescent="0.2">
      <c r="E518" s="332"/>
    </row>
    <row r="519" spans="5:5" x14ac:dyDescent="0.2">
      <c r="E519" s="332"/>
    </row>
    <row r="520" spans="5:5" x14ac:dyDescent="0.2">
      <c r="E520" s="332"/>
    </row>
    <row r="521" spans="5:5" x14ac:dyDescent="0.2">
      <c r="E521" s="332"/>
    </row>
    <row r="522" spans="5:5" x14ac:dyDescent="0.2">
      <c r="E522" s="332"/>
    </row>
    <row r="523" spans="5:5" x14ac:dyDescent="0.2">
      <c r="E523" s="332"/>
    </row>
    <row r="524" spans="5:5" x14ac:dyDescent="0.2">
      <c r="E524" s="332"/>
    </row>
    <row r="525" spans="5:5" x14ac:dyDescent="0.2">
      <c r="E525" s="332"/>
    </row>
    <row r="526" spans="5:5" x14ac:dyDescent="0.2">
      <c r="E526" s="332"/>
    </row>
    <row r="527" spans="5:5" x14ac:dyDescent="0.2">
      <c r="E527" s="332"/>
    </row>
    <row r="528" spans="5:5" x14ac:dyDescent="0.2">
      <c r="E528" s="332"/>
    </row>
    <row r="529" spans="5:5" x14ac:dyDescent="0.2">
      <c r="E529" s="332"/>
    </row>
    <row r="530" spans="5:5" x14ac:dyDescent="0.2">
      <c r="E530" s="332"/>
    </row>
    <row r="531" spans="5:5" x14ac:dyDescent="0.2">
      <c r="E531" s="332"/>
    </row>
    <row r="532" spans="5:5" x14ac:dyDescent="0.2">
      <c r="E532" s="332"/>
    </row>
    <row r="533" spans="5:5" x14ac:dyDescent="0.2">
      <c r="E533" s="332"/>
    </row>
    <row r="534" spans="5:5" x14ac:dyDescent="0.2">
      <c r="E534" s="332"/>
    </row>
    <row r="535" spans="5:5" x14ac:dyDescent="0.2">
      <c r="E535" s="332"/>
    </row>
    <row r="536" spans="5:5" x14ac:dyDescent="0.2">
      <c r="E536" s="332"/>
    </row>
    <row r="537" spans="5:5" x14ac:dyDescent="0.2">
      <c r="E537" s="332"/>
    </row>
    <row r="538" spans="5:5" x14ac:dyDescent="0.2">
      <c r="E538" s="332"/>
    </row>
    <row r="539" spans="5:5" x14ac:dyDescent="0.2">
      <c r="E539" s="332"/>
    </row>
    <row r="540" spans="5:5" x14ac:dyDescent="0.2">
      <c r="E540" s="332"/>
    </row>
    <row r="541" spans="5:5" x14ac:dyDescent="0.2">
      <c r="E541" s="332"/>
    </row>
    <row r="542" spans="5:5" x14ac:dyDescent="0.2">
      <c r="E542" s="332"/>
    </row>
    <row r="543" spans="5:5" x14ac:dyDescent="0.2">
      <c r="E543" s="332"/>
    </row>
    <row r="544" spans="5:5" x14ac:dyDescent="0.2">
      <c r="E544" s="332"/>
    </row>
    <row r="545" spans="5:5" x14ac:dyDescent="0.2">
      <c r="E545" s="332"/>
    </row>
    <row r="546" spans="5:5" x14ac:dyDescent="0.2">
      <c r="E546" s="332"/>
    </row>
    <row r="547" spans="5:5" x14ac:dyDescent="0.2">
      <c r="E547" s="332"/>
    </row>
    <row r="548" spans="5:5" x14ac:dyDescent="0.2">
      <c r="E548" s="332"/>
    </row>
    <row r="549" spans="5:5" x14ac:dyDescent="0.2">
      <c r="E549" s="332"/>
    </row>
    <row r="550" spans="5:5" x14ac:dyDescent="0.2">
      <c r="E550" s="332"/>
    </row>
    <row r="551" spans="5:5" x14ac:dyDescent="0.2">
      <c r="E551" s="332"/>
    </row>
    <row r="552" spans="5:5" x14ac:dyDescent="0.2">
      <c r="E552" s="332"/>
    </row>
    <row r="553" spans="5:5" x14ac:dyDescent="0.2">
      <c r="E553" s="332"/>
    </row>
    <row r="554" spans="5:5" x14ac:dyDescent="0.2">
      <c r="E554" s="332"/>
    </row>
    <row r="555" spans="5:5" x14ac:dyDescent="0.2">
      <c r="E555" s="332"/>
    </row>
    <row r="556" spans="5:5" x14ac:dyDescent="0.2">
      <c r="E556" s="332"/>
    </row>
    <row r="557" spans="5:5" x14ac:dyDescent="0.2">
      <c r="E557" s="332"/>
    </row>
    <row r="558" spans="5:5" x14ac:dyDescent="0.2">
      <c r="E558" s="332"/>
    </row>
    <row r="559" spans="5:5" x14ac:dyDescent="0.2">
      <c r="E559" s="332"/>
    </row>
    <row r="560" spans="5:5" x14ac:dyDescent="0.2">
      <c r="E560" s="332"/>
    </row>
    <row r="561" spans="5:5" x14ac:dyDescent="0.2">
      <c r="E561" s="332"/>
    </row>
    <row r="562" spans="5:5" x14ac:dyDescent="0.2">
      <c r="E562" s="332"/>
    </row>
    <row r="563" spans="5:5" x14ac:dyDescent="0.2">
      <c r="E563" s="332"/>
    </row>
    <row r="564" spans="5:5" x14ac:dyDescent="0.2">
      <c r="E564" s="332"/>
    </row>
    <row r="565" spans="5:5" x14ac:dyDescent="0.2">
      <c r="E565" s="332"/>
    </row>
    <row r="566" spans="5:5" x14ac:dyDescent="0.2">
      <c r="E566" s="332"/>
    </row>
    <row r="567" spans="5:5" x14ac:dyDescent="0.2">
      <c r="E567" s="332"/>
    </row>
    <row r="568" spans="5:5" x14ac:dyDescent="0.2">
      <c r="E568" s="332"/>
    </row>
    <row r="569" spans="5:5" x14ac:dyDescent="0.2">
      <c r="E569" s="332"/>
    </row>
    <row r="570" spans="5:5" x14ac:dyDescent="0.2">
      <c r="E570" s="332"/>
    </row>
    <row r="571" spans="5:5" x14ac:dyDescent="0.2">
      <c r="E571" s="332"/>
    </row>
    <row r="572" spans="5:5" x14ac:dyDescent="0.2">
      <c r="E572" s="332"/>
    </row>
    <row r="573" spans="5:5" x14ac:dyDescent="0.2">
      <c r="E573" s="332"/>
    </row>
    <row r="574" spans="5:5" x14ac:dyDescent="0.2">
      <c r="E574" s="332"/>
    </row>
    <row r="575" spans="5:5" x14ac:dyDescent="0.2">
      <c r="E575" s="332"/>
    </row>
    <row r="576" spans="5:5" x14ac:dyDescent="0.2">
      <c r="E576" s="332"/>
    </row>
    <row r="577" spans="5:5" x14ac:dyDescent="0.2">
      <c r="E577" s="332"/>
    </row>
    <row r="578" spans="5:5" x14ac:dyDescent="0.2">
      <c r="E578" s="332"/>
    </row>
    <row r="579" spans="5:5" x14ac:dyDescent="0.2">
      <c r="E579" s="332"/>
    </row>
    <row r="580" spans="5:5" x14ac:dyDescent="0.2">
      <c r="E580" s="332"/>
    </row>
    <row r="581" spans="5:5" x14ac:dyDescent="0.2">
      <c r="E581" s="332"/>
    </row>
    <row r="582" spans="5:5" x14ac:dyDescent="0.2">
      <c r="E582" s="332"/>
    </row>
    <row r="583" spans="5:5" x14ac:dyDescent="0.2">
      <c r="E583" s="332"/>
    </row>
    <row r="584" spans="5:5" x14ac:dyDescent="0.2">
      <c r="E584" s="332"/>
    </row>
    <row r="585" spans="5:5" x14ac:dyDescent="0.2">
      <c r="E585" s="332"/>
    </row>
    <row r="586" spans="5:5" x14ac:dyDescent="0.2">
      <c r="E586" s="332"/>
    </row>
    <row r="587" spans="5:5" x14ac:dyDescent="0.2">
      <c r="E587" s="332"/>
    </row>
    <row r="588" spans="5:5" x14ac:dyDescent="0.2">
      <c r="E588" s="332"/>
    </row>
    <row r="589" spans="5:5" x14ac:dyDescent="0.2">
      <c r="E589" s="332"/>
    </row>
    <row r="590" spans="5:5" x14ac:dyDescent="0.2">
      <c r="E590" s="332"/>
    </row>
    <row r="591" spans="5:5" x14ac:dyDescent="0.2">
      <c r="E591" s="332"/>
    </row>
    <row r="592" spans="5:5" x14ac:dyDescent="0.2">
      <c r="E592" s="332"/>
    </row>
    <row r="593" spans="5:5" x14ac:dyDescent="0.2">
      <c r="E593" s="332"/>
    </row>
    <row r="594" spans="5:5" x14ac:dyDescent="0.2">
      <c r="E594" s="332"/>
    </row>
    <row r="595" spans="5:5" x14ac:dyDescent="0.2">
      <c r="E595" s="332"/>
    </row>
    <row r="596" spans="5:5" x14ac:dyDescent="0.2">
      <c r="E596" s="332"/>
    </row>
    <row r="597" spans="5:5" x14ac:dyDescent="0.2">
      <c r="E597" s="332"/>
    </row>
    <row r="598" spans="5:5" x14ac:dyDescent="0.2">
      <c r="E598" s="332"/>
    </row>
    <row r="599" spans="5:5" x14ac:dyDescent="0.2">
      <c r="E599" s="332"/>
    </row>
    <row r="600" spans="5:5" x14ac:dyDescent="0.2">
      <c r="E600" s="332"/>
    </row>
    <row r="601" spans="5:5" x14ac:dyDescent="0.2">
      <c r="E601" s="332"/>
    </row>
    <row r="602" spans="5:5" x14ac:dyDescent="0.2">
      <c r="E602" s="332"/>
    </row>
    <row r="603" spans="5:5" x14ac:dyDescent="0.2">
      <c r="E603" s="332"/>
    </row>
    <row r="604" spans="5:5" x14ac:dyDescent="0.2">
      <c r="E604" s="332"/>
    </row>
    <row r="605" spans="5:5" x14ac:dyDescent="0.2">
      <c r="E605" s="332"/>
    </row>
    <row r="606" spans="5:5" x14ac:dyDescent="0.2">
      <c r="E606" s="332"/>
    </row>
    <row r="607" spans="5:5" x14ac:dyDescent="0.2">
      <c r="E607" s="332"/>
    </row>
    <row r="608" spans="5:5" x14ac:dyDescent="0.2">
      <c r="E608" s="332"/>
    </row>
    <row r="609" spans="5:5" x14ac:dyDescent="0.2">
      <c r="E609" s="332"/>
    </row>
    <row r="610" spans="5:5" x14ac:dyDescent="0.2">
      <c r="E610" s="332"/>
    </row>
    <row r="611" spans="5:5" x14ac:dyDescent="0.2">
      <c r="E611" s="332"/>
    </row>
    <row r="612" spans="5:5" x14ac:dyDescent="0.2">
      <c r="E612" s="332"/>
    </row>
    <row r="613" spans="5:5" x14ac:dyDescent="0.2">
      <c r="E613" s="332"/>
    </row>
    <row r="614" spans="5:5" x14ac:dyDescent="0.2">
      <c r="E614" s="332"/>
    </row>
    <row r="615" spans="5:5" x14ac:dyDescent="0.2">
      <c r="E615" s="332"/>
    </row>
    <row r="616" spans="5:5" x14ac:dyDescent="0.2">
      <c r="E616" s="332"/>
    </row>
    <row r="617" spans="5:5" x14ac:dyDescent="0.2">
      <c r="E617" s="332"/>
    </row>
    <row r="618" spans="5:5" x14ac:dyDescent="0.2">
      <c r="E618" s="332"/>
    </row>
    <row r="619" spans="5:5" x14ac:dyDescent="0.2">
      <c r="E619" s="332"/>
    </row>
    <row r="620" spans="5:5" x14ac:dyDescent="0.2">
      <c r="E620" s="332"/>
    </row>
    <row r="621" spans="5:5" x14ac:dyDescent="0.2">
      <c r="E621" s="332"/>
    </row>
    <row r="622" spans="5:5" x14ac:dyDescent="0.2">
      <c r="E622" s="332"/>
    </row>
    <row r="623" spans="5:5" x14ac:dyDescent="0.2">
      <c r="E623" s="332"/>
    </row>
    <row r="624" spans="5:5" x14ac:dyDescent="0.2">
      <c r="E624" s="332"/>
    </row>
    <row r="625" spans="5:5" x14ac:dyDescent="0.2">
      <c r="E625" s="332"/>
    </row>
    <row r="626" spans="5:5" x14ac:dyDescent="0.2">
      <c r="E626" s="332"/>
    </row>
    <row r="627" spans="5:5" x14ac:dyDescent="0.2">
      <c r="E627" s="332"/>
    </row>
    <row r="628" spans="5:5" x14ac:dyDescent="0.2">
      <c r="E628" s="332"/>
    </row>
    <row r="629" spans="5:5" x14ac:dyDescent="0.2">
      <c r="E629" s="332"/>
    </row>
    <row r="630" spans="5:5" x14ac:dyDescent="0.2">
      <c r="E630" s="332"/>
    </row>
    <row r="631" spans="5:5" x14ac:dyDescent="0.2">
      <c r="E631" s="332"/>
    </row>
    <row r="632" spans="5:5" x14ac:dyDescent="0.2">
      <c r="E632" s="332"/>
    </row>
    <row r="633" spans="5:5" x14ac:dyDescent="0.2">
      <c r="E633" s="332"/>
    </row>
    <row r="634" spans="5:5" x14ac:dyDescent="0.2">
      <c r="E634" s="332"/>
    </row>
    <row r="635" spans="5:5" x14ac:dyDescent="0.2">
      <c r="E635" s="332"/>
    </row>
    <row r="636" spans="5:5" x14ac:dyDescent="0.2">
      <c r="E636" s="332"/>
    </row>
    <row r="637" spans="5:5" x14ac:dyDescent="0.2">
      <c r="E637" s="332"/>
    </row>
    <row r="638" spans="5:5" x14ac:dyDescent="0.2">
      <c r="E638" s="332"/>
    </row>
    <row r="639" spans="5:5" x14ac:dyDescent="0.2">
      <c r="E639" s="332"/>
    </row>
    <row r="640" spans="5:5" x14ac:dyDescent="0.2">
      <c r="E640" s="332"/>
    </row>
    <row r="641" spans="5:5" x14ac:dyDescent="0.2">
      <c r="E641" s="332"/>
    </row>
    <row r="642" spans="5:5" x14ac:dyDescent="0.2">
      <c r="E642" s="332"/>
    </row>
    <row r="643" spans="5:5" x14ac:dyDescent="0.2">
      <c r="E643" s="332"/>
    </row>
    <row r="644" spans="5:5" x14ac:dyDescent="0.2">
      <c r="E644" s="332"/>
    </row>
    <row r="645" spans="5:5" x14ac:dyDescent="0.2">
      <c r="E645" s="332"/>
    </row>
    <row r="646" spans="5:5" x14ac:dyDescent="0.2">
      <c r="E646" s="332"/>
    </row>
    <row r="647" spans="5:5" x14ac:dyDescent="0.2">
      <c r="E647" s="332"/>
    </row>
    <row r="648" spans="5:5" x14ac:dyDescent="0.2">
      <c r="E648" s="332"/>
    </row>
    <row r="649" spans="5:5" x14ac:dyDescent="0.2">
      <c r="E649" s="332"/>
    </row>
    <row r="650" spans="5:5" x14ac:dyDescent="0.2">
      <c r="E650" s="332"/>
    </row>
    <row r="651" spans="5:5" x14ac:dyDescent="0.2">
      <c r="E651" s="332"/>
    </row>
    <row r="652" spans="5:5" x14ac:dyDescent="0.2">
      <c r="E652" s="332"/>
    </row>
    <row r="653" spans="5:5" x14ac:dyDescent="0.2">
      <c r="E653" s="332"/>
    </row>
    <row r="654" spans="5:5" x14ac:dyDescent="0.2">
      <c r="E654" s="332"/>
    </row>
    <row r="655" spans="5:5" x14ac:dyDescent="0.2">
      <c r="E655" s="332"/>
    </row>
    <row r="656" spans="5:5" x14ac:dyDescent="0.2">
      <c r="E656" s="332"/>
    </row>
    <row r="657" spans="5:5" x14ac:dyDescent="0.2">
      <c r="E657" s="332"/>
    </row>
    <row r="658" spans="5:5" x14ac:dyDescent="0.2">
      <c r="E658" s="332"/>
    </row>
    <row r="659" spans="5:5" x14ac:dyDescent="0.2">
      <c r="E659" s="332"/>
    </row>
    <row r="660" spans="5:5" x14ac:dyDescent="0.2">
      <c r="E660" s="332"/>
    </row>
    <row r="661" spans="5:5" x14ac:dyDescent="0.2">
      <c r="E661" s="332"/>
    </row>
    <row r="662" spans="5:5" x14ac:dyDescent="0.2">
      <c r="E662" s="332"/>
    </row>
    <row r="663" spans="5:5" x14ac:dyDescent="0.2">
      <c r="E663" s="332"/>
    </row>
    <row r="664" spans="5:5" x14ac:dyDescent="0.2">
      <c r="E664" s="332"/>
    </row>
    <row r="665" spans="5:5" x14ac:dyDescent="0.2">
      <c r="E665" s="332"/>
    </row>
    <row r="666" spans="5:5" x14ac:dyDescent="0.2">
      <c r="E666" s="332"/>
    </row>
    <row r="667" spans="5:5" x14ac:dyDescent="0.2">
      <c r="E667" s="332"/>
    </row>
    <row r="668" spans="5:5" x14ac:dyDescent="0.2">
      <c r="E668" s="332"/>
    </row>
    <row r="669" spans="5:5" x14ac:dyDescent="0.2">
      <c r="E669" s="332"/>
    </row>
    <row r="670" spans="5:5" x14ac:dyDescent="0.2">
      <c r="E670" s="332"/>
    </row>
    <row r="671" spans="5:5" x14ac:dyDescent="0.2">
      <c r="E671" s="332"/>
    </row>
    <row r="672" spans="5:5" x14ac:dyDescent="0.2">
      <c r="E672" s="332"/>
    </row>
    <row r="673" spans="5:5" x14ac:dyDescent="0.2">
      <c r="E673" s="332"/>
    </row>
    <row r="674" spans="5:5" x14ac:dyDescent="0.2">
      <c r="E674" s="332"/>
    </row>
    <row r="675" spans="5:5" x14ac:dyDescent="0.2">
      <c r="E675" s="332"/>
    </row>
    <row r="676" spans="5:5" x14ac:dyDescent="0.2">
      <c r="E676" s="332"/>
    </row>
    <row r="677" spans="5:5" x14ac:dyDescent="0.2">
      <c r="E677" s="332"/>
    </row>
    <row r="678" spans="5:5" x14ac:dyDescent="0.2">
      <c r="E678" s="332"/>
    </row>
    <row r="679" spans="5:5" x14ac:dyDescent="0.2">
      <c r="E679" s="332"/>
    </row>
    <row r="680" spans="5:5" x14ac:dyDescent="0.2">
      <c r="E680" s="332"/>
    </row>
    <row r="681" spans="5:5" x14ac:dyDescent="0.2">
      <c r="E681" s="332"/>
    </row>
    <row r="682" spans="5:5" x14ac:dyDescent="0.2">
      <c r="E682" s="332"/>
    </row>
    <row r="683" spans="5:5" x14ac:dyDescent="0.2">
      <c r="E683" s="332"/>
    </row>
    <row r="684" spans="5:5" x14ac:dyDescent="0.2">
      <c r="E684" s="332"/>
    </row>
    <row r="685" spans="5:5" x14ac:dyDescent="0.2">
      <c r="E685" s="332"/>
    </row>
    <row r="686" spans="5:5" x14ac:dyDescent="0.2">
      <c r="E686" s="332"/>
    </row>
    <row r="687" spans="5:5" x14ac:dyDescent="0.2">
      <c r="E687" s="332"/>
    </row>
    <row r="688" spans="5:5" x14ac:dyDescent="0.2">
      <c r="E688" s="332"/>
    </row>
    <row r="689" spans="5:5" x14ac:dyDescent="0.2">
      <c r="E689" s="332"/>
    </row>
    <row r="690" spans="5:5" x14ac:dyDescent="0.2">
      <c r="E690" s="332"/>
    </row>
    <row r="691" spans="5:5" x14ac:dyDescent="0.2">
      <c r="E691" s="332"/>
    </row>
    <row r="692" spans="5:5" x14ac:dyDescent="0.2">
      <c r="E692" s="332"/>
    </row>
    <row r="693" spans="5:5" x14ac:dyDescent="0.2">
      <c r="E693" s="332"/>
    </row>
    <row r="694" spans="5:5" x14ac:dyDescent="0.2">
      <c r="E694" s="332"/>
    </row>
    <row r="695" spans="5:5" x14ac:dyDescent="0.2">
      <c r="E695" s="332"/>
    </row>
    <row r="696" spans="5:5" x14ac:dyDescent="0.2">
      <c r="E696" s="332"/>
    </row>
    <row r="697" spans="5:5" x14ac:dyDescent="0.2">
      <c r="E697" s="332"/>
    </row>
    <row r="698" spans="5:5" x14ac:dyDescent="0.2">
      <c r="E698" s="332"/>
    </row>
    <row r="699" spans="5:5" x14ac:dyDescent="0.2">
      <c r="E699" s="332"/>
    </row>
    <row r="700" spans="5:5" x14ac:dyDescent="0.2">
      <c r="E700" s="332"/>
    </row>
    <row r="701" spans="5:5" x14ac:dyDescent="0.2">
      <c r="E701" s="332"/>
    </row>
    <row r="702" spans="5:5" x14ac:dyDescent="0.2">
      <c r="E702" s="332"/>
    </row>
    <row r="703" spans="5:5" x14ac:dyDescent="0.2">
      <c r="E703" s="332"/>
    </row>
    <row r="704" spans="5:5" x14ac:dyDescent="0.2">
      <c r="E704" s="332"/>
    </row>
    <row r="705" spans="5:5" x14ac:dyDescent="0.2">
      <c r="E705" s="332"/>
    </row>
    <row r="706" spans="5:5" x14ac:dyDescent="0.2">
      <c r="E706" s="332"/>
    </row>
    <row r="707" spans="5:5" x14ac:dyDescent="0.2">
      <c r="E707" s="332"/>
    </row>
    <row r="708" spans="5:5" x14ac:dyDescent="0.2">
      <c r="E708" s="332"/>
    </row>
    <row r="709" spans="5:5" x14ac:dyDescent="0.2">
      <c r="E709" s="332"/>
    </row>
    <row r="710" spans="5:5" x14ac:dyDescent="0.2">
      <c r="E710" s="332"/>
    </row>
    <row r="711" spans="5:5" x14ac:dyDescent="0.2">
      <c r="E711" s="332"/>
    </row>
    <row r="712" spans="5:5" x14ac:dyDescent="0.2">
      <c r="E712" s="332"/>
    </row>
    <row r="713" spans="5:5" x14ac:dyDescent="0.2">
      <c r="E713" s="332"/>
    </row>
    <row r="714" spans="5:5" x14ac:dyDescent="0.2">
      <c r="E714" s="332"/>
    </row>
    <row r="715" spans="5:5" x14ac:dyDescent="0.2">
      <c r="E715" s="332"/>
    </row>
    <row r="716" spans="5:5" x14ac:dyDescent="0.2">
      <c r="E716" s="332"/>
    </row>
    <row r="717" spans="5:5" x14ac:dyDescent="0.2">
      <c r="E717" s="332"/>
    </row>
    <row r="718" spans="5:5" x14ac:dyDescent="0.2">
      <c r="E718" s="332"/>
    </row>
    <row r="719" spans="5:5" x14ac:dyDescent="0.2">
      <c r="E719" s="332"/>
    </row>
    <row r="720" spans="5:5" x14ac:dyDescent="0.2">
      <c r="E720" s="332"/>
    </row>
    <row r="721" spans="5:5" x14ac:dyDescent="0.2">
      <c r="E721" s="332"/>
    </row>
    <row r="722" spans="5:5" x14ac:dyDescent="0.2">
      <c r="E722" s="332"/>
    </row>
    <row r="723" spans="5:5" x14ac:dyDescent="0.2">
      <c r="E723" s="332"/>
    </row>
    <row r="724" spans="5:5" x14ac:dyDescent="0.2">
      <c r="E724" s="332"/>
    </row>
    <row r="725" spans="5:5" x14ac:dyDescent="0.2">
      <c r="E725" s="332"/>
    </row>
    <row r="726" spans="5:5" x14ac:dyDescent="0.2">
      <c r="E726" s="332"/>
    </row>
    <row r="727" spans="5:5" x14ac:dyDescent="0.2">
      <c r="E727" s="332"/>
    </row>
    <row r="728" spans="5:5" x14ac:dyDescent="0.2">
      <c r="E728" s="332"/>
    </row>
    <row r="729" spans="5:5" x14ac:dyDescent="0.2">
      <c r="E729" s="332"/>
    </row>
    <row r="730" spans="5:5" x14ac:dyDescent="0.2">
      <c r="E730" s="332"/>
    </row>
    <row r="731" spans="5:5" x14ac:dyDescent="0.2">
      <c r="E731" s="332"/>
    </row>
    <row r="732" spans="5:5" x14ac:dyDescent="0.2">
      <c r="E732" s="332"/>
    </row>
    <row r="733" spans="5:5" x14ac:dyDescent="0.2">
      <c r="E733" s="332"/>
    </row>
    <row r="734" spans="5:5" x14ac:dyDescent="0.2">
      <c r="E734" s="332"/>
    </row>
    <row r="735" spans="5:5" x14ac:dyDescent="0.2">
      <c r="E735" s="332"/>
    </row>
    <row r="736" spans="5:5" x14ac:dyDescent="0.2">
      <c r="E736" s="332"/>
    </row>
    <row r="737" spans="5:5" x14ac:dyDescent="0.2">
      <c r="E737" s="332"/>
    </row>
    <row r="738" spans="5:5" x14ac:dyDescent="0.2">
      <c r="E738" s="332"/>
    </row>
    <row r="739" spans="5:5" x14ac:dyDescent="0.2">
      <c r="E739" s="332"/>
    </row>
    <row r="740" spans="5:5" x14ac:dyDescent="0.2">
      <c r="E740" s="332"/>
    </row>
    <row r="741" spans="5:5" x14ac:dyDescent="0.2">
      <c r="E741" s="332"/>
    </row>
    <row r="742" spans="5:5" x14ac:dyDescent="0.2">
      <c r="E742" s="332"/>
    </row>
    <row r="743" spans="5:5" x14ac:dyDescent="0.2">
      <c r="E743" s="332"/>
    </row>
    <row r="744" spans="5:5" x14ac:dyDescent="0.2">
      <c r="E744" s="332"/>
    </row>
    <row r="745" spans="5:5" x14ac:dyDescent="0.2">
      <c r="E745" s="332"/>
    </row>
    <row r="746" spans="5:5" x14ac:dyDescent="0.2">
      <c r="E746" s="332"/>
    </row>
    <row r="747" spans="5:5" x14ac:dyDescent="0.2">
      <c r="E747" s="332"/>
    </row>
    <row r="748" spans="5:5" x14ac:dyDescent="0.2">
      <c r="E748" s="332"/>
    </row>
    <row r="749" spans="5:5" x14ac:dyDescent="0.2">
      <c r="E749" s="332"/>
    </row>
    <row r="750" spans="5:5" x14ac:dyDescent="0.2">
      <c r="E750" s="332"/>
    </row>
    <row r="751" spans="5:5" x14ac:dyDescent="0.2">
      <c r="E751" s="332"/>
    </row>
    <row r="752" spans="5:5" x14ac:dyDescent="0.2">
      <c r="E752" s="332"/>
    </row>
    <row r="753" spans="5:5" x14ac:dyDescent="0.2">
      <c r="E753" s="332"/>
    </row>
    <row r="754" spans="5:5" x14ac:dyDescent="0.2">
      <c r="E754" s="332"/>
    </row>
    <row r="755" spans="5:5" x14ac:dyDescent="0.2">
      <c r="E755" s="332"/>
    </row>
    <row r="756" spans="5:5" x14ac:dyDescent="0.2">
      <c r="E756" s="332"/>
    </row>
    <row r="757" spans="5:5" x14ac:dyDescent="0.2">
      <c r="E757" s="332"/>
    </row>
    <row r="758" spans="5:5" x14ac:dyDescent="0.2">
      <c r="E758" s="332"/>
    </row>
    <row r="759" spans="5:5" x14ac:dyDescent="0.2">
      <c r="E759" s="332"/>
    </row>
    <row r="760" spans="5:5" x14ac:dyDescent="0.2">
      <c r="E760" s="332"/>
    </row>
    <row r="761" spans="5:5" x14ac:dyDescent="0.2">
      <c r="E761" s="332"/>
    </row>
    <row r="762" spans="5:5" x14ac:dyDescent="0.2">
      <c r="E762" s="332"/>
    </row>
    <row r="763" spans="5:5" x14ac:dyDescent="0.2">
      <c r="E763" s="332"/>
    </row>
    <row r="764" spans="5:5" x14ac:dyDescent="0.2">
      <c r="E764" s="332"/>
    </row>
    <row r="765" spans="5:5" x14ac:dyDescent="0.2">
      <c r="E765" s="332"/>
    </row>
    <row r="766" spans="5:5" x14ac:dyDescent="0.2">
      <c r="E766" s="332"/>
    </row>
    <row r="767" spans="5:5" x14ac:dyDescent="0.2">
      <c r="E767" s="332"/>
    </row>
    <row r="768" spans="5:5" x14ac:dyDescent="0.2">
      <c r="E768" s="332"/>
    </row>
    <row r="769" spans="5:5" x14ac:dyDescent="0.2">
      <c r="E769" s="332"/>
    </row>
    <row r="770" spans="5:5" x14ac:dyDescent="0.2">
      <c r="E770" s="332"/>
    </row>
    <row r="771" spans="5:5" x14ac:dyDescent="0.2">
      <c r="E771" s="332"/>
    </row>
    <row r="772" spans="5:5" x14ac:dyDescent="0.2">
      <c r="E772" s="332"/>
    </row>
    <row r="773" spans="5:5" x14ac:dyDescent="0.2">
      <c r="E773" s="332"/>
    </row>
    <row r="774" spans="5:5" x14ac:dyDescent="0.2">
      <c r="E774" s="332"/>
    </row>
    <row r="775" spans="5:5" x14ac:dyDescent="0.2">
      <c r="E775" s="332"/>
    </row>
    <row r="776" spans="5:5" x14ac:dyDescent="0.2">
      <c r="E776" s="332"/>
    </row>
    <row r="777" spans="5:5" x14ac:dyDescent="0.2">
      <c r="E777" s="332"/>
    </row>
    <row r="778" spans="5:5" x14ac:dyDescent="0.2">
      <c r="E778" s="332"/>
    </row>
    <row r="779" spans="5:5" x14ac:dyDescent="0.2">
      <c r="E779" s="332"/>
    </row>
    <row r="780" spans="5:5" x14ac:dyDescent="0.2">
      <c r="E780" s="332"/>
    </row>
    <row r="781" spans="5:5" x14ac:dyDescent="0.2">
      <c r="E781" s="332"/>
    </row>
    <row r="782" spans="5:5" x14ac:dyDescent="0.2">
      <c r="E782" s="332"/>
    </row>
    <row r="783" spans="5:5" x14ac:dyDescent="0.2">
      <c r="E783" s="332"/>
    </row>
    <row r="784" spans="5:5" x14ac:dyDescent="0.2">
      <c r="E784" s="332"/>
    </row>
    <row r="785" spans="5:5" x14ac:dyDescent="0.2">
      <c r="E785" s="332"/>
    </row>
    <row r="786" spans="5:5" x14ac:dyDescent="0.2">
      <c r="E786" s="332"/>
    </row>
    <row r="787" spans="5:5" x14ac:dyDescent="0.2">
      <c r="E787" s="332"/>
    </row>
    <row r="788" spans="5:5" x14ac:dyDescent="0.2">
      <c r="E788" s="332"/>
    </row>
    <row r="789" spans="5:5" x14ac:dyDescent="0.2">
      <c r="E789" s="332"/>
    </row>
    <row r="790" spans="5:5" x14ac:dyDescent="0.2">
      <c r="E790" s="332"/>
    </row>
    <row r="791" spans="5:5" x14ac:dyDescent="0.2">
      <c r="E791" s="332"/>
    </row>
    <row r="792" spans="5:5" x14ac:dyDescent="0.2">
      <c r="E792" s="332"/>
    </row>
    <row r="793" spans="5:5" x14ac:dyDescent="0.2">
      <c r="E793" s="332"/>
    </row>
    <row r="794" spans="5:5" x14ac:dyDescent="0.2">
      <c r="E794" s="332"/>
    </row>
    <row r="795" spans="5:5" x14ac:dyDescent="0.2">
      <c r="E795" s="332"/>
    </row>
    <row r="796" spans="5:5" x14ac:dyDescent="0.2">
      <c r="E796" s="332"/>
    </row>
    <row r="797" spans="5:5" x14ac:dyDescent="0.2">
      <c r="E797" s="332"/>
    </row>
    <row r="798" spans="5:5" x14ac:dyDescent="0.2">
      <c r="E798" s="332"/>
    </row>
    <row r="799" spans="5:5" x14ac:dyDescent="0.2">
      <c r="E799" s="332"/>
    </row>
    <row r="800" spans="5:5" x14ac:dyDescent="0.2">
      <c r="E800" s="332"/>
    </row>
    <row r="801" spans="5:5" x14ac:dyDescent="0.2">
      <c r="E801" s="332"/>
    </row>
    <row r="802" spans="5:5" x14ac:dyDescent="0.2">
      <c r="E802" s="332"/>
    </row>
    <row r="803" spans="5:5" x14ac:dyDescent="0.2">
      <c r="E803" s="332"/>
    </row>
    <row r="804" spans="5:5" x14ac:dyDescent="0.2">
      <c r="E804" s="332"/>
    </row>
    <row r="805" spans="5:5" x14ac:dyDescent="0.2">
      <c r="E805" s="332"/>
    </row>
    <row r="806" spans="5:5" x14ac:dyDescent="0.2">
      <c r="E806" s="332"/>
    </row>
    <row r="807" spans="5:5" x14ac:dyDescent="0.2">
      <c r="E807" s="332"/>
    </row>
    <row r="808" spans="5:5" x14ac:dyDescent="0.2">
      <c r="E808" s="332"/>
    </row>
    <row r="809" spans="5:5" x14ac:dyDescent="0.2">
      <c r="E809" s="332"/>
    </row>
    <row r="810" spans="5:5" x14ac:dyDescent="0.2">
      <c r="E810" s="332"/>
    </row>
    <row r="811" spans="5:5" x14ac:dyDescent="0.2">
      <c r="E811" s="332"/>
    </row>
    <row r="812" spans="5:5" x14ac:dyDescent="0.2">
      <c r="E812" s="332"/>
    </row>
    <row r="813" spans="5:5" x14ac:dyDescent="0.2">
      <c r="E813" s="332"/>
    </row>
    <row r="814" spans="5:5" x14ac:dyDescent="0.2">
      <c r="E814" s="332"/>
    </row>
    <row r="815" spans="5:5" x14ac:dyDescent="0.2">
      <c r="E815" s="332"/>
    </row>
    <row r="816" spans="5:5" x14ac:dyDescent="0.2">
      <c r="E816" s="332"/>
    </row>
    <row r="817" spans="5:5" x14ac:dyDescent="0.2">
      <c r="E817" s="332"/>
    </row>
    <row r="818" spans="5:5" x14ac:dyDescent="0.2">
      <c r="E818" s="332"/>
    </row>
    <row r="819" spans="5:5" x14ac:dyDescent="0.2">
      <c r="E819" s="332"/>
    </row>
    <row r="820" spans="5:5" x14ac:dyDescent="0.2">
      <c r="E820" s="332"/>
    </row>
    <row r="821" spans="5:5" x14ac:dyDescent="0.2">
      <c r="E821" s="332"/>
    </row>
    <row r="822" spans="5:5" x14ac:dyDescent="0.2">
      <c r="E822" s="332"/>
    </row>
    <row r="823" spans="5:5" x14ac:dyDescent="0.2">
      <c r="E823" s="332"/>
    </row>
    <row r="824" spans="5:5" x14ac:dyDescent="0.2">
      <c r="E824" s="332"/>
    </row>
    <row r="825" spans="5:5" x14ac:dyDescent="0.2">
      <c r="E825" s="332"/>
    </row>
    <row r="826" spans="5:5" x14ac:dyDescent="0.2">
      <c r="E826" s="332"/>
    </row>
    <row r="827" spans="5:5" x14ac:dyDescent="0.2">
      <c r="E827" s="332"/>
    </row>
    <row r="828" spans="5:5" x14ac:dyDescent="0.2">
      <c r="E828" s="332"/>
    </row>
    <row r="829" spans="5:5" x14ac:dyDescent="0.2">
      <c r="E829" s="332"/>
    </row>
    <row r="830" spans="5:5" x14ac:dyDescent="0.2">
      <c r="E830" s="332"/>
    </row>
    <row r="831" spans="5:5" x14ac:dyDescent="0.2">
      <c r="E831" s="332"/>
    </row>
    <row r="832" spans="5:5" x14ac:dyDescent="0.2">
      <c r="E832" s="332"/>
    </row>
    <row r="833" spans="5:5" x14ac:dyDescent="0.2">
      <c r="E833" s="332"/>
    </row>
    <row r="834" spans="5:5" x14ac:dyDescent="0.2">
      <c r="E834" s="332"/>
    </row>
    <row r="835" spans="5:5" x14ac:dyDescent="0.2">
      <c r="E835" s="332"/>
    </row>
    <row r="836" spans="5:5" x14ac:dyDescent="0.2">
      <c r="E836" s="332"/>
    </row>
    <row r="837" spans="5:5" x14ac:dyDescent="0.2">
      <c r="E837" s="332"/>
    </row>
    <row r="838" spans="5:5" x14ac:dyDescent="0.2">
      <c r="E838" s="332"/>
    </row>
    <row r="839" spans="5:5" x14ac:dyDescent="0.2">
      <c r="E839" s="332"/>
    </row>
    <row r="840" spans="5:5" x14ac:dyDescent="0.2">
      <c r="E840" s="332"/>
    </row>
    <row r="841" spans="5:5" x14ac:dyDescent="0.2">
      <c r="E841" s="332"/>
    </row>
    <row r="842" spans="5:5" x14ac:dyDescent="0.2">
      <c r="E842" s="332"/>
    </row>
    <row r="843" spans="5:5" x14ac:dyDescent="0.2">
      <c r="E843" s="332"/>
    </row>
    <row r="844" spans="5:5" x14ac:dyDescent="0.2">
      <c r="E844" s="332"/>
    </row>
    <row r="845" spans="5:5" x14ac:dyDescent="0.2">
      <c r="E845" s="332"/>
    </row>
    <row r="846" spans="5:5" x14ac:dyDescent="0.2">
      <c r="E846" s="332"/>
    </row>
    <row r="847" spans="5:5" x14ac:dyDescent="0.2">
      <c r="E847" s="332"/>
    </row>
    <row r="848" spans="5:5" x14ac:dyDescent="0.2">
      <c r="E848" s="332"/>
    </row>
    <row r="849" spans="5:5" x14ac:dyDescent="0.2">
      <c r="E849" s="332"/>
    </row>
    <row r="850" spans="5:5" x14ac:dyDescent="0.2">
      <c r="E850" s="332"/>
    </row>
    <row r="851" spans="5:5" x14ac:dyDescent="0.2">
      <c r="E851" s="332"/>
    </row>
    <row r="852" spans="5:5" x14ac:dyDescent="0.2">
      <c r="E852" s="332"/>
    </row>
    <row r="853" spans="5:5" x14ac:dyDescent="0.2">
      <c r="E853" s="332"/>
    </row>
    <row r="854" spans="5:5" x14ac:dyDescent="0.2">
      <c r="E854" s="332"/>
    </row>
    <row r="855" spans="5:5" x14ac:dyDescent="0.2">
      <c r="E855" s="332"/>
    </row>
    <row r="856" spans="5:5" x14ac:dyDescent="0.2">
      <c r="E856" s="332"/>
    </row>
    <row r="857" spans="5:5" x14ac:dyDescent="0.2">
      <c r="E857" s="332"/>
    </row>
    <row r="858" spans="5:5" x14ac:dyDescent="0.2">
      <c r="E858" s="332"/>
    </row>
    <row r="859" spans="5:5" x14ac:dyDescent="0.2">
      <c r="E859" s="332"/>
    </row>
    <row r="860" spans="5:5" x14ac:dyDescent="0.2">
      <c r="E860" s="332"/>
    </row>
    <row r="861" spans="5:5" x14ac:dyDescent="0.2">
      <c r="E861" s="332"/>
    </row>
    <row r="862" spans="5:5" x14ac:dyDescent="0.2">
      <c r="E862" s="332"/>
    </row>
    <row r="863" spans="5:5" x14ac:dyDescent="0.2">
      <c r="E863" s="332"/>
    </row>
    <row r="864" spans="5:5" x14ac:dyDescent="0.2">
      <c r="E864" s="332"/>
    </row>
    <row r="865" spans="5:5" x14ac:dyDescent="0.2">
      <c r="E865" s="332"/>
    </row>
    <row r="866" spans="5:5" x14ac:dyDescent="0.2">
      <c r="E866" s="332"/>
    </row>
    <row r="867" spans="5:5" x14ac:dyDescent="0.2">
      <c r="E867" s="332"/>
    </row>
    <row r="868" spans="5:5" x14ac:dyDescent="0.2">
      <c r="E868" s="332"/>
    </row>
    <row r="869" spans="5:5" x14ac:dyDescent="0.2">
      <c r="E869" s="332"/>
    </row>
    <row r="870" spans="5:5" x14ac:dyDescent="0.2">
      <c r="E870" s="332"/>
    </row>
    <row r="871" spans="5:5" x14ac:dyDescent="0.2">
      <c r="E871" s="332"/>
    </row>
    <row r="872" spans="5:5" x14ac:dyDescent="0.2">
      <c r="E872" s="332"/>
    </row>
    <row r="873" spans="5:5" x14ac:dyDescent="0.2">
      <c r="E873" s="332"/>
    </row>
    <row r="874" spans="5:5" x14ac:dyDescent="0.2">
      <c r="E874" s="332"/>
    </row>
    <row r="875" spans="5:5" x14ac:dyDescent="0.2">
      <c r="E875" s="332"/>
    </row>
    <row r="876" spans="5:5" x14ac:dyDescent="0.2">
      <c r="E876" s="332"/>
    </row>
    <row r="877" spans="5:5" x14ac:dyDescent="0.2">
      <c r="E877" s="332"/>
    </row>
    <row r="878" spans="5:5" x14ac:dyDescent="0.2">
      <c r="E878" s="332"/>
    </row>
    <row r="879" spans="5:5" x14ac:dyDescent="0.2">
      <c r="E879" s="332"/>
    </row>
    <row r="880" spans="5:5" x14ac:dyDescent="0.2">
      <c r="E880" s="332"/>
    </row>
    <row r="881" spans="5:5" x14ac:dyDescent="0.2">
      <c r="E881" s="332"/>
    </row>
    <row r="882" spans="5:5" x14ac:dyDescent="0.2">
      <c r="E882" s="332"/>
    </row>
    <row r="883" spans="5:5" x14ac:dyDescent="0.2">
      <c r="E883" s="332"/>
    </row>
    <row r="884" spans="5:5" x14ac:dyDescent="0.2">
      <c r="E884" s="332"/>
    </row>
    <row r="885" spans="5:5" x14ac:dyDescent="0.2">
      <c r="E885" s="332"/>
    </row>
    <row r="886" spans="5:5" x14ac:dyDescent="0.2">
      <c r="E886" s="332"/>
    </row>
    <row r="887" spans="5:5" x14ac:dyDescent="0.2">
      <c r="E887" s="332"/>
    </row>
    <row r="888" spans="5:5" x14ac:dyDescent="0.2">
      <c r="E888" s="332"/>
    </row>
    <row r="889" spans="5:5" x14ac:dyDescent="0.2">
      <c r="E889" s="332"/>
    </row>
    <row r="890" spans="5:5" x14ac:dyDescent="0.2">
      <c r="E890" s="332"/>
    </row>
    <row r="891" spans="5:5" x14ac:dyDescent="0.2">
      <c r="E891" s="332"/>
    </row>
    <row r="892" spans="5:5" x14ac:dyDescent="0.2">
      <c r="E892" s="332"/>
    </row>
    <row r="893" spans="5:5" x14ac:dyDescent="0.2">
      <c r="E893" s="332"/>
    </row>
    <row r="894" spans="5:5" x14ac:dyDescent="0.2">
      <c r="E894" s="332"/>
    </row>
    <row r="895" spans="5:5" x14ac:dyDescent="0.2">
      <c r="E895" s="332"/>
    </row>
    <row r="896" spans="5:5" x14ac:dyDescent="0.2">
      <c r="E896" s="332"/>
    </row>
    <row r="897" spans="5:5" x14ac:dyDescent="0.2">
      <c r="E897" s="332"/>
    </row>
    <row r="898" spans="5:5" x14ac:dyDescent="0.2">
      <c r="E898" s="332"/>
    </row>
    <row r="899" spans="5:5" x14ac:dyDescent="0.2">
      <c r="E899" s="332"/>
    </row>
    <row r="900" spans="5:5" x14ac:dyDescent="0.2">
      <c r="E900" s="332"/>
    </row>
    <row r="901" spans="5:5" x14ac:dyDescent="0.2">
      <c r="E901" s="332"/>
    </row>
    <row r="902" spans="5:5" x14ac:dyDescent="0.2">
      <c r="E902" s="332"/>
    </row>
    <row r="903" spans="5:5" x14ac:dyDescent="0.2">
      <c r="E903" s="332"/>
    </row>
    <row r="904" spans="5:5" x14ac:dyDescent="0.2">
      <c r="E904" s="332"/>
    </row>
    <row r="905" spans="5:5" x14ac:dyDescent="0.2">
      <c r="E905" s="332"/>
    </row>
    <row r="906" spans="5:5" x14ac:dyDescent="0.2">
      <c r="E906" s="332"/>
    </row>
    <row r="907" spans="5:5" x14ac:dyDescent="0.2">
      <c r="E907" s="332"/>
    </row>
    <row r="908" spans="5:5" x14ac:dyDescent="0.2">
      <c r="E908" s="332"/>
    </row>
    <row r="909" spans="5:5" x14ac:dyDescent="0.2">
      <c r="E909" s="332"/>
    </row>
    <row r="910" spans="5:5" x14ac:dyDescent="0.2">
      <c r="E910" s="332"/>
    </row>
    <row r="911" spans="5:5" x14ac:dyDescent="0.2">
      <c r="E911" s="332"/>
    </row>
    <row r="912" spans="5:5" x14ac:dyDescent="0.2">
      <c r="E912" s="332"/>
    </row>
    <row r="913" spans="5:5" x14ac:dyDescent="0.2">
      <c r="E913" s="332"/>
    </row>
    <row r="914" spans="5:5" x14ac:dyDescent="0.2">
      <c r="E914" s="332"/>
    </row>
    <row r="915" spans="5:5" x14ac:dyDescent="0.2">
      <c r="E915" s="332"/>
    </row>
    <row r="916" spans="5:5" x14ac:dyDescent="0.2">
      <c r="E916" s="332"/>
    </row>
    <row r="917" spans="5:5" x14ac:dyDescent="0.2">
      <c r="E917" s="332"/>
    </row>
    <row r="918" spans="5:5" x14ac:dyDescent="0.2">
      <c r="E918" s="332"/>
    </row>
    <row r="919" spans="5:5" x14ac:dyDescent="0.2">
      <c r="E919" s="332"/>
    </row>
    <row r="920" spans="5:5" x14ac:dyDescent="0.2">
      <c r="E920" s="332"/>
    </row>
    <row r="921" spans="5:5" x14ac:dyDescent="0.2">
      <c r="E921" s="332"/>
    </row>
    <row r="922" spans="5:5" x14ac:dyDescent="0.2">
      <c r="E922" s="332"/>
    </row>
    <row r="923" spans="5:5" x14ac:dyDescent="0.2">
      <c r="E923" s="332"/>
    </row>
    <row r="924" spans="5:5" x14ac:dyDescent="0.2">
      <c r="E924" s="332"/>
    </row>
    <row r="925" spans="5:5" x14ac:dyDescent="0.2">
      <c r="E925" s="332"/>
    </row>
    <row r="926" spans="5:5" x14ac:dyDescent="0.2">
      <c r="E926" s="332"/>
    </row>
    <row r="927" spans="5:5" x14ac:dyDescent="0.2">
      <c r="E927" s="332"/>
    </row>
    <row r="928" spans="5:5" x14ac:dyDescent="0.2">
      <c r="E928" s="332"/>
    </row>
    <row r="929" spans="5:5" x14ac:dyDescent="0.2">
      <c r="E929" s="332"/>
    </row>
    <row r="930" spans="5:5" x14ac:dyDescent="0.2">
      <c r="E930" s="332"/>
    </row>
    <row r="931" spans="5:5" x14ac:dyDescent="0.2">
      <c r="E931" s="332"/>
    </row>
    <row r="932" spans="5:5" x14ac:dyDescent="0.2">
      <c r="E932" s="332"/>
    </row>
    <row r="933" spans="5:5" x14ac:dyDescent="0.2">
      <c r="E933" s="332"/>
    </row>
    <row r="934" spans="5:5" x14ac:dyDescent="0.2">
      <c r="E934" s="332"/>
    </row>
    <row r="935" spans="5:5" x14ac:dyDescent="0.2">
      <c r="E935" s="332"/>
    </row>
    <row r="936" spans="5:5" x14ac:dyDescent="0.2">
      <c r="E936" s="332"/>
    </row>
    <row r="937" spans="5:5" x14ac:dyDescent="0.2">
      <c r="E937" s="332"/>
    </row>
    <row r="938" spans="5:5" x14ac:dyDescent="0.2">
      <c r="E938" s="332"/>
    </row>
    <row r="939" spans="5:5" x14ac:dyDescent="0.2">
      <c r="E939" s="332"/>
    </row>
    <row r="940" spans="5:5" x14ac:dyDescent="0.2">
      <c r="E940" s="332"/>
    </row>
    <row r="941" spans="5:5" x14ac:dyDescent="0.2">
      <c r="E941" s="332"/>
    </row>
    <row r="942" spans="5:5" x14ac:dyDescent="0.2">
      <c r="E942" s="332"/>
    </row>
    <row r="943" spans="5:5" x14ac:dyDescent="0.2">
      <c r="E943" s="332"/>
    </row>
    <row r="944" spans="5:5" x14ac:dyDescent="0.2">
      <c r="E944" s="332"/>
    </row>
    <row r="945" spans="5:5" x14ac:dyDescent="0.2">
      <c r="E945" s="332"/>
    </row>
    <row r="946" spans="5:5" x14ac:dyDescent="0.2">
      <c r="E946" s="332"/>
    </row>
    <row r="947" spans="5:5" x14ac:dyDescent="0.2">
      <c r="E947" s="332"/>
    </row>
    <row r="948" spans="5:5" x14ac:dyDescent="0.2">
      <c r="E948" s="332"/>
    </row>
    <row r="949" spans="5:5" x14ac:dyDescent="0.2">
      <c r="E949" s="332"/>
    </row>
    <row r="950" spans="5:5" x14ac:dyDescent="0.2">
      <c r="E950" s="332"/>
    </row>
    <row r="951" spans="5:5" x14ac:dyDescent="0.2">
      <c r="E951" s="332"/>
    </row>
    <row r="952" spans="5:5" x14ac:dyDescent="0.2">
      <c r="E952" s="332"/>
    </row>
    <row r="953" spans="5:5" x14ac:dyDescent="0.2">
      <c r="E953" s="332"/>
    </row>
    <row r="954" spans="5:5" x14ac:dyDescent="0.2">
      <c r="E954" s="332"/>
    </row>
    <row r="955" spans="5:5" x14ac:dyDescent="0.2">
      <c r="E955" s="332"/>
    </row>
    <row r="956" spans="5:5" x14ac:dyDescent="0.2">
      <c r="E956" s="332"/>
    </row>
    <row r="957" spans="5:5" x14ac:dyDescent="0.2">
      <c r="E957" s="332"/>
    </row>
    <row r="958" spans="5:5" x14ac:dyDescent="0.2">
      <c r="E958" s="332"/>
    </row>
    <row r="959" spans="5:5" x14ac:dyDescent="0.2">
      <c r="E959" s="332"/>
    </row>
    <row r="960" spans="5:5" x14ac:dyDescent="0.2">
      <c r="E960" s="332"/>
    </row>
    <row r="961" spans="5:5" x14ac:dyDescent="0.2">
      <c r="E961" s="332"/>
    </row>
    <row r="962" spans="5:5" x14ac:dyDescent="0.2">
      <c r="E962" s="332"/>
    </row>
    <row r="963" spans="5:5" x14ac:dyDescent="0.2">
      <c r="E963" s="332"/>
    </row>
    <row r="964" spans="5:5" x14ac:dyDescent="0.2">
      <c r="E964" s="332"/>
    </row>
    <row r="965" spans="5:5" x14ac:dyDescent="0.2">
      <c r="E965" s="332"/>
    </row>
    <row r="966" spans="5:5" x14ac:dyDescent="0.2">
      <c r="E966" s="332"/>
    </row>
    <row r="967" spans="5:5" x14ac:dyDescent="0.2">
      <c r="E967" s="332"/>
    </row>
    <row r="968" spans="5:5" x14ac:dyDescent="0.2">
      <c r="E968" s="332"/>
    </row>
    <row r="969" spans="5:5" x14ac:dyDescent="0.2">
      <c r="E969" s="332"/>
    </row>
    <row r="970" spans="5:5" x14ac:dyDescent="0.2">
      <c r="E970" s="332"/>
    </row>
    <row r="971" spans="5:5" x14ac:dyDescent="0.2">
      <c r="E971" s="332"/>
    </row>
    <row r="972" spans="5:5" x14ac:dyDescent="0.2">
      <c r="E972" s="332"/>
    </row>
    <row r="973" spans="5:5" x14ac:dyDescent="0.2">
      <c r="E973" s="332"/>
    </row>
    <row r="974" spans="5:5" x14ac:dyDescent="0.2">
      <c r="E974" s="332"/>
    </row>
    <row r="975" spans="5:5" x14ac:dyDescent="0.2">
      <c r="E975" s="332"/>
    </row>
    <row r="976" spans="5:5" x14ac:dyDescent="0.2">
      <c r="E976" s="332"/>
    </row>
    <row r="977" spans="5:5" x14ac:dyDescent="0.2">
      <c r="E977" s="332"/>
    </row>
    <row r="978" spans="5:5" x14ac:dyDescent="0.2">
      <c r="E978" s="332"/>
    </row>
    <row r="979" spans="5:5" x14ac:dyDescent="0.2">
      <c r="E979" s="332"/>
    </row>
    <row r="980" spans="5:5" x14ac:dyDescent="0.2">
      <c r="E980" s="332"/>
    </row>
    <row r="981" spans="5:5" x14ac:dyDescent="0.2">
      <c r="E981" s="332"/>
    </row>
    <row r="982" spans="5:5" x14ac:dyDescent="0.2">
      <c r="E982" s="332"/>
    </row>
    <row r="983" spans="5:5" x14ac:dyDescent="0.2">
      <c r="E983" s="332"/>
    </row>
    <row r="984" spans="5:5" x14ac:dyDescent="0.2">
      <c r="E984" s="332"/>
    </row>
    <row r="985" spans="5:5" x14ac:dyDescent="0.2">
      <c r="E985" s="332"/>
    </row>
    <row r="986" spans="5:5" x14ac:dyDescent="0.2">
      <c r="E986" s="332"/>
    </row>
    <row r="987" spans="5:5" x14ac:dyDescent="0.2">
      <c r="E987" s="332"/>
    </row>
    <row r="988" spans="5:5" x14ac:dyDescent="0.2">
      <c r="E988" s="332"/>
    </row>
    <row r="989" spans="5:5" x14ac:dyDescent="0.2">
      <c r="E989" s="332"/>
    </row>
    <row r="990" spans="5:5" x14ac:dyDescent="0.2">
      <c r="E990" s="332"/>
    </row>
    <row r="991" spans="5:5" x14ac:dyDescent="0.2">
      <c r="E991" s="332"/>
    </row>
    <row r="992" spans="5:5" x14ac:dyDescent="0.2">
      <c r="E992" s="332"/>
    </row>
    <row r="993" spans="5:5" x14ac:dyDescent="0.2">
      <c r="E993" s="332"/>
    </row>
    <row r="994" spans="5:5" x14ac:dyDescent="0.2">
      <c r="E994" s="332"/>
    </row>
    <row r="995" spans="5:5" x14ac:dyDescent="0.2">
      <c r="E995" s="332"/>
    </row>
    <row r="996" spans="5:5" x14ac:dyDescent="0.2">
      <c r="E996" s="332"/>
    </row>
    <row r="997" spans="5:5" x14ac:dyDescent="0.2">
      <c r="E997" s="332"/>
    </row>
    <row r="998" spans="5:5" x14ac:dyDescent="0.2">
      <c r="E998" s="332"/>
    </row>
    <row r="999" spans="5:5" x14ac:dyDescent="0.2">
      <c r="E999" s="332"/>
    </row>
    <row r="1000" spans="5:5" x14ac:dyDescent="0.2">
      <c r="E1000" s="332"/>
    </row>
    <row r="1001" spans="5:5" x14ac:dyDescent="0.2">
      <c r="E1001" s="332"/>
    </row>
    <row r="1002" spans="5:5" x14ac:dyDescent="0.2">
      <c r="E1002" s="332"/>
    </row>
    <row r="1003" spans="5:5" x14ac:dyDescent="0.2">
      <c r="E1003" s="332"/>
    </row>
    <row r="1004" spans="5:5" x14ac:dyDescent="0.2">
      <c r="E1004" s="332"/>
    </row>
    <row r="1005" spans="5:5" x14ac:dyDescent="0.2">
      <c r="E1005" s="332"/>
    </row>
    <row r="1006" spans="5:5" x14ac:dyDescent="0.2">
      <c r="E1006" s="332"/>
    </row>
    <row r="1007" spans="5:5" x14ac:dyDescent="0.2">
      <c r="E1007" s="332"/>
    </row>
    <row r="1008" spans="5:5" x14ac:dyDescent="0.2">
      <c r="E1008" s="332"/>
    </row>
    <row r="1009" spans="5:5" x14ac:dyDescent="0.2">
      <c r="E1009" s="332"/>
    </row>
    <row r="1010" spans="5:5" x14ac:dyDescent="0.2">
      <c r="E1010" s="332"/>
    </row>
    <row r="1011" spans="5:5" x14ac:dyDescent="0.2">
      <c r="E1011" s="332"/>
    </row>
    <row r="1012" spans="5:5" x14ac:dyDescent="0.2">
      <c r="E1012" s="332"/>
    </row>
    <row r="1013" spans="5:5" x14ac:dyDescent="0.2">
      <c r="E1013" s="332"/>
    </row>
    <row r="1014" spans="5:5" x14ac:dyDescent="0.2">
      <c r="E1014" s="332"/>
    </row>
    <row r="1015" spans="5:5" x14ac:dyDescent="0.2">
      <c r="E1015" s="332"/>
    </row>
    <row r="1016" spans="5:5" x14ac:dyDescent="0.2">
      <c r="E1016" s="332"/>
    </row>
    <row r="1017" spans="5:5" x14ac:dyDescent="0.2">
      <c r="E1017" s="332"/>
    </row>
    <row r="1018" spans="5:5" x14ac:dyDescent="0.2">
      <c r="E1018" s="332"/>
    </row>
    <row r="1019" spans="5:5" x14ac:dyDescent="0.2">
      <c r="E1019" s="332"/>
    </row>
    <row r="1020" spans="5:5" x14ac:dyDescent="0.2">
      <c r="E1020" s="332"/>
    </row>
    <row r="1021" spans="5:5" x14ac:dyDescent="0.2">
      <c r="E1021" s="332"/>
    </row>
    <row r="1022" spans="5:5" x14ac:dyDescent="0.2">
      <c r="E1022" s="332"/>
    </row>
    <row r="1023" spans="5:5" x14ac:dyDescent="0.2">
      <c r="E1023" s="332"/>
    </row>
    <row r="1024" spans="5:5" x14ac:dyDescent="0.2">
      <c r="E1024" s="332"/>
    </row>
    <row r="1025" spans="5:5" x14ac:dyDescent="0.2">
      <c r="E1025" s="332"/>
    </row>
    <row r="1026" spans="5:5" x14ac:dyDescent="0.2">
      <c r="E1026" s="332"/>
    </row>
    <row r="1027" spans="5:5" x14ac:dyDescent="0.2">
      <c r="E1027" s="332"/>
    </row>
    <row r="1028" spans="5:5" x14ac:dyDescent="0.2">
      <c r="E1028" s="332"/>
    </row>
    <row r="1029" spans="5:5" x14ac:dyDescent="0.2">
      <c r="E1029" s="332"/>
    </row>
    <row r="1030" spans="5:5" x14ac:dyDescent="0.2">
      <c r="E1030" s="332"/>
    </row>
    <row r="1031" spans="5:5" x14ac:dyDescent="0.2">
      <c r="E1031" s="332"/>
    </row>
    <row r="1032" spans="5:5" x14ac:dyDescent="0.2">
      <c r="E1032" s="332"/>
    </row>
    <row r="1033" spans="5:5" x14ac:dyDescent="0.2">
      <c r="E1033" s="332"/>
    </row>
    <row r="1034" spans="5:5" x14ac:dyDescent="0.2">
      <c r="E1034" s="332"/>
    </row>
    <row r="1035" spans="5:5" x14ac:dyDescent="0.2">
      <c r="E1035" s="332"/>
    </row>
    <row r="1036" spans="5:5" x14ac:dyDescent="0.2">
      <c r="E1036" s="332"/>
    </row>
    <row r="1037" spans="5:5" x14ac:dyDescent="0.2">
      <c r="E1037" s="332"/>
    </row>
    <row r="1038" spans="5:5" x14ac:dyDescent="0.2">
      <c r="E1038" s="332"/>
    </row>
    <row r="1039" spans="5:5" x14ac:dyDescent="0.2">
      <c r="E1039" s="332"/>
    </row>
    <row r="1040" spans="5:5" x14ac:dyDescent="0.2">
      <c r="E1040" s="332"/>
    </row>
    <row r="1041" spans="5:5" x14ac:dyDescent="0.2">
      <c r="E1041" s="332"/>
    </row>
    <row r="1042" spans="5:5" x14ac:dyDescent="0.2">
      <c r="E1042" s="332"/>
    </row>
    <row r="1043" spans="5:5" x14ac:dyDescent="0.2">
      <c r="E1043" s="332"/>
    </row>
    <row r="1044" spans="5:5" x14ac:dyDescent="0.2">
      <c r="E1044" s="332"/>
    </row>
    <row r="1045" spans="5:5" x14ac:dyDescent="0.2">
      <c r="E1045" s="332"/>
    </row>
    <row r="1046" spans="5:5" x14ac:dyDescent="0.2">
      <c r="E1046" s="332"/>
    </row>
    <row r="1047" spans="5:5" x14ac:dyDescent="0.2">
      <c r="E1047" s="332"/>
    </row>
    <row r="1048" spans="5:5" x14ac:dyDescent="0.2">
      <c r="E1048" s="332"/>
    </row>
    <row r="1049" spans="5:5" x14ac:dyDescent="0.2">
      <c r="E1049" s="332"/>
    </row>
    <row r="1050" spans="5:5" x14ac:dyDescent="0.2">
      <c r="E1050" s="332"/>
    </row>
    <row r="1051" spans="5:5" x14ac:dyDescent="0.2">
      <c r="E1051" s="332"/>
    </row>
    <row r="1052" spans="5:5" x14ac:dyDescent="0.2">
      <c r="E1052" s="332"/>
    </row>
    <row r="1053" spans="5:5" x14ac:dyDescent="0.2">
      <c r="E1053" s="332"/>
    </row>
    <row r="1054" spans="5:5" x14ac:dyDescent="0.2">
      <c r="E1054" s="332"/>
    </row>
    <row r="1055" spans="5:5" x14ac:dyDescent="0.2">
      <c r="E1055" s="332"/>
    </row>
    <row r="1056" spans="5:5" x14ac:dyDescent="0.2">
      <c r="E1056" s="332"/>
    </row>
    <row r="1057" spans="5:5" x14ac:dyDescent="0.2">
      <c r="E1057" s="332"/>
    </row>
    <row r="1058" spans="5:5" x14ac:dyDescent="0.2">
      <c r="E1058" s="332"/>
    </row>
    <row r="1059" spans="5:5" x14ac:dyDescent="0.2">
      <c r="E1059" s="332"/>
    </row>
    <row r="1060" spans="5:5" x14ac:dyDescent="0.2">
      <c r="E1060" s="332"/>
    </row>
    <row r="1061" spans="5:5" x14ac:dyDescent="0.2">
      <c r="E1061" s="332"/>
    </row>
    <row r="1062" spans="5:5" x14ac:dyDescent="0.2">
      <c r="E1062" s="332"/>
    </row>
    <row r="1063" spans="5:5" x14ac:dyDescent="0.2">
      <c r="E1063" s="332"/>
    </row>
    <row r="1064" spans="5:5" x14ac:dyDescent="0.2">
      <c r="E1064" s="332"/>
    </row>
    <row r="1065" spans="5:5" x14ac:dyDescent="0.2">
      <c r="E1065" s="332"/>
    </row>
    <row r="1066" spans="5:5" x14ac:dyDescent="0.2">
      <c r="E1066" s="332"/>
    </row>
    <row r="1067" spans="5:5" x14ac:dyDescent="0.2">
      <c r="E1067" s="332"/>
    </row>
    <row r="1068" spans="5:5" x14ac:dyDescent="0.2">
      <c r="E1068" s="332"/>
    </row>
    <row r="1069" spans="5:5" x14ac:dyDescent="0.2">
      <c r="E1069" s="332"/>
    </row>
    <row r="1070" spans="5:5" x14ac:dyDescent="0.2">
      <c r="E1070" s="332"/>
    </row>
    <row r="1071" spans="5:5" x14ac:dyDescent="0.2">
      <c r="E1071" s="332"/>
    </row>
    <row r="1072" spans="5:5" x14ac:dyDescent="0.2">
      <c r="E1072" s="332"/>
    </row>
    <row r="1073" spans="5:5" x14ac:dyDescent="0.2">
      <c r="E1073" s="332"/>
    </row>
    <row r="1074" spans="5:5" x14ac:dyDescent="0.2">
      <c r="E1074" s="332"/>
    </row>
    <row r="1075" spans="5:5" x14ac:dyDescent="0.2">
      <c r="E1075" s="332"/>
    </row>
    <row r="1076" spans="5:5" x14ac:dyDescent="0.2">
      <c r="E1076" s="332"/>
    </row>
    <row r="1077" spans="5:5" x14ac:dyDescent="0.2">
      <c r="E1077" s="332"/>
    </row>
    <row r="1078" spans="5:5" x14ac:dyDescent="0.2">
      <c r="E1078" s="332"/>
    </row>
    <row r="1079" spans="5:5" x14ac:dyDescent="0.2">
      <c r="E1079" s="332"/>
    </row>
    <row r="1080" spans="5:5" x14ac:dyDescent="0.2">
      <c r="E1080" s="332"/>
    </row>
    <row r="1081" spans="5:5" x14ac:dyDescent="0.2">
      <c r="E1081" s="332"/>
    </row>
    <row r="1082" spans="5:5" x14ac:dyDescent="0.2">
      <c r="E1082" s="332"/>
    </row>
    <row r="1083" spans="5:5" x14ac:dyDescent="0.2">
      <c r="E1083" s="332"/>
    </row>
    <row r="1084" spans="5:5" x14ac:dyDescent="0.2">
      <c r="E1084" s="332"/>
    </row>
    <row r="1085" spans="5:5" x14ac:dyDescent="0.2">
      <c r="E1085" s="332"/>
    </row>
    <row r="1086" spans="5:5" x14ac:dyDescent="0.2">
      <c r="E1086" s="332"/>
    </row>
    <row r="1087" spans="5:5" x14ac:dyDescent="0.2">
      <c r="E1087" s="332"/>
    </row>
    <row r="1088" spans="5:5" x14ac:dyDescent="0.2">
      <c r="E1088" s="332"/>
    </row>
    <row r="1089" spans="5:5" x14ac:dyDescent="0.2">
      <c r="E1089" s="332"/>
    </row>
    <row r="1090" spans="5:5" x14ac:dyDescent="0.2">
      <c r="E1090" s="332"/>
    </row>
    <row r="1091" spans="5:5" x14ac:dyDescent="0.2">
      <c r="E1091" s="332"/>
    </row>
    <row r="1092" spans="5:5" x14ac:dyDescent="0.2">
      <c r="E1092" s="332"/>
    </row>
    <row r="1093" spans="5:5" x14ac:dyDescent="0.2">
      <c r="E1093" s="332"/>
    </row>
    <row r="1094" spans="5:5" x14ac:dyDescent="0.2">
      <c r="E1094" s="332"/>
    </row>
    <row r="1095" spans="5:5" x14ac:dyDescent="0.2">
      <c r="E1095" s="332"/>
    </row>
    <row r="1096" spans="5:5" x14ac:dyDescent="0.2">
      <c r="E1096" s="332"/>
    </row>
    <row r="1097" spans="5:5" x14ac:dyDescent="0.2">
      <c r="E1097" s="332"/>
    </row>
    <row r="1098" spans="5:5" x14ac:dyDescent="0.2">
      <c r="E1098" s="332"/>
    </row>
    <row r="1099" spans="5:5" x14ac:dyDescent="0.2">
      <c r="E1099" s="332"/>
    </row>
    <row r="1100" spans="5:5" x14ac:dyDescent="0.2">
      <c r="E1100" s="332"/>
    </row>
    <row r="1101" spans="5:5" x14ac:dyDescent="0.2">
      <c r="E1101" s="332"/>
    </row>
    <row r="1102" spans="5:5" x14ac:dyDescent="0.2">
      <c r="E1102" s="332"/>
    </row>
    <row r="1103" spans="5:5" x14ac:dyDescent="0.2">
      <c r="E1103" s="332"/>
    </row>
    <row r="1104" spans="5:5" x14ac:dyDescent="0.2">
      <c r="E1104" s="332"/>
    </row>
    <row r="1105" spans="5:5" x14ac:dyDescent="0.2">
      <c r="E1105" s="332"/>
    </row>
    <row r="1106" spans="5:5" x14ac:dyDescent="0.2">
      <c r="E1106" s="332"/>
    </row>
    <row r="1107" spans="5:5" x14ac:dyDescent="0.2">
      <c r="E1107" s="332"/>
    </row>
    <row r="1108" spans="5:5" x14ac:dyDescent="0.2">
      <c r="E1108" s="332"/>
    </row>
    <row r="1109" spans="5:5" x14ac:dyDescent="0.2">
      <c r="E1109" s="332"/>
    </row>
    <row r="1110" spans="5:5" x14ac:dyDescent="0.2">
      <c r="E1110" s="332"/>
    </row>
    <row r="1111" spans="5:5" x14ac:dyDescent="0.2">
      <c r="E1111" s="332"/>
    </row>
    <row r="1112" spans="5:5" x14ac:dyDescent="0.2">
      <c r="E1112" s="332"/>
    </row>
    <row r="1113" spans="5:5" x14ac:dyDescent="0.2">
      <c r="E1113" s="332"/>
    </row>
    <row r="1114" spans="5:5" x14ac:dyDescent="0.2">
      <c r="E1114" s="332"/>
    </row>
    <row r="1115" spans="5:5" x14ac:dyDescent="0.2">
      <c r="E1115" s="332"/>
    </row>
    <row r="1116" spans="5:5" x14ac:dyDescent="0.2">
      <c r="E1116" s="332"/>
    </row>
    <row r="1117" spans="5:5" x14ac:dyDescent="0.2">
      <c r="E1117" s="332"/>
    </row>
    <row r="1118" spans="5:5" x14ac:dyDescent="0.2">
      <c r="E1118" s="332"/>
    </row>
    <row r="1119" spans="5:5" x14ac:dyDescent="0.2">
      <c r="E1119" s="332"/>
    </row>
    <row r="1120" spans="5:5" x14ac:dyDescent="0.2">
      <c r="E1120" s="332"/>
    </row>
    <row r="1121" spans="5:5" x14ac:dyDescent="0.2">
      <c r="E1121" s="332"/>
    </row>
    <row r="1122" spans="5:5" x14ac:dyDescent="0.2">
      <c r="E1122" s="332"/>
    </row>
    <row r="1123" spans="5:5" x14ac:dyDescent="0.2">
      <c r="E1123" s="332"/>
    </row>
    <row r="1124" spans="5:5" x14ac:dyDescent="0.2">
      <c r="E1124" s="332"/>
    </row>
    <row r="1125" spans="5:5" x14ac:dyDescent="0.2">
      <c r="E1125" s="332"/>
    </row>
    <row r="1126" spans="5:5" x14ac:dyDescent="0.2">
      <c r="E1126" s="332"/>
    </row>
    <row r="1127" spans="5:5" x14ac:dyDescent="0.2">
      <c r="E1127" s="332"/>
    </row>
    <row r="1128" spans="5:5" x14ac:dyDescent="0.2">
      <c r="E1128" s="332"/>
    </row>
    <row r="1129" spans="5:5" x14ac:dyDescent="0.2">
      <c r="E1129" s="332"/>
    </row>
    <row r="1130" spans="5:5" x14ac:dyDescent="0.2">
      <c r="E1130" s="332"/>
    </row>
    <row r="1131" spans="5:5" x14ac:dyDescent="0.2">
      <c r="E1131" s="332"/>
    </row>
    <row r="1132" spans="5:5" x14ac:dyDescent="0.2">
      <c r="E1132" s="332"/>
    </row>
    <row r="1133" spans="5:5" x14ac:dyDescent="0.2">
      <c r="E1133" s="332"/>
    </row>
    <row r="1134" spans="5:5" x14ac:dyDescent="0.2">
      <c r="E1134" s="332"/>
    </row>
    <row r="1135" spans="5:5" x14ac:dyDescent="0.2">
      <c r="E1135" s="332"/>
    </row>
    <row r="1136" spans="5:5" x14ac:dyDescent="0.2">
      <c r="E1136" s="332"/>
    </row>
    <row r="1137" spans="5:5" x14ac:dyDescent="0.2">
      <c r="E1137" s="332"/>
    </row>
    <row r="1138" spans="5:5" x14ac:dyDescent="0.2">
      <c r="E1138" s="332"/>
    </row>
    <row r="1139" spans="5:5" x14ac:dyDescent="0.2">
      <c r="E1139" s="332"/>
    </row>
    <row r="1140" spans="5:5" x14ac:dyDescent="0.2">
      <c r="E1140" s="332"/>
    </row>
    <row r="1141" spans="5:5" x14ac:dyDescent="0.2">
      <c r="E1141" s="332"/>
    </row>
    <row r="1142" spans="5:5" x14ac:dyDescent="0.2">
      <c r="E1142" s="332"/>
    </row>
    <row r="1143" spans="5:5" x14ac:dyDescent="0.2">
      <c r="E1143" s="332"/>
    </row>
    <row r="1144" spans="5:5" x14ac:dyDescent="0.2">
      <c r="E1144" s="332"/>
    </row>
    <row r="1145" spans="5:5" x14ac:dyDescent="0.2">
      <c r="E1145" s="332"/>
    </row>
    <row r="1146" spans="5:5" x14ac:dyDescent="0.2">
      <c r="E1146" s="332"/>
    </row>
    <row r="1147" spans="5:5" x14ac:dyDescent="0.2">
      <c r="E1147" s="332"/>
    </row>
    <row r="1148" spans="5:5" x14ac:dyDescent="0.2">
      <c r="E1148" s="332"/>
    </row>
    <row r="1149" spans="5:5" x14ac:dyDescent="0.2">
      <c r="E1149" s="332"/>
    </row>
    <row r="1150" spans="5:5" x14ac:dyDescent="0.2">
      <c r="E1150" s="332"/>
    </row>
    <row r="1151" spans="5:5" x14ac:dyDescent="0.2">
      <c r="E1151" s="332"/>
    </row>
    <row r="1152" spans="5:5" x14ac:dyDescent="0.2">
      <c r="E1152" s="332"/>
    </row>
    <row r="1153" spans="5:5" x14ac:dyDescent="0.2">
      <c r="E1153" s="332"/>
    </row>
    <row r="1154" spans="5:5" x14ac:dyDescent="0.2">
      <c r="E1154" s="332"/>
    </row>
    <row r="1155" spans="5:5" x14ac:dyDescent="0.2">
      <c r="E1155" s="332"/>
    </row>
    <row r="1156" spans="5:5" x14ac:dyDescent="0.2">
      <c r="E1156" s="332"/>
    </row>
    <row r="1157" spans="5:5" x14ac:dyDescent="0.2">
      <c r="E1157" s="332"/>
    </row>
    <row r="1158" spans="5:5" x14ac:dyDescent="0.2">
      <c r="E1158" s="332"/>
    </row>
    <row r="1159" spans="5:5" x14ac:dyDescent="0.2">
      <c r="E1159" s="332"/>
    </row>
    <row r="1160" spans="5:5" x14ac:dyDescent="0.2">
      <c r="E1160" s="332"/>
    </row>
    <row r="1161" spans="5:5" x14ac:dyDescent="0.2">
      <c r="E1161" s="332"/>
    </row>
    <row r="1162" spans="5:5" x14ac:dyDescent="0.2">
      <c r="E1162" s="332"/>
    </row>
    <row r="1163" spans="5:5" x14ac:dyDescent="0.2">
      <c r="E1163" s="332"/>
    </row>
    <row r="1164" spans="5:5" x14ac:dyDescent="0.2">
      <c r="E1164" s="332"/>
    </row>
    <row r="1165" spans="5:5" x14ac:dyDescent="0.2">
      <c r="E1165" s="332"/>
    </row>
    <row r="1166" spans="5:5" x14ac:dyDescent="0.2">
      <c r="E1166" s="332"/>
    </row>
    <row r="1167" spans="5:5" x14ac:dyDescent="0.2">
      <c r="E1167" s="332"/>
    </row>
    <row r="1168" spans="5:5" x14ac:dyDescent="0.2">
      <c r="E1168" s="332"/>
    </row>
    <row r="1169" spans="5:5" x14ac:dyDescent="0.2">
      <c r="E1169" s="332"/>
    </row>
    <row r="1170" spans="5:5" x14ac:dyDescent="0.2">
      <c r="E1170" s="332"/>
    </row>
    <row r="1171" spans="5:5" x14ac:dyDescent="0.2">
      <c r="E1171" s="332"/>
    </row>
    <row r="1172" spans="5:5" x14ac:dyDescent="0.2">
      <c r="E1172" s="332"/>
    </row>
    <row r="1173" spans="5:5" x14ac:dyDescent="0.2">
      <c r="E1173" s="332"/>
    </row>
    <row r="1174" spans="5:5" x14ac:dyDescent="0.2">
      <c r="E1174" s="332"/>
    </row>
    <row r="1175" spans="5:5" x14ac:dyDescent="0.2">
      <c r="E1175" s="332"/>
    </row>
    <row r="1176" spans="5:5" x14ac:dyDescent="0.2">
      <c r="E1176" s="332"/>
    </row>
    <row r="1177" spans="5:5" x14ac:dyDescent="0.2">
      <c r="E1177" s="332"/>
    </row>
    <row r="1178" spans="5:5" x14ac:dyDescent="0.2">
      <c r="E1178" s="332"/>
    </row>
    <row r="1179" spans="5:5" x14ac:dyDescent="0.2">
      <c r="E1179" s="332"/>
    </row>
    <row r="1180" spans="5:5" x14ac:dyDescent="0.2">
      <c r="E1180" s="332"/>
    </row>
    <row r="1181" spans="5:5" x14ac:dyDescent="0.2">
      <c r="E1181" s="332"/>
    </row>
    <row r="1182" spans="5:5" x14ac:dyDescent="0.2">
      <c r="E1182" s="332"/>
    </row>
    <row r="1183" spans="5:5" x14ac:dyDescent="0.2">
      <c r="E1183" s="332"/>
    </row>
    <row r="1184" spans="5:5" x14ac:dyDescent="0.2">
      <c r="E1184" s="332"/>
    </row>
    <row r="1185" spans="5:5" x14ac:dyDescent="0.2">
      <c r="E1185" s="332"/>
    </row>
    <row r="1186" spans="5:5" x14ac:dyDescent="0.2">
      <c r="E1186" s="332"/>
    </row>
    <row r="1187" spans="5:5" x14ac:dyDescent="0.2">
      <c r="E1187" s="332"/>
    </row>
    <row r="1188" spans="5:5" x14ac:dyDescent="0.2">
      <c r="E1188" s="332"/>
    </row>
    <row r="1189" spans="5:5" x14ac:dyDescent="0.2">
      <c r="E1189" s="332"/>
    </row>
    <row r="1190" spans="5:5" x14ac:dyDescent="0.2">
      <c r="E1190" s="332"/>
    </row>
    <row r="1191" spans="5:5" x14ac:dyDescent="0.2">
      <c r="E1191" s="332"/>
    </row>
    <row r="1192" spans="5:5" x14ac:dyDescent="0.2">
      <c r="E1192" s="332"/>
    </row>
    <row r="1193" spans="5:5" x14ac:dyDescent="0.2">
      <c r="E1193" s="332"/>
    </row>
    <row r="1194" spans="5:5" x14ac:dyDescent="0.2">
      <c r="E1194" s="332"/>
    </row>
    <row r="1195" spans="5:5" x14ac:dyDescent="0.2">
      <c r="E1195" s="332"/>
    </row>
    <row r="1196" spans="5:5" x14ac:dyDescent="0.2">
      <c r="E1196" s="332"/>
    </row>
    <row r="1197" spans="5:5" x14ac:dyDescent="0.2">
      <c r="E1197" s="332"/>
    </row>
    <row r="1198" spans="5:5" x14ac:dyDescent="0.2">
      <c r="E1198" s="332"/>
    </row>
    <row r="1199" spans="5:5" x14ac:dyDescent="0.2">
      <c r="E1199" s="332"/>
    </row>
    <row r="1200" spans="5:5" x14ac:dyDescent="0.2">
      <c r="E1200" s="332"/>
    </row>
    <row r="1201" spans="5:5" x14ac:dyDescent="0.2">
      <c r="E1201" s="332"/>
    </row>
    <row r="1202" spans="5:5" x14ac:dyDescent="0.2">
      <c r="E1202" s="332"/>
    </row>
    <row r="1203" spans="5:5" x14ac:dyDescent="0.2">
      <c r="E1203" s="332"/>
    </row>
    <row r="1204" spans="5:5" x14ac:dyDescent="0.2">
      <c r="E1204" s="332"/>
    </row>
    <row r="1205" spans="5:5" x14ac:dyDescent="0.2">
      <c r="E1205" s="332"/>
    </row>
    <row r="1206" spans="5:5" x14ac:dyDescent="0.2">
      <c r="E1206" s="332"/>
    </row>
    <row r="1207" spans="5:5" x14ac:dyDescent="0.2">
      <c r="E1207" s="332"/>
    </row>
    <row r="1208" spans="5:5" x14ac:dyDescent="0.2">
      <c r="E1208" s="332"/>
    </row>
    <row r="1209" spans="5:5" x14ac:dyDescent="0.2">
      <c r="E1209" s="332"/>
    </row>
    <row r="1210" spans="5:5" x14ac:dyDescent="0.2">
      <c r="E1210" s="332"/>
    </row>
    <row r="1211" spans="5:5" x14ac:dyDescent="0.2">
      <c r="E1211" s="332"/>
    </row>
    <row r="1212" spans="5:5" x14ac:dyDescent="0.2">
      <c r="E1212" s="332"/>
    </row>
    <row r="1213" spans="5:5" x14ac:dyDescent="0.2">
      <c r="E1213" s="332"/>
    </row>
    <row r="1214" spans="5:5" x14ac:dyDescent="0.2">
      <c r="E1214" s="332"/>
    </row>
    <row r="1215" spans="5:5" x14ac:dyDescent="0.2">
      <c r="E1215" s="332"/>
    </row>
    <row r="1216" spans="5:5" x14ac:dyDescent="0.2">
      <c r="E1216" s="332"/>
    </row>
    <row r="1217" spans="5:5" x14ac:dyDescent="0.2">
      <c r="E1217" s="332"/>
    </row>
    <row r="1218" spans="5:5" x14ac:dyDescent="0.2">
      <c r="E1218" s="332"/>
    </row>
    <row r="1219" spans="5:5" x14ac:dyDescent="0.2">
      <c r="E1219" s="332"/>
    </row>
    <row r="1220" spans="5:5" x14ac:dyDescent="0.2">
      <c r="E1220" s="332"/>
    </row>
    <row r="1221" spans="5:5" x14ac:dyDescent="0.2">
      <c r="E1221" s="332"/>
    </row>
    <row r="1222" spans="5:5" x14ac:dyDescent="0.2">
      <c r="E1222" s="332"/>
    </row>
    <row r="1223" spans="5:5" x14ac:dyDescent="0.2">
      <c r="E1223" s="332"/>
    </row>
    <row r="1224" spans="5:5" x14ac:dyDescent="0.2">
      <c r="E1224" s="332"/>
    </row>
    <row r="1225" spans="5:5" x14ac:dyDescent="0.2">
      <c r="E1225" s="332"/>
    </row>
    <row r="1226" spans="5:5" x14ac:dyDescent="0.2">
      <c r="E1226" s="332"/>
    </row>
    <row r="1227" spans="5:5" x14ac:dyDescent="0.2">
      <c r="E1227" s="332"/>
    </row>
    <row r="1228" spans="5:5" x14ac:dyDescent="0.2">
      <c r="E1228" s="332"/>
    </row>
    <row r="1229" spans="5:5" x14ac:dyDescent="0.2">
      <c r="E1229" s="332"/>
    </row>
    <row r="1230" spans="5:5" x14ac:dyDescent="0.2">
      <c r="E1230" s="332"/>
    </row>
    <row r="1231" spans="5:5" x14ac:dyDescent="0.2">
      <c r="E1231" s="332"/>
    </row>
    <row r="1232" spans="5:5" x14ac:dyDescent="0.2">
      <c r="E1232" s="332"/>
    </row>
    <row r="1233" spans="5:5" x14ac:dyDescent="0.2">
      <c r="E1233" s="332"/>
    </row>
    <row r="1234" spans="5:5" x14ac:dyDescent="0.2">
      <c r="E1234" s="332"/>
    </row>
    <row r="1235" spans="5:5" x14ac:dyDescent="0.2">
      <c r="E1235" s="332"/>
    </row>
    <row r="1236" spans="5:5" x14ac:dyDescent="0.2">
      <c r="E1236" s="332"/>
    </row>
    <row r="1237" spans="5:5" x14ac:dyDescent="0.2">
      <c r="E1237" s="332"/>
    </row>
    <row r="1238" spans="5:5" x14ac:dyDescent="0.2">
      <c r="E1238" s="332"/>
    </row>
    <row r="1239" spans="5:5" x14ac:dyDescent="0.2">
      <c r="E1239" s="332"/>
    </row>
    <row r="1240" spans="5:5" x14ac:dyDescent="0.2">
      <c r="E1240" s="332"/>
    </row>
    <row r="1241" spans="5:5" x14ac:dyDescent="0.2">
      <c r="E1241" s="332"/>
    </row>
    <row r="1242" spans="5:5" x14ac:dyDescent="0.2">
      <c r="E1242" s="332"/>
    </row>
    <row r="1243" spans="5:5" x14ac:dyDescent="0.2">
      <c r="E1243" s="332"/>
    </row>
    <row r="1244" spans="5:5" x14ac:dyDescent="0.2">
      <c r="E1244" s="332"/>
    </row>
    <row r="1245" spans="5:5" x14ac:dyDescent="0.2">
      <c r="E1245" s="332"/>
    </row>
    <row r="1246" spans="5:5" x14ac:dyDescent="0.2">
      <c r="E1246" s="332"/>
    </row>
    <row r="1247" spans="5:5" x14ac:dyDescent="0.2">
      <c r="E1247" s="332"/>
    </row>
    <row r="1248" spans="5:5" x14ac:dyDescent="0.2">
      <c r="E1248" s="332"/>
    </row>
    <row r="1249" spans="5:5" x14ac:dyDescent="0.2">
      <c r="E1249" s="332"/>
    </row>
    <row r="1250" spans="5:5" x14ac:dyDescent="0.2">
      <c r="E1250" s="332"/>
    </row>
    <row r="1251" spans="5:5" x14ac:dyDescent="0.2">
      <c r="E1251" s="332"/>
    </row>
    <row r="1252" spans="5:5" x14ac:dyDescent="0.2">
      <c r="E1252" s="332"/>
    </row>
    <row r="1253" spans="5:5" x14ac:dyDescent="0.2">
      <c r="E1253" s="332"/>
    </row>
    <row r="1254" spans="5:5" x14ac:dyDescent="0.2">
      <c r="E1254" s="332"/>
    </row>
    <row r="1255" spans="5:5" x14ac:dyDescent="0.2">
      <c r="E1255" s="332"/>
    </row>
    <row r="1256" spans="5:5" x14ac:dyDescent="0.2">
      <c r="E1256" s="332"/>
    </row>
    <row r="1257" spans="5:5" x14ac:dyDescent="0.2">
      <c r="E1257" s="332"/>
    </row>
    <row r="1258" spans="5:5" x14ac:dyDescent="0.2">
      <c r="E1258" s="332"/>
    </row>
    <row r="1259" spans="5:5" x14ac:dyDescent="0.2">
      <c r="E1259" s="332"/>
    </row>
    <row r="1260" spans="5:5" x14ac:dyDescent="0.2">
      <c r="E1260" s="332"/>
    </row>
    <row r="1261" spans="5:5" x14ac:dyDescent="0.2">
      <c r="E1261" s="332"/>
    </row>
    <row r="1262" spans="5:5" x14ac:dyDescent="0.2">
      <c r="E1262" s="332"/>
    </row>
    <row r="1263" spans="5:5" x14ac:dyDescent="0.2">
      <c r="E1263" s="332"/>
    </row>
    <row r="1264" spans="5:5" x14ac:dyDescent="0.2">
      <c r="E1264" s="332"/>
    </row>
    <row r="1265" spans="5:5" x14ac:dyDescent="0.2">
      <c r="E1265" s="332"/>
    </row>
    <row r="1266" spans="5:5" x14ac:dyDescent="0.2">
      <c r="E1266" s="332"/>
    </row>
    <row r="1267" spans="5:5" x14ac:dyDescent="0.2">
      <c r="E1267" s="332"/>
    </row>
    <row r="1268" spans="5:5" x14ac:dyDescent="0.2">
      <c r="E1268" s="332"/>
    </row>
    <row r="1269" spans="5:5" x14ac:dyDescent="0.2">
      <c r="E1269" s="332"/>
    </row>
    <row r="1270" spans="5:5" x14ac:dyDescent="0.2">
      <c r="E1270" s="332"/>
    </row>
    <row r="1271" spans="5:5" x14ac:dyDescent="0.2">
      <c r="E1271" s="332"/>
    </row>
    <row r="1272" spans="5:5" x14ac:dyDescent="0.2">
      <c r="E1272" s="332"/>
    </row>
    <row r="1273" spans="5:5" x14ac:dyDescent="0.2">
      <c r="E1273" s="332"/>
    </row>
    <row r="1274" spans="5:5" x14ac:dyDescent="0.2">
      <c r="E1274" s="332"/>
    </row>
    <row r="1275" spans="5:5" x14ac:dyDescent="0.2">
      <c r="E1275" s="332"/>
    </row>
    <row r="1276" spans="5:5" x14ac:dyDescent="0.2">
      <c r="E1276" s="332"/>
    </row>
    <row r="1277" spans="5:5" x14ac:dyDescent="0.2">
      <c r="E1277" s="332"/>
    </row>
    <row r="1278" spans="5:5" x14ac:dyDescent="0.2">
      <c r="E1278" s="332"/>
    </row>
    <row r="1279" spans="5:5" x14ac:dyDescent="0.2">
      <c r="E1279" s="332"/>
    </row>
    <row r="1280" spans="5:5" x14ac:dyDescent="0.2">
      <c r="E1280" s="332"/>
    </row>
    <row r="1281" spans="5:5" x14ac:dyDescent="0.2">
      <c r="E1281" s="332"/>
    </row>
    <row r="1282" spans="5:5" x14ac:dyDescent="0.2">
      <c r="E1282" s="332"/>
    </row>
    <row r="1283" spans="5:5" x14ac:dyDescent="0.2">
      <c r="E1283" s="332"/>
    </row>
    <row r="1284" spans="5:5" x14ac:dyDescent="0.2">
      <c r="E1284" s="332"/>
    </row>
    <row r="1285" spans="5:5" x14ac:dyDescent="0.2">
      <c r="E1285" s="332"/>
    </row>
    <row r="1286" spans="5:5" x14ac:dyDescent="0.2">
      <c r="E1286" s="332"/>
    </row>
    <row r="1287" spans="5:5" x14ac:dyDescent="0.2">
      <c r="E1287" s="332"/>
    </row>
    <row r="1288" spans="5:5" x14ac:dyDescent="0.2">
      <c r="E1288" s="332"/>
    </row>
    <row r="1289" spans="5:5" x14ac:dyDescent="0.2">
      <c r="E1289" s="332"/>
    </row>
    <row r="1290" spans="5:5" x14ac:dyDescent="0.2">
      <c r="E1290" s="332"/>
    </row>
    <row r="1291" spans="5:5" x14ac:dyDescent="0.2">
      <c r="E1291" s="332"/>
    </row>
    <row r="1292" spans="5:5" x14ac:dyDescent="0.2">
      <c r="E1292" s="332"/>
    </row>
    <row r="1293" spans="5:5" x14ac:dyDescent="0.2">
      <c r="E1293" s="332"/>
    </row>
    <row r="1294" spans="5:5" x14ac:dyDescent="0.2">
      <c r="E1294" s="332"/>
    </row>
    <row r="1295" spans="5:5" x14ac:dyDescent="0.2">
      <c r="E1295" s="332"/>
    </row>
    <row r="1296" spans="5:5" x14ac:dyDescent="0.2">
      <c r="E1296" s="332"/>
    </row>
    <row r="1297" spans="5:5" x14ac:dyDescent="0.2">
      <c r="E1297" s="332"/>
    </row>
    <row r="1298" spans="5:5" x14ac:dyDescent="0.2">
      <c r="E1298" s="332"/>
    </row>
    <row r="1299" spans="5:5" x14ac:dyDescent="0.2">
      <c r="E1299" s="332"/>
    </row>
    <row r="1300" spans="5:5" x14ac:dyDescent="0.2">
      <c r="E1300" s="332"/>
    </row>
    <row r="1301" spans="5:5" x14ac:dyDescent="0.2">
      <c r="E1301" s="332"/>
    </row>
    <row r="1302" spans="5:5" x14ac:dyDescent="0.2">
      <c r="E1302" s="332"/>
    </row>
    <row r="1303" spans="5:5" x14ac:dyDescent="0.2">
      <c r="E1303" s="332"/>
    </row>
    <row r="1304" spans="5:5" x14ac:dyDescent="0.2">
      <c r="E1304" s="332"/>
    </row>
    <row r="1305" spans="5:5" x14ac:dyDescent="0.2">
      <c r="E1305" s="332"/>
    </row>
    <row r="1306" spans="5:5" x14ac:dyDescent="0.2">
      <c r="E1306" s="332"/>
    </row>
    <row r="1307" spans="5:5" x14ac:dyDescent="0.2">
      <c r="E1307" s="332"/>
    </row>
    <row r="1308" spans="5:5" x14ac:dyDescent="0.2">
      <c r="E1308" s="332"/>
    </row>
    <row r="1309" spans="5:5" x14ac:dyDescent="0.2">
      <c r="E1309" s="332"/>
    </row>
    <row r="1310" spans="5:5" x14ac:dyDescent="0.2">
      <c r="E1310" s="332"/>
    </row>
    <row r="1311" spans="5:5" x14ac:dyDescent="0.2">
      <c r="E1311" s="332"/>
    </row>
    <row r="1312" spans="5:5" x14ac:dyDescent="0.2">
      <c r="E1312" s="332"/>
    </row>
    <row r="1313" spans="5:5" x14ac:dyDescent="0.2">
      <c r="E1313" s="332"/>
    </row>
    <row r="1314" spans="5:5" x14ac:dyDescent="0.2">
      <c r="E1314" s="332"/>
    </row>
    <row r="1315" spans="5:5" x14ac:dyDescent="0.2">
      <c r="E1315" s="332"/>
    </row>
    <row r="1316" spans="5:5" x14ac:dyDescent="0.2">
      <c r="E1316" s="332"/>
    </row>
    <row r="1317" spans="5:5" x14ac:dyDescent="0.2">
      <c r="E1317" s="332"/>
    </row>
    <row r="1318" spans="5:5" x14ac:dyDescent="0.2">
      <c r="E1318" s="332"/>
    </row>
    <row r="1319" spans="5:5" x14ac:dyDescent="0.2">
      <c r="E1319" s="332"/>
    </row>
    <row r="1320" spans="5:5" x14ac:dyDescent="0.2">
      <c r="E1320" s="332"/>
    </row>
    <row r="1321" spans="5:5" x14ac:dyDescent="0.2">
      <c r="E1321" s="332"/>
    </row>
    <row r="1322" spans="5:5" x14ac:dyDescent="0.2">
      <c r="E1322" s="332"/>
    </row>
    <row r="1323" spans="5:5" x14ac:dyDescent="0.2">
      <c r="E1323" s="332"/>
    </row>
    <row r="1324" spans="5:5" x14ac:dyDescent="0.2">
      <c r="E1324" s="332"/>
    </row>
    <row r="1325" spans="5:5" x14ac:dyDescent="0.2">
      <c r="E1325" s="332"/>
    </row>
    <row r="1326" spans="5:5" x14ac:dyDescent="0.2">
      <c r="E1326" s="332"/>
    </row>
    <row r="1327" spans="5:5" x14ac:dyDescent="0.2">
      <c r="E1327" s="332"/>
    </row>
    <row r="1328" spans="5:5" x14ac:dyDescent="0.2">
      <c r="E1328" s="332"/>
    </row>
    <row r="1329" spans="5:5" x14ac:dyDescent="0.2">
      <c r="E1329" s="332"/>
    </row>
    <row r="1330" spans="5:5" x14ac:dyDescent="0.2">
      <c r="E1330" s="332"/>
    </row>
    <row r="1331" spans="5:5" x14ac:dyDescent="0.2">
      <c r="E1331" s="332"/>
    </row>
    <row r="1332" spans="5:5" x14ac:dyDescent="0.2">
      <c r="E1332" s="332"/>
    </row>
    <row r="1333" spans="5:5" x14ac:dyDescent="0.2">
      <c r="E1333" s="332"/>
    </row>
    <row r="1334" spans="5:5" x14ac:dyDescent="0.2">
      <c r="E1334" s="332"/>
    </row>
    <row r="1335" spans="5:5" x14ac:dyDescent="0.2">
      <c r="E1335" s="332"/>
    </row>
    <row r="1336" spans="5:5" x14ac:dyDescent="0.2">
      <c r="E1336" s="332"/>
    </row>
    <row r="1337" spans="5:5" x14ac:dyDescent="0.2">
      <c r="E1337" s="332"/>
    </row>
    <row r="1338" spans="5:5" x14ac:dyDescent="0.2">
      <c r="E1338" s="332"/>
    </row>
    <row r="1339" spans="5:5" x14ac:dyDescent="0.2">
      <c r="E1339" s="332"/>
    </row>
    <row r="1340" spans="5:5" x14ac:dyDescent="0.2">
      <c r="E1340" s="332"/>
    </row>
    <row r="1341" spans="5:5" x14ac:dyDescent="0.2">
      <c r="E1341" s="332"/>
    </row>
    <row r="1342" spans="5:5" x14ac:dyDescent="0.2">
      <c r="E1342" s="332"/>
    </row>
    <row r="1343" spans="5:5" x14ac:dyDescent="0.2">
      <c r="E1343" s="332"/>
    </row>
    <row r="1344" spans="5:5" x14ac:dyDescent="0.2">
      <c r="E1344" s="332"/>
    </row>
    <row r="1345" spans="5:5" x14ac:dyDescent="0.2">
      <c r="E1345" s="332"/>
    </row>
    <row r="1346" spans="5:5" x14ac:dyDescent="0.2">
      <c r="E1346" s="332"/>
    </row>
    <row r="1347" spans="5:5" x14ac:dyDescent="0.2">
      <c r="E1347" s="332"/>
    </row>
    <row r="1348" spans="5:5" x14ac:dyDescent="0.2">
      <c r="E1348" s="332"/>
    </row>
    <row r="1349" spans="5:5" x14ac:dyDescent="0.2">
      <c r="E1349" s="332"/>
    </row>
    <row r="1350" spans="5:5" x14ac:dyDescent="0.2">
      <c r="E1350" s="332"/>
    </row>
    <row r="1351" spans="5:5" x14ac:dyDescent="0.2">
      <c r="E1351" s="332"/>
    </row>
    <row r="1352" spans="5:5" x14ac:dyDescent="0.2">
      <c r="E1352" s="332"/>
    </row>
    <row r="1353" spans="5:5" x14ac:dyDescent="0.2">
      <c r="E1353" s="332"/>
    </row>
    <row r="1354" spans="5:5" x14ac:dyDescent="0.2">
      <c r="E1354" s="332"/>
    </row>
    <row r="1355" spans="5:5" x14ac:dyDescent="0.2">
      <c r="E1355" s="332"/>
    </row>
    <row r="1356" spans="5:5" x14ac:dyDescent="0.2">
      <c r="E1356" s="332"/>
    </row>
    <row r="1357" spans="5:5" x14ac:dyDescent="0.2">
      <c r="E1357" s="332"/>
    </row>
    <row r="1358" spans="5:5" x14ac:dyDescent="0.2">
      <c r="E1358" s="332"/>
    </row>
    <row r="1359" spans="5:5" x14ac:dyDescent="0.2">
      <c r="E1359" s="332"/>
    </row>
    <row r="1360" spans="5:5" x14ac:dyDescent="0.2">
      <c r="E1360" s="332"/>
    </row>
    <row r="1361" spans="5:5" x14ac:dyDescent="0.2">
      <c r="E1361" s="332"/>
    </row>
    <row r="1362" spans="5:5" x14ac:dyDescent="0.2">
      <c r="E1362" s="332"/>
    </row>
    <row r="1363" spans="5:5" x14ac:dyDescent="0.2">
      <c r="E1363" s="332"/>
    </row>
    <row r="1364" spans="5:5" x14ac:dyDescent="0.2">
      <c r="E1364" s="332"/>
    </row>
    <row r="1365" spans="5:5" x14ac:dyDescent="0.2">
      <c r="E1365" s="332"/>
    </row>
    <row r="1366" spans="5:5" x14ac:dyDescent="0.2">
      <c r="E1366" s="332"/>
    </row>
    <row r="1367" spans="5:5" x14ac:dyDescent="0.2">
      <c r="E1367" s="332"/>
    </row>
    <row r="1368" spans="5:5" x14ac:dyDescent="0.2">
      <c r="E1368" s="332"/>
    </row>
    <row r="1369" spans="5:5" x14ac:dyDescent="0.2">
      <c r="E1369" s="332"/>
    </row>
    <row r="1370" spans="5:5" x14ac:dyDescent="0.2">
      <c r="E1370" s="332"/>
    </row>
    <row r="1371" spans="5:5" x14ac:dyDescent="0.2">
      <c r="E1371" s="332"/>
    </row>
    <row r="1372" spans="5:5" x14ac:dyDescent="0.2">
      <c r="E1372" s="332"/>
    </row>
    <row r="1373" spans="5:5" x14ac:dyDescent="0.2">
      <c r="E1373" s="332"/>
    </row>
    <row r="1374" spans="5:5" x14ac:dyDescent="0.2">
      <c r="E1374" s="332"/>
    </row>
    <row r="1375" spans="5:5" x14ac:dyDescent="0.2">
      <c r="E1375" s="332"/>
    </row>
    <row r="1376" spans="5:5" x14ac:dyDescent="0.2">
      <c r="E1376" s="332"/>
    </row>
    <row r="1377" spans="5:5" x14ac:dyDescent="0.2">
      <c r="E1377" s="332"/>
    </row>
    <row r="1378" spans="5:5" x14ac:dyDescent="0.2">
      <c r="E1378" s="332"/>
    </row>
    <row r="1379" spans="5:5" x14ac:dyDescent="0.2">
      <c r="E1379" s="332"/>
    </row>
    <row r="1380" spans="5:5" x14ac:dyDescent="0.2">
      <c r="E1380" s="332"/>
    </row>
    <row r="1381" spans="5:5" x14ac:dyDescent="0.2">
      <c r="E1381" s="332"/>
    </row>
    <row r="1382" spans="5:5" x14ac:dyDescent="0.2">
      <c r="E1382" s="332"/>
    </row>
    <row r="1383" spans="5:5" x14ac:dyDescent="0.2">
      <c r="E1383" s="332"/>
    </row>
    <row r="1384" spans="5:5" x14ac:dyDescent="0.2">
      <c r="E1384" s="332"/>
    </row>
    <row r="1385" spans="5:5" x14ac:dyDescent="0.2">
      <c r="E1385" s="332"/>
    </row>
    <row r="1386" spans="5:5" x14ac:dyDescent="0.2">
      <c r="E1386" s="332"/>
    </row>
    <row r="1387" spans="5:5" x14ac:dyDescent="0.2">
      <c r="E1387" s="332"/>
    </row>
    <row r="1388" spans="5:5" x14ac:dyDescent="0.2">
      <c r="E1388" s="332"/>
    </row>
    <row r="1389" spans="5:5" x14ac:dyDescent="0.2">
      <c r="E1389" s="332"/>
    </row>
    <row r="1390" spans="5:5" x14ac:dyDescent="0.2">
      <c r="E1390" s="332"/>
    </row>
    <row r="1391" spans="5:5" x14ac:dyDescent="0.2">
      <c r="E1391" s="332"/>
    </row>
    <row r="1392" spans="5:5" x14ac:dyDescent="0.2">
      <c r="E1392" s="332"/>
    </row>
    <row r="1393" spans="5:5" x14ac:dyDescent="0.2">
      <c r="E1393" s="332"/>
    </row>
    <row r="1394" spans="5:5" x14ac:dyDescent="0.2">
      <c r="E1394" s="332"/>
    </row>
    <row r="1395" spans="5:5" x14ac:dyDescent="0.2">
      <c r="E1395" s="332"/>
    </row>
    <row r="1396" spans="5:5" x14ac:dyDescent="0.2">
      <c r="E1396" s="332"/>
    </row>
    <row r="1397" spans="5:5" x14ac:dyDescent="0.2">
      <c r="E1397" s="332"/>
    </row>
    <row r="1398" spans="5:5" x14ac:dyDescent="0.2">
      <c r="E1398" s="332"/>
    </row>
    <row r="1399" spans="5:5" x14ac:dyDescent="0.2">
      <c r="E1399" s="332"/>
    </row>
    <row r="1400" spans="5:5" x14ac:dyDescent="0.2">
      <c r="E1400" s="332"/>
    </row>
    <row r="1401" spans="5:5" x14ac:dyDescent="0.2">
      <c r="E1401" s="332"/>
    </row>
    <row r="1402" spans="5:5" x14ac:dyDescent="0.2">
      <c r="E1402" s="332"/>
    </row>
    <row r="1403" spans="5:5" x14ac:dyDescent="0.2">
      <c r="E1403" s="332"/>
    </row>
    <row r="1404" spans="5:5" x14ac:dyDescent="0.2">
      <c r="E1404" s="332"/>
    </row>
    <row r="1405" spans="5:5" x14ac:dyDescent="0.2">
      <c r="E1405" s="332"/>
    </row>
    <row r="1406" spans="5:5" x14ac:dyDescent="0.2">
      <c r="E1406" s="332"/>
    </row>
    <row r="1407" spans="5:5" x14ac:dyDescent="0.2">
      <c r="E1407" s="332"/>
    </row>
    <row r="1408" spans="5:5" x14ac:dyDescent="0.2">
      <c r="E1408" s="332"/>
    </row>
    <row r="1409" spans="5:5" x14ac:dyDescent="0.2">
      <c r="E1409" s="332"/>
    </row>
    <row r="1410" spans="5:5" x14ac:dyDescent="0.2">
      <c r="E1410" s="332"/>
    </row>
    <row r="1411" spans="5:5" x14ac:dyDescent="0.2">
      <c r="E1411" s="332"/>
    </row>
    <row r="1412" spans="5:5" x14ac:dyDescent="0.2">
      <c r="E1412" s="332"/>
    </row>
    <row r="1413" spans="5:5" x14ac:dyDescent="0.2">
      <c r="E1413" s="332"/>
    </row>
    <row r="1414" spans="5:5" x14ac:dyDescent="0.2">
      <c r="E1414" s="332"/>
    </row>
    <row r="1415" spans="5:5" x14ac:dyDescent="0.2">
      <c r="E1415" s="332"/>
    </row>
    <row r="1416" spans="5:5" x14ac:dyDescent="0.2">
      <c r="E1416" s="332"/>
    </row>
    <row r="1417" spans="5:5" x14ac:dyDescent="0.2">
      <c r="E1417" s="332"/>
    </row>
    <row r="1418" spans="5:5" x14ac:dyDescent="0.2">
      <c r="E1418" s="332"/>
    </row>
    <row r="1419" spans="5:5" x14ac:dyDescent="0.2">
      <c r="E1419" s="332"/>
    </row>
    <row r="1420" spans="5:5" x14ac:dyDescent="0.2">
      <c r="E1420" s="332"/>
    </row>
    <row r="1421" spans="5:5" x14ac:dyDescent="0.2">
      <c r="E1421" s="332"/>
    </row>
    <row r="1422" spans="5:5" x14ac:dyDescent="0.2">
      <c r="E1422" s="332"/>
    </row>
    <row r="1423" spans="5:5" x14ac:dyDescent="0.2">
      <c r="E1423" s="332"/>
    </row>
    <row r="1424" spans="5:5" x14ac:dyDescent="0.2">
      <c r="E1424" s="332"/>
    </row>
    <row r="1425" spans="5:5" x14ac:dyDescent="0.2">
      <c r="E1425" s="332"/>
    </row>
    <row r="1426" spans="5:5" x14ac:dyDescent="0.2">
      <c r="E1426" s="332"/>
    </row>
    <row r="1427" spans="5:5" x14ac:dyDescent="0.2">
      <c r="E1427" s="332"/>
    </row>
    <row r="1428" spans="5:5" x14ac:dyDescent="0.2">
      <c r="E1428" s="332"/>
    </row>
    <row r="1429" spans="5:5" x14ac:dyDescent="0.2">
      <c r="E1429" s="332"/>
    </row>
    <row r="1430" spans="5:5" x14ac:dyDescent="0.2">
      <c r="E1430" s="332"/>
    </row>
    <row r="1431" spans="5:5" x14ac:dyDescent="0.2">
      <c r="E1431" s="332"/>
    </row>
    <row r="1432" spans="5:5" x14ac:dyDescent="0.2">
      <c r="E1432" s="332"/>
    </row>
    <row r="1433" spans="5:5" x14ac:dyDescent="0.2">
      <c r="E1433" s="332"/>
    </row>
    <row r="1434" spans="5:5" x14ac:dyDescent="0.2">
      <c r="E1434" s="332"/>
    </row>
    <row r="1435" spans="5:5" x14ac:dyDescent="0.2">
      <c r="E1435" s="332"/>
    </row>
    <row r="1436" spans="5:5" x14ac:dyDescent="0.2">
      <c r="E1436" s="332"/>
    </row>
    <row r="1437" spans="5:5" x14ac:dyDescent="0.2">
      <c r="E1437" s="332"/>
    </row>
    <row r="1438" spans="5:5" x14ac:dyDescent="0.2">
      <c r="E1438" s="332"/>
    </row>
    <row r="1439" spans="5:5" x14ac:dyDescent="0.2">
      <c r="E1439" s="332"/>
    </row>
    <row r="1440" spans="5:5" x14ac:dyDescent="0.2">
      <c r="E1440" s="332"/>
    </row>
    <row r="1441" spans="5:5" x14ac:dyDescent="0.2">
      <c r="E1441" s="332"/>
    </row>
    <row r="1442" spans="5:5" x14ac:dyDescent="0.2">
      <c r="E1442" s="332"/>
    </row>
    <row r="1443" spans="5:5" x14ac:dyDescent="0.2">
      <c r="E1443" s="332"/>
    </row>
    <row r="1444" spans="5:5" x14ac:dyDescent="0.2">
      <c r="E1444" s="332"/>
    </row>
    <row r="1445" spans="5:5" x14ac:dyDescent="0.2">
      <c r="E1445" s="332"/>
    </row>
    <row r="1446" spans="5:5" x14ac:dyDescent="0.2">
      <c r="E1446" s="332"/>
    </row>
    <row r="1447" spans="5:5" x14ac:dyDescent="0.2">
      <c r="E1447" s="332"/>
    </row>
    <row r="1448" spans="5:5" x14ac:dyDescent="0.2">
      <c r="E1448" s="332"/>
    </row>
    <row r="1449" spans="5:5" x14ac:dyDescent="0.2">
      <c r="E1449" s="332"/>
    </row>
    <row r="1450" spans="5:5" x14ac:dyDescent="0.2">
      <c r="E1450" s="332"/>
    </row>
    <row r="1451" spans="5:5" x14ac:dyDescent="0.2">
      <c r="E1451" s="332"/>
    </row>
    <row r="1452" spans="5:5" x14ac:dyDescent="0.2">
      <c r="E1452" s="332"/>
    </row>
    <row r="1453" spans="5:5" x14ac:dyDescent="0.2">
      <c r="E1453" s="332"/>
    </row>
    <row r="1454" spans="5:5" x14ac:dyDescent="0.2">
      <c r="E1454" s="332"/>
    </row>
    <row r="1455" spans="5:5" x14ac:dyDescent="0.2">
      <c r="E1455" s="332"/>
    </row>
    <row r="1456" spans="5:5" x14ac:dyDescent="0.2">
      <c r="E1456" s="332"/>
    </row>
    <row r="1457" spans="5:5" x14ac:dyDescent="0.2">
      <c r="E1457" s="332"/>
    </row>
    <row r="1458" spans="5:5" x14ac:dyDescent="0.2">
      <c r="E1458" s="332"/>
    </row>
    <row r="1459" spans="5:5" x14ac:dyDescent="0.2">
      <c r="E1459" s="332"/>
    </row>
    <row r="1460" spans="5:5" x14ac:dyDescent="0.2">
      <c r="E1460" s="332"/>
    </row>
    <row r="1461" spans="5:5" x14ac:dyDescent="0.2">
      <c r="E1461" s="332"/>
    </row>
    <row r="1462" spans="5:5" x14ac:dyDescent="0.2">
      <c r="E1462" s="332"/>
    </row>
    <row r="1463" spans="5:5" x14ac:dyDescent="0.2">
      <c r="E1463" s="332"/>
    </row>
    <row r="1464" spans="5:5" x14ac:dyDescent="0.2">
      <c r="E1464" s="332"/>
    </row>
    <row r="1465" spans="5:5" x14ac:dyDescent="0.2">
      <c r="E1465" s="332"/>
    </row>
    <row r="1466" spans="5:5" x14ac:dyDescent="0.2">
      <c r="E1466" s="332"/>
    </row>
    <row r="1467" spans="5:5" x14ac:dyDescent="0.2">
      <c r="E1467" s="332"/>
    </row>
    <row r="1468" spans="5:5" x14ac:dyDescent="0.2">
      <c r="E1468" s="332"/>
    </row>
    <row r="1469" spans="5:5" x14ac:dyDescent="0.2">
      <c r="E1469" s="332"/>
    </row>
    <row r="1470" spans="5:5" x14ac:dyDescent="0.2">
      <c r="E1470" s="332"/>
    </row>
    <row r="1471" spans="5:5" x14ac:dyDescent="0.2">
      <c r="E1471" s="332"/>
    </row>
    <row r="1472" spans="5:5" x14ac:dyDescent="0.2">
      <c r="E1472" s="332"/>
    </row>
    <row r="1473" spans="5:5" x14ac:dyDescent="0.2">
      <c r="E1473" s="332"/>
    </row>
    <row r="1474" spans="5:5" x14ac:dyDescent="0.2">
      <c r="E1474" s="332"/>
    </row>
    <row r="1475" spans="5:5" x14ac:dyDescent="0.2">
      <c r="E1475" s="332"/>
    </row>
    <row r="1476" spans="5:5" x14ac:dyDescent="0.2">
      <c r="E1476" s="332"/>
    </row>
    <row r="1477" spans="5:5" x14ac:dyDescent="0.2">
      <c r="E1477" s="332"/>
    </row>
    <row r="1478" spans="5:5" x14ac:dyDescent="0.2">
      <c r="E1478" s="332"/>
    </row>
    <row r="1479" spans="5:5" x14ac:dyDescent="0.2">
      <c r="E1479" s="332"/>
    </row>
    <row r="1480" spans="5:5" x14ac:dyDescent="0.2">
      <c r="E1480" s="332"/>
    </row>
    <row r="1481" spans="5:5" x14ac:dyDescent="0.2">
      <c r="E1481" s="332"/>
    </row>
    <row r="1482" spans="5:5" x14ac:dyDescent="0.2">
      <c r="E1482" s="332"/>
    </row>
    <row r="1483" spans="5:5" x14ac:dyDescent="0.2">
      <c r="E1483" s="332"/>
    </row>
    <row r="1484" spans="5:5" x14ac:dyDescent="0.2">
      <c r="E1484" s="332"/>
    </row>
    <row r="1485" spans="5:5" x14ac:dyDescent="0.2">
      <c r="E1485" s="332"/>
    </row>
    <row r="1486" spans="5:5" x14ac:dyDescent="0.2">
      <c r="E1486" s="332"/>
    </row>
    <row r="1487" spans="5:5" x14ac:dyDescent="0.2">
      <c r="E1487" s="332"/>
    </row>
    <row r="1488" spans="5:5" x14ac:dyDescent="0.2">
      <c r="E1488" s="332"/>
    </row>
    <row r="1489" spans="5:5" x14ac:dyDescent="0.2">
      <c r="E1489" s="332"/>
    </row>
    <row r="1490" spans="5:5" x14ac:dyDescent="0.2">
      <c r="E1490" s="332"/>
    </row>
    <row r="1491" spans="5:5" x14ac:dyDescent="0.2">
      <c r="E1491" s="332"/>
    </row>
    <row r="1492" spans="5:5" x14ac:dyDescent="0.2">
      <c r="E1492" s="332"/>
    </row>
    <row r="1493" spans="5:5" x14ac:dyDescent="0.2">
      <c r="E1493" s="332"/>
    </row>
    <row r="1494" spans="5:5" x14ac:dyDescent="0.2">
      <c r="E1494" s="332"/>
    </row>
    <row r="1495" spans="5:5" x14ac:dyDescent="0.2">
      <c r="E1495" s="332"/>
    </row>
    <row r="1496" spans="5:5" x14ac:dyDescent="0.2">
      <c r="E1496" s="332"/>
    </row>
    <row r="1497" spans="5:5" x14ac:dyDescent="0.2">
      <c r="E1497" s="332"/>
    </row>
    <row r="1498" spans="5:5" x14ac:dyDescent="0.2">
      <c r="E1498" s="332"/>
    </row>
    <row r="1499" spans="5:5" x14ac:dyDescent="0.2">
      <c r="E1499" s="332"/>
    </row>
    <row r="1500" spans="5:5" x14ac:dyDescent="0.2">
      <c r="E1500" s="332"/>
    </row>
    <row r="1501" spans="5:5" x14ac:dyDescent="0.2">
      <c r="E1501" s="332"/>
    </row>
    <row r="1502" spans="5:5" x14ac:dyDescent="0.2">
      <c r="E1502" s="332"/>
    </row>
    <row r="1503" spans="5:5" x14ac:dyDescent="0.2">
      <c r="E1503" s="332"/>
    </row>
    <row r="1504" spans="5:5" x14ac:dyDescent="0.2">
      <c r="E1504" s="332"/>
    </row>
    <row r="1505" spans="5:5" x14ac:dyDescent="0.2">
      <c r="E1505" s="332"/>
    </row>
    <row r="1506" spans="5:5" x14ac:dyDescent="0.2">
      <c r="E1506" s="332"/>
    </row>
    <row r="1507" spans="5:5" x14ac:dyDescent="0.2">
      <c r="E1507" s="332"/>
    </row>
    <row r="1508" spans="5:5" x14ac:dyDescent="0.2">
      <c r="E1508" s="332"/>
    </row>
    <row r="1509" spans="5:5" x14ac:dyDescent="0.2">
      <c r="E1509" s="332"/>
    </row>
    <row r="1510" spans="5:5" x14ac:dyDescent="0.2">
      <c r="E1510" s="332"/>
    </row>
    <row r="1511" spans="5:5" x14ac:dyDescent="0.2">
      <c r="E1511" s="332"/>
    </row>
    <row r="1512" spans="5:5" x14ac:dyDescent="0.2">
      <c r="E1512" s="332"/>
    </row>
    <row r="1513" spans="5:5" x14ac:dyDescent="0.2">
      <c r="E1513" s="332"/>
    </row>
    <row r="1514" spans="5:5" x14ac:dyDescent="0.2">
      <c r="E1514" s="332"/>
    </row>
    <row r="1515" spans="5:5" x14ac:dyDescent="0.2">
      <c r="E1515" s="332"/>
    </row>
    <row r="1516" spans="5:5" x14ac:dyDescent="0.2">
      <c r="E1516" s="332"/>
    </row>
    <row r="1517" spans="5:5" x14ac:dyDescent="0.2">
      <c r="E1517" s="332"/>
    </row>
    <row r="1518" spans="5:5" x14ac:dyDescent="0.2">
      <c r="E1518" s="332"/>
    </row>
    <row r="1519" spans="5:5" x14ac:dyDescent="0.2">
      <c r="E1519" s="332"/>
    </row>
    <row r="1520" spans="5:5" x14ac:dyDescent="0.2">
      <c r="E1520" s="332"/>
    </row>
    <row r="1521" spans="5:5" x14ac:dyDescent="0.2">
      <c r="E1521" s="332"/>
    </row>
    <row r="1522" spans="5:5" x14ac:dyDescent="0.2">
      <c r="E1522" s="332"/>
    </row>
    <row r="1523" spans="5:5" x14ac:dyDescent="0.2">
      <c r="E1523" s="332"/>
    </row>
    <row r="1524" spans="5:5" x14ac:dyDescent="0.2">
      <c r="E1524" s="332"/>
    </row>
    <row r="1525" spans="5:5" x14ac:dyDescent="0.2">
      <c r="E1525" s="332"/>
    </row>
    <row r="1526" spans="5:5" x14ac:dyDescent="0.2">
      <c r="E1526" s="332"/>
    </row>
    <row r="1527" spans="5:5" x14ac:dyDescent="0.2">
      <c r="E1527" s="332"/>
    </row>
    <row r="1528" spans="5:5" x14ac:dyDescent="0.2">
      <c r="E1528" s="332"/>
    </row>
    <row r="1529" spans="5:5" x14ac:dyDescent="0.2">
      <c r="E1529" s="332"/>
    </row>
    <row r="1530" spans="5:5" x14ac:dyDescent="0.2">
      <c r="E1530" s="332"/>
    </row>
    <row r="1531" spans="5:5" x14ac:dyDescent="0.2">
      <c r="E1531" s="332"/>
    </row>
    <row r="1532" spans="5:5" x14ac:dyDescent="0.2">
      <c r="E1532" s="332"/>
    </row>
    <row r="1533" spans="5:5" x14ac:dyDescent="0.2">
      <c r="E1533" s="332"/>
    </row>
    <row r="1534" spans="5:5" x14ac:dyDescent="0.2">
      <c r="E1534" s="332"/>
    </row>
    <row r="1535" spans="5:5" x14ac:dyDescent="0.2">
      <c r="E1535" s="332"/>
    </row>
    <row r="1536" spans="5:5" x14ac:dyDescent="0.2">
      <c r="E1536" s="332"/>
    </row>
    <row r="1537" spans="5:5" x14ac:dyDescent="0.2">
      <c r="E1537" s="332"/>
    </row>
    <row r="1538" spans="5:5" x14ac:dyDescent="0.2">
      <c r="E1538" s="332"/>
    </row>
    <row r="1539" spans="5:5" x14ac:dyDescent="0.2">
      <c r="E1539" s="332"/>
    </row>
    <row r="1540" spans="5:5" x14ac:dyDescent="0.2">
      <c r="E1540" s="332"/>
    </row>
    <row r="1541" spans="5:5" x14ac:dyDescent="0.2">
      <c r="E1541" s="332"/>
    </row>
    <row r="1542" spans="5:5" x14ac:dyDescent="0.2">
      <c r="E1542" s="332"/>
    </row>
    <row r="1543" spans="5:5" x14ac:dyDescent="0.2">
      <c r="E1543" s="332"/>
    </row>
    <row r="1544" spans="5:5" x14ac:dyDescent="0.2">
      <c r="E1544" s="332"/>
    </row>
    <row r="1545" spans="5:5" x14ac:dyDescent="0.2">
      <c r="E1545" s="332"/>
    </row>
    <row r="1546" spans="5:5" x14ac:dyDescent="0.2">
      <c r="E1546" s="332"/>
    </row>
    <row r="1547" spans="5:5" x14ac:dyDescent="0.2">
      <c r="E1547" s="332"/>
    </row>
    <row r="1548" spans="5:5" x14ac:dyDescent="0.2">
      <c r="E1548" s="332"/>
    </row>
    <row r="1549" spans="5:5" x14ac:dyDescent="0.2">
      <c r="E1549" s="332"/>
    </row>
    <row r="1550" spans="5:5" x14ac:dyDescent="0.2">
      <c r="E1550" s="332"/>
    </row>
    <row r="1551" spans="5:5" x14ac:dyDescent="0.2">
      <c r="E1551" s="332"/>
    </row>
    <row r="1552" spans="5:5" x14ac:dyDescent="0.2">
      <c r="E1552" s="332"/>
    </row>
    <row r="1553" spans="5:5" x14ac:dyDescent="0.2">
      <c r="E1553" s="332"/>
    </row>
    <row r="1554" spans="5:5" x14ac:dyDescent="0.2">
      <c r="E1554" s="332"/>
    </row>
    <row r="1555" spans="5:5" x14ac:dyDescent="0.2">
      <c r="E1555" s="332"/>
    </row>
    <row r="1556" spans="5:5" x14ac:dyDescent="0.2">
      <c r="E1556" s="332"/>
    </row>
    <row r="1557" spans="5:5" x14ac:dyDescent="0.2">
      <c r="E1557" s="332"/>
    </row>
    <row r="1558" spans="5:5" x14ac:dyDescent="0.2">
      <c r="E1558" s="332"/>
    </row>
    <row r="1559" spans="5:5" x14ac:dyDescent="0.2">
      <c r="E1559" s="332"/>
    </row>
    <row r="1560" spans="5:5" x14ac:dyDescent="0.2">
      <c r="E1560" s="332"/>
    </row>
    <row r="1561" spans="5:5" x14ac:dyDescent="0.2">
      <c r="E1561" s="332"/>
    </row>
    <row r="1562" spans="5:5" x14ac:dyDescent="0.2">
      <c r="E1562" s="332"/>
    </row>
    <row r="1563" spans="5:5" x14ac:dyDescent="0.2">
      <c r="E1563" s="332"/>
    </row>
    <row r="1564" spans="5:5" x14ac:dyDescent="0.2">
      <c r="E1564" s="332"/>
    </row>
    <row r="1565" spans="5:5" x14ac:dyDescent="0.2">
      <c r="E1565" s="332"/>
    </row>
    <row r="1566" spans="5:5" x14ac:dyDescent="0.2">
      <c r="E1566" s="332"/>
    </row>
    <row r="1567" spans="5:5" x14ac:dyDescent="0.2">
      <c r="E1567" s="332"/>
    </row>
    <row r="1568" spans="5:5" x14ac:dyDescent="0.2">
      <c r="E1568" s="332"/>
    </row>
    <row r="1569" spans="5:5" x14ac:dyDescent="0.2">
      <c r="E1569" s="332"/>
    </row>
    <row r="1570" spans="5:5" x14ac:dyDescent="0.2">
      <c r="E1570" s="332"/>
    </row>
    <row r="1571" spans="5:5" x14ac:dyDescent="0.2">
      <c r="E1571" s="332"/>
    </row>
    <row r="1572" spans="5:5" x14ac:dyDescent="0.2">
      <c r="E1572" s="332"/>
    </row>
    <row r="1573" spans="5:5" x14ac:dyDescent="0.2">
      <c r="E1573" s="332"/>
    </row>
    <row r="1574" spans="5:5" x14ac:dyDescent="0.2">
      <c r="E1574" s="332"/>
    </row>
    <row r="1575" spans="5:5" x14ac:dyDescent="0.2">
      <c r="E1575" s="332"/>
    </row>
    <row r="1576" spans="5:5" x14ac:dyDescent="0.2">
      <c r="E1576" s="332"/>
    </row>
    <row r="1577" spans="5:5" x14ac:dyDescent="0.2">
      <c r="E1577" s="332"/>
    </row>
    <row r="1578" spans="5:5" x14ac:dyDescent="0.2">
      <c r="E1578" s="332"/>
    </row>
    <row r="1579" spans="5:5" x14ac:dyDescent="0.2">
      <c r="E1579" s="332"/>
    </row>
    <row r="1580" spans="5:5" x14ac:dyDescent="0.2">
      <c r="E1580" s="332"/>
    </row>
    <row r="1581" spans="5:5" x14ac:dyDescent="0.2">
      <c r="E1581" s="332"/>
    </row>
    <row r="1582" spans="5:5" x14ac:dyDescent="0.2">
      <c r="E1582" s="332"/>
    </row>
    <row r="1583" spans="5:5" x14ac:dyDescent="0.2">
      <c r="E1583" s="332"/>
    </row>
    <row r="1584" spans="5:5" x14ac:dyDescent="0.2">
      <c r="E1584" s="332"/>
    </row>
    <row r="1585" spans="5:5" x14ac:dyDescent="0.2">
      <c r="E1585" s="332"/>
    </row>
    <row r="1586" spans="5:5" x14ac:dyDescent="0.2">
      <c r="E1586" s="332"/>
    </row>
    <row r="1587" spans="5:5" x14ac:dyDescent="0.2">
      <c r="E1587" s="332"/>
    </row>
    <row r="1588" spans="5:5" x14ac:dyDescent="0.2">
      <c r="E1588" s="332"/>
    </row>
    <row r="1589" spans="5:5" x14ac:dyDescent="0.2">
      <c r="E1589" s="332"/>
    </row>
    <row r="1590" spans="5:5" x14ac:dyDescent="0.2">
      <c r="E1590" s="332"/>
    </row>
    <row r="1591" spans="5:5" x14ac:dyDescent="0.2">
      <c r="E1591" s="332"/>
    </row>
    <row r="1592" spans="5:5" x14ac:dyDescent="0.2">
      <c r="E1592" s="332"/>
    </row>
    <row r="1593" spans="5:5" x14ac:dyDescent="0.2">
      <c r="E1593" s="332"/>
    </row>
    <row r="1594" spans="5:5" x14ac:dyDescent="0.2">
      <c r="E1594" s="332"/>
    </row>
    <row r="1595" spans="5:5" x14ac:dyDescent="0.2">
      <c r="E1595" s="332"/>
    </row>
    <row r="1596" spans="5:5" x14ac:dyDescent="0.2">
      <c r="E1596" s="332"/>
    </row>
    <row r="1597" spans="5:5" x14ac:dyDescent="0.2">
      <c r="E1597" s="332"/>
    </row>
    <row r="1598" spans="5:5" x14ac:dyDescent="0.2">
      <c r="E1598" s="332"/>
    </row>
    <row r="1599" spans="5:5" x14ac:dyDescent="0.2">
      <c r="E1599" s="332"/>
    </row>
    <row r="1600" spans="5:5" x14ac:dyDescent="0.2">
      <c r="E1600" s="332"/>
    </row>
    <row r="1601" spans="5:5" x14ac:dyDescent="0.2">
      <c r="E1601" s="332"/>
    </row>
    <row r="1602" spans="5:5" x14ac:dyDescent="0.2">
      <c r="E1602" s="332"/>
    </row>
    <row r="1603" spans="5:5" x14ac:dyDescent="0.2">
      <c r="E1603" s="332"/>
    </row>
    <row r="1604" spans="5:5" x14ac:dyDescent="0.2">
      <c r="E1604" s="332"/>
    </row>
    <row r="1605" spans="5:5" x14ac:dyDescent="0.2">
      <c r="E1605" s="332"/>
    </row>
    <row r="1606" spans="5:5" x14ac:dyDescent="0.2">
      <c r="E1606" s="332"/>
    </row>
    <row r="1607" spans="5:5" x14ac:dyDescent="0.2">
      <c r="E1607" s="332"/>
    </row>
    <row r="1608" spans="5:5" x14ac:dyDescent="0.2">
      <c r="E1608" s="332"/>
    </row>
    <row r="1609" spans="5:5" x14ac:dyDescent="0.2">
      <c r="E1609" s="332"/>
    </row>
    <row r="1610" spans="5:5" x14ac:dyDescent="0.2">
      <c r="E1610" s="332"/>
    </row>
    <row r="1611" spans="5:5" x14ac:dyDescent="0.2">
      <c r="E1611" s="332"/>
    </row>
    <row r="1612" spans="5:5" x14ac:dyDescent="0.2">
      <c r="E1612" s="332"/>
    </row>
    <row r="1613" spans="5:5" x14ac:dyDescent="0.2">
      <c r="E1613" s="332"/>
    </row>
    <row r="1614" spans="5:5" x14ac:dyDescent="0.2">
      <c r="E1614" s="332"/>
    </row>
    <row r="1615" spans="5:5" x14ac:dyDescent="0.2">
      <c r="E1615" s="332"/>
    </row>
    <row r="1616" spans="5:5" x14ac:dyDescent="0.2">
      <c r="E1616" s="332"/>
    </row>
    <row r="1617" spans="5:5" x14ac:dyDescent="0.2">
      <c r="E1617" s="332"/>
    </row>
    <row r="1618" spans="5:5" x14ac:dyDescent="0.2">
      <c r="E1618" s="332"/>
    </row>
    <row r="1619" spans="5:5" x14ac:dyDescent="0.2">
      <c r="E1619" s="332"/>
    </row>
    <row r="1620" spans="5:5" x14ac:dyDescent="0.2">
      <c r="E1620" s="332"/>
    </row>
    <row r="1621" spans="5:5" x14ac:dyDescent="0.2">
      <c r="E1621" s="332"/>
    </row>
    <row r="1622" spans="5:5" x14ac:dyDescent="0.2">
      <c r="E1622" s="332"/>
    </row>
    <row r="1623" spans="5:5" x14ac:dyDescent="0.2">
      <c r="E1623" s="332"/>
    </row>
    <row r="1624" spans="5:5" x14ac:dyDescent="0.2">
      <c r="E1624" s="332"/>
    </row>
    <row r="1625" spans="5:5" x14ac:dyDescent="0.2">
      <c r="E1625" s="332"/>
    </row>
    <row r="1626" spans="5:5" x14ac:dyDescent="0.2">
      <c r="E1626" s="332"/>
    </row>
    <row r="1627" spans="5:5" x14ac:dyDescent="0.2">
      <c r="E1627" s="332"/>
    </row>
    <row r="1628" spans="5:5" x14ac:dyDescent="0.2">
      <c r="E1628" s="332"/>
    </row>
    <row r="1629" spans="5:5" x14ac:dyDescent="0.2">
      <c r="E1629" s="332"/>
    </row>
    <row r="1630" spans="5:5" x14ac:dyDescent="0.2">
      <c r="E1630" s="332"/>
    </row>
    <row r="1631" spans="5:5" x14ac:dyDescent="0.2">
      <c r="E1631" s="332"/>
    </row>
    <row r="1632" spans="5:5" x14ac:dyDescent="0.2">
      <c r="E1632" s="332"/>
    </row>
    <row r="1633" spans="5:5" x14ac:dyDescent="0.2">
      <c r="E1633" s="332"/>
    </row>
    <row r="1634" spans="5:5" x14ac:dyDescent="0.2">
      <c r="E1634" s="332"/>
    </row>
    <row r="1635" spans="5:5" x14ac:dyDescent="0.2">
      <c r="E1635" s="332"/>
    </row>
    <row r="1636" spans="5:5" x14ac:dyDescent="0.2">
      <c r="E1636" s="332"/>
    </row>
    <row r="1637" spans="5:5" x14ac:dyDescent="0.2">
      <c r="E1637" s="332"/>
    </row>
    <row r="1638" spans="5:5" x14ac:dyDescent="0.2">
      <c r="E1638" s="332"/>
    </row>
    <row r="1639" spans="5:5" x14ac:dyDescent="0.2">
      <c r="E1639" s="332"/>
    </row>
    <row r="1640" spans="5:5" x14ac:dyDescent="0.2">
      <c r="E1640" s="332"/>
    </row>
    <row r="1641" spans="5:5" x14ac:dyDescent="0.2">
      <c r="E1641" s="332"/>
    </row>
    <row r="1642" spans="5:5" x14ac:dyDescent="0.2">
      <c r="E1642" s="332"/>
    </row>
    <row r="1643" spans="5:5" x14ac:dyDescent="0.2">
      <c r="E1643" s="332"/>
    </row>
    <row r="1644" spans="5:5" x14ac:dyDescent="0.2">
      <c r="E1644" s="332"/>
    </row>
    <row r="1645" spans="5:5" x14ac:dyDescent="0.2">
      <c r="E1645" s="332"/>
    </row>
    <row r="1646" spans="5:5" x14ac:dyDescent="0.2">
      <c r="E1646" s="332"/>
    </row>
    <row r="1647" spans="5:5" x14ac:dyDescent="0.2">
      <c r="E1647" s="332"/>
    </row>
    <row r="1648" spans="5:5" x14ac:dyDescent="0.2">
      <c r="E1648" s="332"/>
    </row>
    <row r="1649" spans="5:5" x14ac:dyDescent="0.2">
      <c r="E1649" s="332"/>
    </row>
    <row r="1650" spans="5:5" x14ac:dyDescent="0.2">
      <c r="E1650" s="332"/>
    </row>
    <row r="1651" spans="5:5" x14ac:dyDescent="0.2">
      <c r="E1651" s="332"/>
    </row>
    <row r="1652" spans="5:5" x14ac:dyDescent="0.2">
      <c r="E1652" s="332"/>
    </row>
    <row r="1653" spans="5:5" x14ac:dyDescent="0.2">
      <c r="E1653" s="332"/>
    </row>
    <row r="1654" spans="5:5" x14ac:dyDescent="0.2">
      <c r="E1654" s="332"/>
    </row>
    <row r="1655" spans="5:5" x14ac:dyDescent="0.2">
      <c r="E1655" s="332"/>
    </row>
    <row r="1656" spans="5:5" x14ac:dyDescent="0.2">
      <c r="E1656" s="332"/>
    </row>
    <row r="1657" spans="5:5" x14ac:dyDescent="0.2">
      <c r="E1657" s="332"/>
    </row>
    <row r="1658" spans="5:5" x14ac:dyDescent="0.2">
      <c r="E1658" s="332"/>
    </row>
    <row r="1659" spans="5:5" x14ac:dyDescent="0.2">
      <c r="E1659" s="332"/>
    </row>
    <row r="1660" spans="5:5" x14ac:dyDescent="0.2">
      <c r="E1660" s="332"/>
    </row>
    <row r="1661" spans="5:5" x14ac:dyDescent="0.2">
      <c r="E1661" s="332"/>
    </row>
    <row r="1662" spans="5:5" x14ac:dyDescent="0.2">
      <c r="E1662" s="332"/>
    </row>
    <row r="1663" spans="5:5" x14ac:dyDescent="0.2">
      <c r="E1663" s="332"/>
    </row>
    <row r="1664" spans="5:5" x14ac:dyDescent="0.2">
      <c r="E1664" s="332"/>
    </row>
    <row r="1665" spans="5:5" x14ac:dyDescent="0.2">
      <c r="E1665" s="332"/>
    </row>
    <row r="1666" spans="5:5" x14ac:dyDescent="0.2">
      <c r="E1666" s="332"/>
    </row>
    <row r="1667" spans="5:5" x14ac:dyDescent="0.2">
      <c r="E1667" s="332"/>
    </row>
    <row r="1668" spans="5:5" x14ac:dyDescent="0.2">
      <c r="E1668" s="332"/>
    </row>
    <row r="1669" spans="5:5" x14ac:dyDescent="0.2">
      <c r="E1669" s="332"/>
    </row>
    <row r="1670" spans="5:5" x14ac:dyDescent="0.2">
      <c r="E1670" s="332"/>
    </row>
    <row r="1671" spans="5:5" x14ac:dyDescent="0.2">
      <c r="E1671" s="332"/>
    </row>
    <row r="1672" spans="5:5" x14ac:dyDescent="0.2">
      <c r="E1672" s="332"/>
    </row>
    <row r="1673" spans="5:5" x14ac:dyDescent="0.2">
      <c r="E1673" s="332"/>
    </row>
    <row r="1674" spans="5:5" x14ac:dyDescent="0.2">
      <c r="E1674" s="332"/>
    </row>
    <row r="1675" spans="5:5" x14ac:dyDescent="0.2">
      <c r="E1675" s="332"/>
    </row>
    <row r="1676" spans="5:5" x14ac:dyDescent="0.2">
      <c r="E1676" s="332"/>
    </row>
    <row r="1677" spans="5:5" x14ac:dyDescent="0.2">
      <c r="E1677" s="332"/>
    </row>
    <row r="1678" spans="5:5" x14ac:dyDescent="0.2">
      <c r="E1678" s="332"/>
    </row>
    <row r="1679" spans="5:5" x14ac:dyDescent="0.2">
      <c r="E1679" s="332"/>
    </row>
    <row r="1680" spans="5:5" x14ac:dyDescent="0.2">
      <c r="E1680" s="332"/>
    </row>
    <row r="1681" spans="5:5" x14ac:dyDescent="0.2">
      <c r="E1681" s="332"/>
    </row>
    <row r="1682" spans="5:5" x14ac:dyDescent="0.2">
      <c r="E1682" s="332"/>
    </row>
    <row r="1683" spans="5:5" x14ac:dyDescent="0.2">
      <c r="E1683" s="332"/>
    </row>
    <row r="1684" spans="5:5" x14ac:dyDescent="0.2">
      <c r="E1684" s="332"/>
    </row>
    <row r="1685" spans="5:5" x14ac:dyDescent="0.2">
      <c r="E1685" s="332"/>
    </row>
    <row r="1686" spans="5:5" x14ac:dyDescent="0.2">
      <c r="E1686" s="332"/>
    </row>
    <row r="1687" spans="5:5" x14ac:dyDescent="0.2">
      <c r="E1687" s="332"/>
    </row>
    <row r="1688" spans="5:5" x14ac:dyDescent="0.2">
      <c r="E1688" s="332"/>
    </row>
    <row r="1689" spans="5:5" x14ac:dyDescent="0.2">
      <c r="E1689" s="332"/>
    </row>
    <row r="1690" spans="5:5" x14ac:dyDescent="0.2">
      <c r="E1690" s="332"/>
    </row>
    <row r="1691" spans="5:5" x14ac:dyDescent="0.2">
      <c r="E1691" s="332"/>
    </row>
    <row r="1692" spans="5:5" x14ac:dyDescent="0.2">
      <c r="E1692" s="332"/>
    </row>
    <row r="1693" spans="5:5" x14ac:dyDescent="0.2">
      <c r="E1693" s="332"/>
    </row>
    <row r="1694" spans="5:5" x14ac:dyDescent="0.2">
      <c r="E1694" s="332"/>
    </row>
    <row r="1695" spans="5:5" x14ac:dyDescent="0.2">
      <c r="E1695" s="332"/>
    </row>
    <row r="1696" spans="5:5" x14ac:dyDescent="0.2">
      <c r="E1696" s="332"/>
    </row>
    <row r="1697" spans="5:5" x14ac:dyDescent="0.2">
      <c r="E1697" s="332"/>
    </row>
    <row r="1698" spans="5:5" x14ac:dyDescent="0.2">
      <c r="E1698" s="332"/>
    </row>
    <row r="1699" spans="5:5" x14ac:dyDescent="0.2">
      <c r="E1699" s="332"/>
    </row>
    <row r="1700" spans="5:5" x14ac:dyDescent="0.2">
      <c r="E1700" s="332"/>
    </row>
    <row r="1701" spans="5:5" x14ac:dyDescent="0.2">
      <c r="E1701" s="332"/>
    </row>
    <row r="1702" spans="5:5" x14ac:dyDescent="0.2">
      <c r="E1702" s="332"/>
    </row>
    <row r="1703" spans="5:5" x14ac:dyDescent="0.2">
      <c r="E1703" s="332"/>
    </row>
    <row r="1704" spans="5:5" x14ac:dyDescent="0.2">
      <c r="E1704" s="332"/>
    </row>
    <row r="1705" spans="5:5" x14ac:dyDescent="0.2">
      <c r="E1705" s="332"/>
    </row>
    <row r="1706" spans="5:5" x14ac:dyDescent="0.2">
      <c r="E1706" s="332"/>
    </row>
    <row r="1707" spans="5:5" x14ac:dyDescent="0.2">
      <c r="E1707" s="332"/>
    </row>
    <row r="1708" spans="5:5" x14ac:dyDescent="0.2">
      <c r="E1708" s="332"/>
    </row>
    <row r="1709" spans="5:5" x14ac:dyDescent="0.2">
      <c r="E1709" s="332"/>
    </row>
    <row r="1710" spans="5:5" x14ac:dyDescent="0.2">
      <c r="E1710" s="332"/>
    </row>
    <row r="1711" spans="5:5" x14ac:dyDescent="0.2">
      <c r="E1711" s="332"/>
    </row>
    <row r="1712" spans="5:5" x14ac:dyDescent="0.2">
      <c r="E1712" s="332"/>
    </row>
    <row r="1713" spans="5:5" x14ac:dyDescent="0.2">
      <c r="E1713" s="332"/>
    </row>
    <row r="1714" spans="5:5" x14ac:dyDescent="0.2">
      <c r="E1714" s="332"/>
    </row>
    <row r="1715" spans="5:5" x14ac:dyDescent="0.2">
      <c r="E1715" s="332"/>
    </row>
    <row r="1716" spans="5:5" x14ac:dyDescent="0.2">
      <c r="E1716" s="332"/>
    </row>
    <row r="1717" spans="5:5" x14ac:dyDescent="0.2">
      <c r="E1717" s="332"/>
    </row>
    <row r="1718" spans="5:5" x14ac:dyDescent="0.2">
      <c r="E1718" s="332"/>
    </row>
    <row r="1719" spans="5:5" x14ac:dyDescent="0.2">
      <c r="E1719" s="332"/>
    </row>
    <row r="1720" spans="5:5" x14ac:dyDescent="0.2">
      <c r="E1720" s="332"/>
    </row>
    <row r="1721" spans="5:5" x14ac:dyDescent="0.2">
      <c r="E1721" s="332"/>
    </row>
    <row r="1722" spans="5:5" x14ac:dyDescent="0.2">
      <c r="E1722" s="332"/>
    </row>
    <row r="1723" spans="5:5" x14ac:dyDescent="0.2">
      <c r="E1723" s="332"/>
    </row>
    <row r="1724" spans="5:5" x14ac:dyDescent="0.2">
      <c r="E1724" s="332"/>
    </row>
    <row r="1725" spans="5:5" x14ac:dyDescent="0.2">
      <c r="E1725" s="332"/>
    </row>
    <row r="1726" spans="5:5" x14ac:dyDescent="0.2">
      <c r="E1726" s="332"/>
    </row>
    <row r="1727" spans="5:5" x14ac:dyDescent="0.2">
      <c r="E1727" s="332"/>
    </row>
    <row r="1728" spans="5:5" x14ac:dyDescent="0.2">
      <c r="E1728" s="332"/>
    </row>
    <row r="1729" spans="5:5" x14ac:dyDescent="0.2">
      <c r="E1729" s="332"/>
    </row>
    <row r="1730" spans="5:5" x14ac:dyDescent="0.2">
      <c r="E1730" s="332"/>
    </row>
    <row r="1731" spans="5:5" x14ac:dyDescent="0.2">
      <c r="E1731" s="332"/>
    </row>
    <row r="1732" spans="5:5" x14ac:dyDescent="0.2">
      <c r="E1732" s="332"/>
    </row>
    <row r="1733" spans="5:5" x14ac:dyDescent="0.2">
      <c r="E1733" s="332"/>
    </row>
    <row r="1734" spans="5:5" x14ac:dyDescent="0.2">
      <c r="E1734" s="332"/>
    </row>
    <row r="1735" spans="5:5" x14ac:dyDescent="0.2">
      <c r="E1735" s="332"/>
    </row>
    <row r="1736" spans="5:5" x14ac:dyDescent="0.2">
      <c r="E1736" s="332"/>
    </row>
    <row r="1737" spans="5:5" x14ac:dyDescent="0.2">
      <c r="E1737" s="332"/>
    </row>
    <row r="1738" spans="5:5" x14ac:dyDescent="0.2">
      <c r="E1738" s="332"/>
    </row>
    <row r="1739" spans="5:5" x14ac:dyDescent="0.2">
      <c r="E1739" s="332"/>
    </row>
    <row r="1740" spans="5:5" x14ac:dyDescent="0.2">
      <c r="E1740" s="332"/>
    </row>
    <row r="1741" spans="5:5" x14ac:dyDescent="0.2">
      <c r="E1741" s="332"/>
    </row>
    <row r="1742" spans="5:5" x14ac:dyDescent="0.2">
      <c r="E1742" s="332"/>
    </row>
    <row r="1743" spans="5:5" x14ac:dyDescent="0.2">
      <c r="E1743" s="332"/>
    </row>
    <row r="1744" spans="5:5" x14ac:dyDescent="0.2">
      <c r="E1744" s="332"/>
    </row>
    <row r="1745" spans="5:5" x14ac:dyDescent="0.2">
      <c r="E1745" s="332"/>
    </row>
    <row r="1746" spans="5:5" x14ac:dyDescent="0.2">
      <c r="E1746" s="332"/>
    </row>
    <row r="1747" spans="5:5" x14ac:dyDescent="0.2">
      <c r="E1747" s="332"/>
    </row>
    <row r="1748" spans="5:5" x14ac:dyDescent="0.2">
      <c r="E1748" s="332"/>
    </row>
    <row r="1749" spans="5:5" x14ac:dyDescent="0.2">
      <c r="E1749" s="332"/>
    </row>
    <row r="1750" spans="5:5" x14ac:dyDescent="0.2">
      <c r="E1750" s="332"/>
    </row>
    <row r="1751" spans="5:5" x14ac:dyDescent="0.2">
      <c r="E1751" s="332"/>
    </row>
    <row r="1752" spans="5:5" x14ac:dyDescent="0.2">
      <c r="E1752" s="332"/>
    </row>
    <row r="1753" spans="5:5" x14ac:dyDescent="0.2">
      <c r="E1753" s="332"/>
    </row>
    <row r="1754" spans="5:5" x14ac:dyDescent="0.2">
      <c r="E1754" s="332"/>
    </row>
    <row r="1755" spans="5:5" x14ac:dyDescent="0.2">
      <c r="E1755" s="332"/>
    </row>
    <row r="1756" spans="5:5" x14ac:dyDescent="0.2">
      <c r="E1756" s="332"/>
    </row>
    <row r="1757" spans="5:5" x14ac:dyDescent="0.2">
      <c r="E1757" s="332"/>
    </row>
    <row r="1758" spans="5:5" x14ac:dyDescent="0.2">
      <c r="E1758" s="332"/>
    </row>
    <row r="1759" spans="5:5" x14ac:dyDescent="0.2">
      <c r="E1759" s="332"/>
    </row>
    <row r="1760" spans="5:5" x14ac:dyDescent="0.2">
      <c r="E1760" s="332"/>
    </row>
    <row r="1761" spans="5:5" x14ac:dyDescent="0.2">
      <c r="E1761" s="332"/>
    </row>
    <row r="1762" spans="5:5" x14ac:dyDescent="0.2">
      <c r="E1762" s="332"/>
    </row>
    <row r="1763" spans="5:5" x14ac:dyDescent="0.2">
      <c r="E1763" s="332"/>
    </row>
    <row r="1764" spans="5:5" x14ac:dyDescent="0.2">
      <c r="E1764" s="332"/>
    </row>
    <row r="1765" spans="5:5" x14ac:dyDescent="0.2">
      <c r="E1765" s="332"/>
    </row>
    <row r="1766" spans="5:5" x14ac:dyDescent="0.2">
      <c r="E1766" s="332"/>
    </row>
    <row r="1767" spans="5:5" x14ac:dyDescent="0.2">
      <c r="E1767" s="332"/>
    </row>
    <row r="1768" spans="5:5" x14ac:dyDescent="0.2">
      <c r="E1768" s="332"/>
    </row>
    <row r="1769" spans="5:5" x14ac:dyDescent="0.2">
      <c r="E1769" s="332"/>
    </row>
    <row r="1770" spans="5:5" x14ac:dyDescent="0.2">
      <c r="E1770" s="332"/>
    </row>
    <row r="1771" spans="5:5" x14ac:dyDescent="0.2">
      <c r="E1771" s="332"/>
    </row>
    <row r="1772" spans="5:5" x14ac:dyDescent="0.2">
      <c r="E1772" s="332"/>
    </row>
    <row r="1773" spans="5:5" x14ac:dyDescent="0.2">
      <c r="E1773" s="332"/>
    </row>
    <row r="1774" spans="5:5" x14ac:dyDescent="0.2">
      <c r="E1774" s="332"/>
    </row>
    <row r="1775" spans="5:5" x14ac:dyDescent="0.2">
      <c r="E1775" s="332"/>
    </row>
    <row r="1776" spans="5:5" x14ac:dyDescent="0.2">
      <c r="E1776" s="332"/>
    </row>
    <row r="1777" spans="5:5" x14ac:dyDescent="0.2">
      <c r="E1777" s="332"/>
    </row>
    <row r="1778" spans="5:5" x14ac:dyDescent="0.2">
      <c r="E1778" s="332"/>
    </row>
    <row r="1779" spans="5:5" x14ac:dyDescent="0.2">
      <c r="E1779" s="332"/>
    </row>
    <row r="1780" spans="5:5" x14ac:dyDescent="0.2">
      <c r="E1780" s="332"/>
    </row>
    <row r="1781" spans="5:5" x14ac:dyDescent="0.2">
      <c r="E1781" s="332"/>
    </row>
    <row r="1782" spans="5:5" x14ac:dyDescent="0.2">
      <c r="E1782" s="332"/>
    </row>
    <row r="1783" spans="5:5" x14ac:dyDescent="0.2">
      <c r="E1783" s="332"/>
    </row>
    <row r="1784" spans="5:5" x14ac:dyDescent="0.2">
      <c r="E1784" s="332"/>
    </row>
    <row r="1785" spans="5:5" x14ac:dyDescent="0.2">
      <c r="E1785" s="332"/>
    </row>
    <row r="1786" spans="5:5" x14ac:dyDescent="0.2">
      <c r="E1786" s="332"/>
    </row>
    <row r="1787" spans="5:5" x14ac:dyDescent="0.2">
      <c r="E1787" s="332"/>
    </row>
    <row r="1788" spans="5:5" x14ac:dyDescent="0.2">
      <c r="E1788" s="332"/>
    </row>
    <row r="1789" spans="5:5" x14ac:dyDescent="0.2">
      <c r="E1789" s="332"/>
    </row>
    <row r="1790" spans="5:5" x14ac:dyDescent="0.2">
      <c r="E1790" s="332"/>
    </row>
    <row r="1791" spans="5:5" x14ac:dyDescent="0.2">
      <c r="E1791" s="332"/>
    </row>
    <row r="1792" spans="5:5" x14ac:dyDescent="0.2">
      <c r="E1792" s="332"/>
    </row>
    <row r="1793" spans="5:5" x14ac:dyDescent="0.2">
      <c r="E1793" s="332"/>
    </row>
    <row r="1794" spans="5:5" x14ac:dyDescent="0.2">
      <c r="E1794" s="332"/>
    </row>
    <row r="1795" spans="5:5" x14ac:dyDescent="0.2">
      <c r="E1795" s="332"/>
    </row>
    <row r="1796" spans="5:5" x14ac:dyDescent="0.2">
      <c r="E1796" s="332"/>
    </row>
    <row r="1797" spans="5:5" x14ac:dyDescent="0.2">
      <c r="E1797" s="332"/>
    </row>
    <row r="1798" spans="5:5" x14ac:dyDescent="0.2">
      <c r="E1798" s="332"/>
    </row>
    <row r="1799" spans="5:5" x14ac:dyDescent="0.2">
      <c r="E1799" s="332"/>
    </row>
    <row r="1800" spans="5:5" x14ac:dyDescent="0.2">
      <c r="E1800" s="332"/>
    </row>
    <row r="1801" spans="5:5" x14ac:dyDescent="0.2">
      <c r="E1801" s="332"/>
    </row>
    <row r="1802" spans="5:5" x14ac:dyDescent="0.2">
      <c r="E1802" s="332"/>
    </row>
    <row r="1803" spans="5:5" x14ac:dyDescent="0.2">
      <c r="E1803" s="332"/>
    </row>
    <row r="1804" spans="5:5" x14ac:dyDescent="0.2">
      <c r="E1804" s="332"/>
    </row>
    <row r="1805" spans="5:5" x14ac:dyDescent="0.2">
      <c r="E1805" s="332"/>
    </row>
    <row r="1806" spans="5:5" x14ac:dyDescent="0.2">
      <c r="E1806" s="332"/>
    </row>
    <row r="1807" spans="5:5" x14ac:dyDescent="0.2">
      <c r="E1807" s="332"/>
    </row>
    <row r="1808" spans="5:5" x14ac:dyDescent="0.2">
      <c r="E1808" s="332"/>
    </row>
    <row r="1809" spans="5:5" x14ac:dyDescent="0.2">
      <c r="E1809" s="332"/>
    </row>
    <row r="1810" spans="5:5" x14ac:dyDescent="0.2">
      <c r="E1810" s="332"/>
    </row>
    <row r="1811" spans="5:5" x14ac:dyDescent="0.2">
      <c r="E1811" s="332"/>
    </row>
    <row r="1812" spans="5:5" x14ac:dyDescent="0.2">
      <c r="E1812" s="332"/>
    </row>
    <row r="1813" spans="5:5" x14ac:dyDescent="0.2">
      <c r="E1813" s="332"/>
    </row>
    <row r="1814" spans="5:5" x14ac:dyDescent="0.2">
      <c r="E1814" s="332"/>
    </row>
    <row r="1815" spans="5:5" x14ac:dyDescent="0.2">
      <c r="E1815" s="332"/>
    </row>
    <row r="1816" spans="5:5" x14ac:dyDescent="0.2">
      <c r="E1816" s="332"/>
    </row>
    <row r="1817" spans="5:5" x14ac:dyDescent="0.2">
      <c r="E1817" s="332"/>
    </row>
    <row r="1818" spans="5:5" x14ac:dyDescent="0.2">
      <c r="E1818" s="332"/>
    </row>
    <row r="1819" spans="5:5" x14ac:dyDescent="0.2">
      <c r="E1819" s="332"/>
    </row>
    <row r="1820" spans="5:5" x14ac:dyDescent="0.2">
      <c r="E1820" s="332"/>
    </row>
    <row r="1821" spans="5:5" x14ac:dyDescent="0.2">
      <c r="E1821" s="332"/>
    </row>
    <row r="1822" spans="5:5" x14ac:dyDescent="0.2">
      <c r="E1822" s="332"/>
    </row>
    <row r="1823" spans="5:5" x14ac:dyDescent="0.2">
      <c r="E1823" s="332"/>
    </row>
    <row r="1824" spans="5:5" x14ac:dyDescent="0.2">
      <c r="E1824" s="332"/>
    </row>
    <row r="1825" spans="5:5" x14ac:dyDescent="0.2">
      <c r="E1825" s="332"/>
    </row>
    <row r="1826" spans="5:5" x14ac:dyDescent="0.2">
      <c r="E1826" s="332"/>
    </row>
    <row r="1827" spans="5:5" x14ac:dyDescent="0.2">
      <c r="E1827" s="332"/>
    </row>
    <row r="1828" spans="5:5" x14ac:dyDescent="0.2">
      <c r="E1828" s="332"/>
    </row>
    <row r="1829" spans="5:5" x14ac:dyDescent="0.2">
      <c r="E1829" s="332"/>
    </row>
    <row r="1830" spans="5:5" x14ac:dyDescent="0.2">
      <c r="E1830" s="332"/>
    </row>
    <row r="1831" spans="5:5" x14ac:dyDescent="0.2">
      <c r="E1831" s="332"/>
    </row>
    <row r="1832" spans="5:5" x14ac:dyDescent="0.2">
      <c r="E1832" s="332"/>
    </row>
    <row r="1833" spans="5:5" x14ac:dyDescent="0.2">
      <c r="E1833" s="332"/>
    </row>
    <row r="1834" spans="5:5" x14ac:dyDescent="0.2">
      <c r="E1834" s="332"/>
    </row>
    <row r="1835" spans="5:5" x14ac:dyDescent="0.2">
      <c r="E1835" s="332"/>
    </row>
    <row r="1836" spans="5:5" x14ac:dyDescent="0.2">
      <c r="E1836" s="332"/>
    </row>
    <row r="1837" spans="5:5" x14ac:dyDescent="0.2">
      <c r="E1837" s="332"/>
    </row>
    <row r="1838" spans="5:5" x14ac:dyDescent="0.2">
      <c r="E1838" s="332"/>
    </row>
    <row r="1839" spans="5:5" x14ac:dyDescent="0.2">
      <c r="E1839" s="332"/>
    </row>
    <row r="1840" spans="5:5" x14ac:dyDescent="0.2">
      <c r="E1840" s="332"/>
    </row>
    <row r="1841" spans="5:5" x14ac:dyDescent="0.2">
      <c r="E1841" s="332"/>
    </row>
    <row r="1842" spans="5:5" x14ac:dyDescent="0.2">
      <c r="E1842" s="332"/>
    </row>
    <row r="1843" spans="5:5" x14ac:dyDescent="0.2">
      <c r="E1843" s="332"/>
    </row>
    <row r="1844" spans="5:5" x14ac:dyDescent="0.2">
      <c r="E1844" s="332"/>
    </row>
    <row r="1845" spans="5:5" x14ac:dyDescent="0.2">
      <c r="E1845" s="332"/>
    </row>
    <row r="1846" spans="5:5" x14ac:dyDescent="0.2">
      <c r="E1846" s="332"/>
    </row>
    <row r="1847" spans="5:5" x14ac:dyDescent="0.2">
      <c r="E1847" s="332"/>
    </row>
    <row r="1848" spans="5:5" x14ac:dyDescent="0.2">
      <c r="E1848" s="332"/>
    </row>
    <row r="1849" spans="5:5" x14ac:dyDescent="0.2">
      <c r="E1849" s="332"/>
    </row>
    <row r="1850" spans="5:5" x14ac:dyDescent="0.2">
      <c r="E1850" s="332"/>
    </row>
    <row r="1851" spans="5:5" x14ac:dyDescent="0.2">
      <c r="E1851" s="332"/>
    </row>
    <row r="1852" spans="5:5" x14ac:dyDescent="0.2">
      <c r="E1852" s="332"/>
    </row>
    <row r="1853" spans="5:5" x14ac:dyDescent="0.2">
      <c r="E1853" s="332"/>
    </row>
    <row r="1854" spans="5:5" x14ac:dyDescent="0.2">
      <c r="E1854" s="332"/>
    </row>
    <row r="1855" spans="5:5" x14ac:dyDescent="0.2">
      <c r="E1855" s="332"/>
    </row>
    <row r="1856" spans="5:5" x14ac:dyDescent="0.2">
      <c r="E1856" s="332"/>
    </row>
    <row r="1857" spans="5:5" x14ac:dyDescent="0.2">
      <c r="E1857" s="332"/>
    </row>
    <row r="1858" spans="5:5" x14ac:dyDescent="0.2">
      <c r="E1858" s="332"/>
    </row>
    <row r="1859" spans="5:5" x14ac:dyDescent="0.2">
      <c r="E1859" s="332"/>
    </row>
    <row r="1860" spans="5:5" x14ac:dyDescent="0.2">
      <c r="E1860" s="332"/>
    </row>
    <row r="1861" spans="5:5" x14ac:dyDescent="0.2">
      <c r="E1861" s="332"/>
    </row>
    <row r="1862" spans="5:5" x14ac:dyDescent="0.2">
      <c r="E1862" s="332"/>
    </row>
    <row r="1863" spans="5:5" x14ac:dyDescent="0.2">
      <c r="E1863" s="332"/>
    </row>
    <row r="1864" spans="5:5" x14ac:dyDescent="0.2">
      <c r="E1864" s="332"/>
    </row>
    <row r="1865" spans="5:5" x14ac:dyDescent="0.2">
      <c r="E1865" s="332"/>
    </row>
    <row r="1866" spans="5:5" x14ac:dyDescent="0.2">
      <c r="E1866" s="332"/>
    </row>
    <row r="1867" spans="5:5" x14ac:dyDescent="0.2">
      <c r="E1867" s="332"/>
    </row>
    <row r="1868" spans="5:5" x14ac:dyDescent="0.2">
      <c r="E1868" s="332"/>
    </row>
    <row r="1869" spans="5:5" x14ac:dyDescent="0.2">
      <c r="E1869" s="332"/>
    </row>
    <row r="1870" spans="5:5" x14ac:dyDescent="0.2">
      <c r="E1870" s="332"/>
    </row>
    <row r="1871" spans="5:5" x14ac:dyDescent="0.2">
      <c r="E1871" s="332"/>
    </row>
    <row r="1872" spans="5:5" x14ac:dyDescent="0.2">
      <c r="E1872" s="332"/>
    </row>
    <row r="1873" spans="5:5" x14ac:dyDescent="0.2">
      <c r="E1873" s="332"/>
    </row>
    <row r="1874" spans="5:5" x14ac:dyDescent="0.2">
      <c r="E1874" s="332"/>
    </row>
    <row r="1875" spans="5:5" x14ac:dyDescent="0.2">
      <c r="E1875" s="332"/>
    </row>
    <row r="1876" spans="5:5" x14ac:dyDescent="0.2">
      <c r="E1876" s="332"/>
    </row>
    <row r="1877" spans="5:5" x14ac:dyDescent="0.2">
      <c r="E1877" s="332"/>
    </row>
    <row r="1878" spans="5:5" x14ac:dyDescent="0.2">
      <c r="E1878" s="332"/>
    </row>
    <row r="1879" spans="5:5" x14ac:dyDescent="0.2">
      <c r="E1879" s="332"/>
    </row>
    <row r="1880" spans="5:5" x14ac:dyDescent="0.2">
      <c r="E1880" s="332"/>
    </row>
    <row r="1881" spans="5:5" x14ac:dyDescent="0.2">
      <c r="E1881" s="332"/>
    </row>
    <row r="1882" spans="5:5" x14ac:dyDescent="0.2">
      <c r="E1882" s="332"/>
    </row>
    <row r="1883" spans="5:5" x14ac:dyDescent="0.2">
      <c r="E1883" s="332"/>
    </row>
    <row r="1884" spans="5:5" x14ac:dyDescent="0.2">
      <c r="E1884" s="332"/>
    </row>
    <row r="1885" spans="5:5" x14ac:dyDescent="0.2">
      <c r="E1885" s="332"/>
    </row>
    <row r="1886" spans="5:5" x14ac:dyDescent="0.2">
      <c r="E1886" s="332"/>
    </row>
    <row r="1887" spans="5:5" x14ac:dyDescent="0.2">
      <c r="E1887" s="332"/>
    </row>
    <row r="1888" spans="5:5" x14ac:dyDescent="0.2">
      <c r="E1888" s="332"/>
    </row>
    <row r="1889" spans="5:5" x14ac:dyDescent="0.2">
      <c r="E1889" s="332"/>
    </row>
    <row r="1890" spans="5:5" x14ac:dyDescent="0.2">
      <c r="E1890" s="332"/>
    </row>
    <row r="1891" spans="5:5" x14ac:dyDescent="0.2">
      <c r="E1891" s="332"/>
    </row>
    <row r="1892" spans="5:5" x14ac:dyDescent="0.2">
      <c r="E1892" s="332"/>
    </row>
    <row r="1893" spans="5:5" x14ac:dyDescent="0.2">
      <c r="E1893" s="332"/>
    </row>
    <row r="1894" spans="5:5" x14ac:dyDescent="0.2">
      <c r="E1894" s="332"/>
    </row>
    <row r="1895" spans="5:5" x14ac:dyDescent="0.2">
      <c r="E1895" s="332"/>
    </row>
    <row r="1896" spans="5:5" x14ac:dyDescent="0.2">
      <c r="E1896" s="332"/>
    </row>
    <row r="1897" spans="5:5" x14ac:dyDescent="0.2">
      <c r="E1897" s="332"/>
    </row>
    <row r="1898" spans="5:5" x14ac:dyDescent="0.2">
      <c r="E1898" s="332"/>
    </row>
    <row r="1899" spans="5:5" x14ac:dyDescent="0.2">
      <c r="E1899" s="332"/>
    </row>
    <row r="1900" spans="5:5" x14ac:dyDescent="0.2">
      <c r="E1900" s="332"/>
    </row>
    <row r="1901" spans="5:5" x14ac:dyDescent="0.2">
      <c r="E1901" s="332"/>
    </row>
    <row r="1902" spans="5:5" x14ac:dyDescent="0.2">
      <c r="E1902" s="332"/>
    </row>
    <row r="1903" spans="5:5" x14ac:dyDescent="0.2">
      <c r="E1903" s="332"/>
    </row>
    <row r="1904" spans="5:5" x14ac:dyDescent="0.2">
      <c r="E1904" s="332"/>
    </row>
    <row r="1905" spans="5:5" x14ac:dyDescent="0.2">
      <c r="E1905" s="332"/>
    </row>
    <row r="1906" spans="5:5" x14ac:dyDescent="0.2">
      <c r="E1906" s="332"/>
    </row>
    <row r="1907" spans="5:5" x14ac:dyDescent="0.2">
      <c r="E1907" s="332"/>
    </row>
    <row r="1908" spans="5:5" x14ac:dyDescent="0.2">
      <c r="E1908" s="332"/>
    </row>
    <row r="1909" spans="5:5" x14ac:dyDescent="0.2">
      <c r="E1909" s="332"/>
    </row>
    <row r="1910" spans="5:5" x14ac:dyDescent="0.2">
      <c r="E1910" s="332"/>
    </row>
    <row r="1911" spans="5:5" x14ac:dyDescent="0.2">
      <c r="E1911" s="332"/>
    </row>
    <row r="1912" spans="5:5" x14ac:dyDescent="0.2">
      <c r="E1912" s="332"/>
    </row>
    <row r="1913" spans="5:5" x14ac:dyDescent="0.2">
      <c r="E1913" s="332"/>
    </row>
    <row r="1914" spans="5:5" x14ac:dyDescent="0.2">
      <c r="E1914" s="332"/>
    </row>
    <row r="1915" spans="5:5" x14ac:dyDescent="0.2">
      <c r="E1915" s="332"/>
    </row>
    <row r="1916" spans="5:5" x14ac:dyDescent="0.2">
      <c r="E1916" s="332"/>
    </row>
    <row r="1917" spans="5:5" x14ac:dyDescent="0.2">
      <c r="E1917" s="332"/>
    </row>
    <row r="1918" spans="5:5" x14ac:dyDescent="0.2">
      <c r="E1918" s="332"/>
    </row>
    <row r="1919" spans="5:5" x14ac:dyDescent="0.2">
      <c r="E1919" s="332"/>
    </row>
    <row r="1920" spans="5:5" x14ac:dyDescent="0.2">
      <c r="E1920" s="332"/>
    </row>
    <row r="1921" spans="5:5" x14ac:dyDescent="0.2">
      <c r="E1921" s="332"/>
    </row>
    <row r="1922" spans="5:5" x14ac:dyDescent="0.2">
      <c r="E1922" s="332"/>
    </row>
    <row r="1923" spans="5:5" x14ac:dyDescent="0.2">
      <c r="E1923" s="332"/>
    </row>
    <row r="1924" spans="5:5" x14ac:dyDescent="0.2">
      <c r="E1924" s="332"/>
    </row>
    <row r="1925" spans="5:5" x14ac:dyDescent="0.2">
      <c r="E1925" s="332"/>
    </row>
    <row r="1926" spans="5:5" x14ac:dyDescent="0.2">
      <c r="E1926" s="332"/>
    </row>
    <row r="1927" spans="5:5" x14ac:dyDescent="0.2">
      <c r="E1927" s="332"/>
    </row>
    <row r="1928" spans="5:5" x14ac:dyDescent="0.2">
      <c r="E1928" s="332"/>
    </row>
    <row r="1929" spans="5:5" x14ac:dyDescent="0.2">
      <c r="E1929" s="332"/>
    </row>
    <row r="1930" spans="5:5" x14ac:dyDescent="0.2">
      <c r="E1930" s="332"/>
    </row>
    <row r="1931" spans="5:5" x14ac:dyDescent="0.2">
      <c r="E1931" s="332"/>
    </row>
    <row r="1932" spans="5:5" x14ac:dyDescent="0.2">
      <c r="E1932" s="332"/>
    </row>
    <row r="1933" spans="5:5" x14ac:dyDescent="0.2">
      <c r="E1933" s="332"/>
    </row>
    <row r="1934" spans="5:5" x14ac:dyDescent="0.2">
      <c r="E1934" s="332"/>
    </row>
    <row r="1935" spans="5:5" x14ac:dyDescent="0.2">
      <c r="E1935" s="332"/>
    </row>
    <row r="1936" spans="5:5" x14ac:dyDescent="0.2">
      <c r="E1936" s="332"/>
    </row>
    <row r="1937" spans="5:5" x14ac:dyDescent="0.2">
      <c r="E1937" s="332"/>
    </row>
    <row r="1938" spans="5:5" x14ac:dyDescent="0.2">
      <c r="E1938" s="332"/>
    </row>
    <row r="1939" spans="5:5" x14ac:dyDescent="0.2">
      <c r="E1939" s="332"/>
    </row>
    <row r="1940" spans="5:5" x14ac:dyDescent="0.2">
      <c r="E1940" s="332"/>
    </row>
    <row r="1941" spans="5:5" x14ac:dyDescent="0.2">
      <c r="E1941" s="332"/>
    </row>
    <row r="1942" spans="5:5" x14ac:dyDescent="0.2">
      <c r="E1942" s="332"/>
    </row>
    <row r="1943" spans="5:5" x14ac:dyDescent="0.2">
      <c r="E1943" s="332"/>
    </row>
    <row r="1944" spans="5:5" x14ac:dyDescent="0.2">
      <c r="E1944" s="332"/>
    </row>
    <row r="1945" spans="5:5" x14ac:dyDescent="0.2">
      <c r="E1945" s="332"/>
    </row>
    <row r="1946" spans="5:5" x14ac:dyDescent="0.2">
      <c r="E1946" s="332"/>
    </row>
    <row r="1947" spans="5:5" x14ac:dyDescent="0.2">
      <c r="E1947" s="332"/>
    </row>
    <row r="1948" spans="5:5" x14ac:dyDescent="0.2">
      <c r="E1948" s="332"/>
    </row>
    <row r="1949" spans="5:5" x14ac:dyDescent="0.2">
      <c r="E1949" s="332"/>
    </row>
    <row r="1950" spans="5:5" x14ac:dyDescent="0.2">
      <c r="E1950" s="332"/>
    </row>
    <row r="1951" spans="5:5" x14ac:dyDescent="0.2">
      <c r="E1951" s="332"/>
    </row>
    <row r="1952" spans="5:5" x14ac:dyDescent="0.2">
      <c r="E1952" s="332"/>
    </row>
    <row r="1953" spans="5:5" x14ac:dyDescent="0.2">
      <c r="E1953" s="332"/>
    </row>
    <row r="1954" spans="5:5" x14ac:dyDescent="0.2">
      <c r="E1954" s="332"/>
    </row>
    <row r="1955" spans="5:5" x14ac:dyDescent="0.2">
      <c r="E1955" s="332"/>
    </row>
    <row r="1956" spans="5:5" x14ac:dyDescent="0.2">
      <c r="E1956" s="332"/>
    </row>
    <row r="1957" spans="5:5" x14ac:dyDescent="0.2">
      <c r="E1957" s="332"/>
    </row>
    <row r="1958" spans="5:5" x14ac:dyDescent="0.2">
      <c r="E1958" s="332"/>
    </row>
    <row r="1959" spans="5:5" x14ac:dyDescent="0.2">
      <c r="E1959" s="332"/>
    </row>
    <row r="1960" spans="5:5" x14ac:dyDescent="0.2">
      <c r="E1960" s="332"/>
    </row>
    <row r="1961" spans="5:5" x14ac:dyDescent="0.2">
      <c r="E1961" s="332"/>
    </row>
    <row r="1962" spans="5:5" x14ac:dyDescent="0.2">
      <c r="E1962" s="332"/>
    </row>
    <row r="1963" spans="5:5" x14ac:dyDescent="0.2">
      <c r="E1963" s="332"/>
    </row>
    <row r="1964" spans="5:5" x14ac:dyDescent="0.2">
      <c r="E1964" s="332"/>
    </row>
    <row r="1965" spans="5:5" x14ac:dyDescent="0.2">
      <c r="E1965" s="332"/>
    </row>
    <row r="1966" spans="5:5" x14ac:dyDescent="0.2">
      <c r="E1966" s="332"/>
    </row>
    <row r="1967" spans="5:5" x14ac:dyDescent="0.2">
      <c r="E1967" s="332"/>
    </row>
    <row r="1968" spans="5:5" x14ac:dyDescent="0.2">
      <c r="E1968" s="332"/>
    </row>
    <row r="1969" spans="5:5" x14ac:dyDescent="0.2">
      <c r="E1969" s="332"/>
    </row>
    <row r="1970" spans="5:5" x14ac:dyDescent="0.2">
      <c r="E1970" s="332"/>
    </row>
    <row r="1971" spans="5:5" x14ac:dyDescent="0.2">
      <c r="E1971" s="332"/>
    </row>
    <row r="1972" spans="5:5" x14ac:dyDescent="0.2">
      <c r="E1972" s="332"/>
    </row>
    <row r="1973" spans="5:5" x14ac:dyDescent="0.2">
      <c r="E1973" s="332"/>
    </row>
    <row r="1974" spans="5:5" x14ac:dyDescent="0.2">
      <c r="E1974" s="332"/>
    </row>
    <row r="1975" spans="5:5" x14ac:dyDescent="0.2">
      <c r="E1975" s="332"/>
    </row>
    <row r="1976" spans="5:5" x14ac:dyDescent="0.2">
      <c r="E1976" s="332"/>
    </row>
    <row r="1977" spans="5:5" x14ac:dyDescent="0.2">
      <c r="E1977" s="332"/>
    </row>
    <row r="1978" spans="5:5" x14ac:dyDescent="0.2">
      <c r="E1978" s="332"/>
    </row>
    <row r="1979" spans="5:5" x14ac:dyDescent="0.2">
      <c r="E1979" s="332"/>
    </row>
    <row r="1980" spans="5:5" x14ac:dyDescent="0.2">
      <c r="E1980" s="332"/>
    </row>
    <row r="1981" spans="5:5" x14ac:dyDescent="0.2">
      <c r="E1981" s="332"/>
    </row>
    <row r="1982" spans="5:5" x14ac:dyDescent="0.2">
      <c r="E1982" s="332"/>
    </row>
    <row r="1983" spans="5:5" x14ac:dyDescent="0.2">
      <c r="E1983" s="332"/>
    </row>
    <row r="1984" spans="5:5" x14ac:dyDescent="0.2">
      <c r="E1984" s="332"/>
    </row>
    <row r="1985" spans="5:5" x14ac:dyDescent="0.2">
      <c r="E1985" s="332"/>
    </row>
    <row r="1986" spans="5:5" x14ac:dyDescent="0.2">
      <c r="E1986" s="332"/>
    </row>
    <row r="1987" spans="5:5" x14ac:dyDescent="0.2">
      <c r="E1987" s="332"/>
    </row>
    <row r="1988" spans="5:5" x14ac:dyDescent="0.2">
      <c r="E1988" s="332"/>
    </row>
    <row r="1989" spans="5:5" x14ac:dyDescent="0.2">
      <c r="E1989" s="332"/>
    </row>
    <row r="1990" spans="5:5" x14ac:dyDescent="0.2">
      <c r="E1990" s="332"/>
    </row>
    <row r="1991" spans="5:5" x14ac:dyDescent="0.2">
      <c r="E1991" s="332"/>
    </row>
    <row r="1992" spans="5:5" x14ac:dyDescent="0.2">
      <c r="E1992" s="332"/>
    </row>
    <row r="1993" spans="5:5" x14ac:dyDescent="0.2">
      <c r="E1993" s="332"/>
    </row>
    <row r="1994" spans="5:5" x14ac:dyDescent="0.2">
      <c r="E1994" s="332"/>
    </row>
    <row r="1995" spans="5:5" x14ac:dyDescent="0.2">
      <c r="E1995" s="332"/>
    </row>
    <row r="1996" spans="5:5" x14ac:dyDescent="0.2">
      <c r="E1996" s="332"/>
    </row>
    <row r="1997" spans="5:5" x14ac:dyDescent="0.2">
      <c r="E1997" s="332"/>
    </row>
    <row r="1998" spans="5:5" x14ac:dyDescent="0.2">
      <c r="E1998" s="332"/>
    </row>
    <row r="1999" spans="5:5" x14ac:dyDescent="0.2">
      <c r="E1999" s="332"/>
    </row>
    <row r="2000" spans="5:5" x14ac:dyDescent="0.2">
      <c r="E2000" s="332"/>
    </row>
    <row r="2001" spans="5:5" x14ac:dyDescent="0.2">
      <c r="E2001" s="332"/>
    </row>
    <row r="2002" spans="5:5" x14ac:dyDescent="0.2">
      <c r="E2002" s="332"/>
    </row>
    <row r="2003" spans="5:5" x14ac:dyDescent="0.2">
      <c r="E2003" s="332"/>
    </row>
    <row r="2004" spans="5:5" x14ac:dyDescent="0.2">
      <c r="E2004" s="332"/>
    </row>
    <row r="2005" spans="5:5" x14ac:dyDescent="0.2">
      <c r="E2005" s="332"/>
    </row>
    <row r="2006" spans="5:5" x14ac:dyDescent="0.2">
      <c r="E2006" s="332"/>
    </row>
    <row r="2007" spans="5:5" x14ac:dyDescent="0.2">
      <c r="E2007" s="332"/>
    </row>
    <row r="2008" spans="5:5" x14ac:dyDescent="0.2">
      <c r="E2008" s="332"/>
    </row>
    <row r="2009" spans="5:5" x14ac:dyDescent="0.2">
      <c r="E2009" s="332"/>
    </row>
    <row r="2010" spans="5:5" x14ac:dyDescent="0.2">
      <c r="E2010" s="332"/>
    </row>
    <row r="2011" spans="5:5" x14ac:dyDescent="0.2">
      <c r="E2011" s="332"/>
    </row>
    <row r="2012" spans="5:5" x14ac:dyDescent="0.2">
      <c r="E2012" s="332"/>
    </row>
    <row r="2013" spans="5:5" x14ac:dyDescent="0.2">
      <c r="E2013" s="332"/>
    </row>
    <row r="2014" spans="5:5" x14ac:dyDescent="0.2">
      <c r="E2014" s="332"/>
    </row>
    <row r="2015" spans="5:5" x14ac:dyDescent="0.2">
      <c r="E2015" s="332"/>
    </row>
    <row r="2016" spans="5:5" x14ac:dyDescent="0.2">
      <c r="E2016" s="332"/>
    </row>
    <row r="2017" spans="5:5" x14ac:dyDescent="0.2">
      <c r="E2017" s="332"/>
    </row>
    <row r="2018" spans="5:5" x14ac:dyDescent="0.2">
      <c r="E2018" s="332"/>
    </row>
    <row r="2019" spans="5:5" x14ac:dyDescent="0.2">
      <c r="E2019" s="332"/>
    </row>
    <row r="2020" spans="5:5" x14ac:dyDescent="0.2">
      <c r="E2020" s="332"/>
    </row>
    <row r="2021" spans="5:5" x14ac:dyDescent="0.2">
      <c r="E2021" s="332"/>
    </row>
    <row r="2022" spans="5:5" x14ac:dyDescent="0.2">
      <c r="E2022" s="332"/>
    </row>
    <row r="2023" spans="5:5" x14ac:dyDescent="0.2">
      <c r="E2023" s="332"/>
    </row>
    <row r="2024" spans="5:5" x14ac:dyDescent="0.2">
      <c r="E2024" s="332"/>
    </row>
    <row r="2025" spans="5:5" x14ac:dyDescent="0.2">
      <c r="E2025" s="332"/>
    </row>
    <row r="2026" spans="5:5" x14ac:dyDescent="0.2">
      <c r="E2026" s="332"/>
    </row>
    <row r="2027" spans="5:5" x14ac:dyDescent="0.2">
      <c r="E2027" s="332"/>
    </row>
    <row r="2028" spans="5:5" x14ac:dyDescent="0.2">
      <c r="E2028" s="332"/>
    </row>
    <row r="2029" spans="5:5" x14ac:dyDescent="0.2">
      <c r="E2029" s="332"/>
    </row>
    <row r="2030" spans="5:5" x14ac:dyDescent="0.2">
      <c r="E2030" s="332"/>
    </row>
    <row r="2031" spans="5:5" x14ac:dyDescent="0.2">
      <c r="E2031" s="332"/>
    </row>
    <row r="2032" spans="5:5" x14ac:dyDescent="0.2">
      <c r="E2032" s="332"/>
    </row>
    <row r="2033" spans="5:5" x14ac:dyDescent="0.2">
      <c r="E2033" s="332"/>
    </row>
    <row r="2034" spans="5:5" x14ac:dyDescent="0.2">
      <c r="E2034" s="332"/>
    </row>
    <row r="2035" spans="5:5" x14ac:dyDescent="0.2">
      <c r="E2035" s="332"/>
    </row>
    <row r="2036" spans="5:5" x14ac:dyDescent="0.2">
      <c r="E2036" s="332"/>
    </row>
    <row r="2037" spans="5:5" x14ac:dyDescent="0.2">
      <c r="E2037" s="332"/>
    </row>
    <row r="2038" spans="5:5" x14ac:dyDescent="0.2">
      <c r="E2038" s="332"/>
    </row>
    <row r="2039" spans="5:5" x14ac:dyDescent="0.2">
      <c r="E2039" s="332"/>
    </row>
    <row r="2040" spans="5:5" x14ac:dyDescent="0.2">
      <c r="E2040" s="332"/>
    </row>
    <row r="2041" spans="5:5" x14ac:dyDescent="0.2">
      <c r="E2041" s="332"/>
    </row>
    <row r="2042" spans="5:5" x14ac:dyDescent="0.2">
      <c r="E2042" s="332"/>
    </row>
    <row r="2043" spans="5:5" x14ac:dyDescent="0.2">
      <c r="E2043" s="332"/>
    </row>
    <row r="2044" spans="5:5" x14ac:dyDescent="0.2">
      <c r="E2044" s="332"/>
    </row>
    <row r="2045" spans="5:5" x14ac:dyDescent="0.2">
      <c r="E2045" s="332"/>
    </row>
    <row r="2046" spans="5:5" x14ac:dyDescent="0.2">
      <c r="E2046" s="332"/>
    </row>
    <row r="2047" spans="5:5" x14ac:dyDescent="0.2">
      <c r="E2047" s="332"/>
    </row>
    <row r="2048" spans="5:5" x14ac:dyDescent="0.2">
      <c r="E2048" s="332"/>
    </row>
    <row r="2049" spans="5:5" x14ac:dyDescent="0.2">
      <c r="E2049" s="332"/>
    </row>
    <row r="2050" spans="5:5" x14ac:dyDescent="0.2">
      <c r="E2050" s="332"/>
    </row>
    <row r="2051" spans="5:5" x14ac:dyDescent="0.2">
      <c r="E2051" s="332"/>
    </row>
    <row r="2052" spans="5:5" x14ac:dyDescent="0.2">
      <c r="E2052" s="332"/>
    </row>
    <row r="2053" spans="5:5" x14ac:dyDescent="0.2">
      <c r="E2053" s="332"/>
    </row>
    <row r="2054" spans="5:5" x14ac:dyDescent="0.2">
      <c r="E2054" s="332"/>
    </row>
    <row r="2055" spans="5:5" x14ac:dyDescent="0.2">
      <c r="E2055" s="332"/>
    </row>
    <row r="2056" spans="5:5" x14ac:dyDescent="0.2">
      <c r="E2056" s="332"/>
    </row>
    <row r="2057" spans="5:5" x14ac:dyDescent="0.2">
      <c r="E2057" s="332"/>
    </row>
    <row r="2058" spans="5:5" x14ac:dyDescent="0.2">
      <c r="E2058" s="332"/>
    </row>
    <row r="2059" spans="5:5" x14ac:dyDescent="0.2">
      <c r="E2059" s="332"/>
    </row>
    <row r="2060" spans="5:5" x14ac:dyDescent="0.2">
      <c r="E2060" s="332"/>
    </row>
    <row r="2061" spans="5:5" x14ac:dyDescent="0.2">
      <c r="E2061" s="332"/>
    </row>
    <row r="2062" spans="5:5" x14ac:dyDescent="0.2">
      <c r="E2062" s="332"/>
    </row>
    <row r="2063" spans="5:5" x14ac:dyDescent="0.2">
      <c r="E2063" s="332"/>
    </row>
    <row r="2064" spans="5:5" x14ac:dyDescent="0.2">
      <c r="E2064" s="332"/>
    </row>
    <row r="2065" spans="5:5" x14ac:dyDescent="0.2">
      <c r="E2065" s="332"/>
    </row>
    <row r="2066" spans="5:5" x14ac:dyDescent="0.2">
      <c r="E2066" s="332"/>
    </row>
    <row r="2067" spans="5:5" x14ac:dyDescent="0.2">
      <c r="E2067" s="332"/>
    </row>
    <row r="2068" spans="5:5" x14ac:dyDescent="0.2">
      <c r="E2068" s="332"/>
    </row>
    <row r="2069" spans="5:5" x14ac:dyDescent="0.2">
      <c r="E2069" s="332"/>
    </row>
    <row r="2070" spans="5:5" x14ac:dyDescent="0.2">
      <c r="E2070" s="332"/>
    </row>
    <row r="2071" spans="5:5" x14ac:dyDescent="0.2">
      <c r="E2071" s="332"/>
    </row>
    <row r="2072" spans="5:5" x14ac:dyDescent="0.2">
      <c r="E2072" s="332"/>
    </row>
    <row r="2073" spans="5:5" x14ac:dyDescent="0.2">
      <c r="E2073" s="332"/>
    </row>
    <row r="2074" spans="5:5" x14ac:dyDescent="0.2">
      <c r="E2074" s="332"/>
    </row>
    <row r="2075" spans="5:5" x14ac:dyDescent="0.2">
      <c r="E2075" s="332"/>
    </row>
    <row r="2076" spans="5:5" x14ac:dyDescent="0.2">
      <c r="E2076" s="332"/>
    </row>
    <row r="2077" spans="5:5" x14ac:dyDescent="0.2">
      <c r="E2077" s="332"/>
    </row>
    <row r="2078" spans="5:5" x14ac:dyDescent="0.2">
      <c r="E2078" s="332"/>
    </row>
    <row r="2079" spans="5:5" x14ac:dyDescent="0.2">
      <c r="E2079" s="332"/>
    </row>
    <row r="2080" spans="5:5" x14ac:dyDescent="0.2">
      <c r="E2080" s="332"/>
    </row>
    <row r="2081" spans="5:5" x14ac:dyDescent="0.2">
      <c r="E2081" s="332"/>
    </row>
    <row r="2082" spans="5:5" x14ac:dyDescent="0.2">
      <c r="E2082" s="332"/>
    </row>
    <row r="2083" spans="5:5" x14ac:dyDescent="0.2">
      <c r="E2083" s="332"/>
    </row>
    <row r="2084" spans="5:5" x14ac:dyDescent="0.2">
      <c r="E2084" s="332"/>
    </row>
    <row r="2085" spans="5:5" x14ac:dyDescent="0.2">
      <c r="E2085" s="332"/>
    </row>
    <row r="2086" spans="5:5" x14ac:dyDescent="0.2">
      <c r="E2086" s="332"/>
    </row>
    <row r="2087" spans="5:5" x14ac:dyDescent="0.2">
      <c r="E2087" s="332"/>
    </row>
    <row r="2088" spans="5:5" x14ac:dyDescent="0.2">
      <c r="E2088" s="332"/>
    </row>
    <row r="2089" spans="5:5" x14ac:dyDescent="0.2">
      <c r="E2089" s="332"/>
    </row>
    <row r="2090" spans="5:5" x14ac:dyDescent="0.2">
      <c r="E2090" s="332"/>
    </row>
    <row r="2091" spans="5:5" x14ac:dyDescent="0.2">
      <c r="E2091" s="332"/>
    </row>
    <row r="2092" spans="5:5" x14ac:dyDescent="0.2">
      <c r="E2092" s="332"/>
    </row>
    <row r="2093" spans="5:5" x14ac:dyDescent="0.2">
      <c r="E2093" s="332"/>
    </row>
    <row r="2094" spans="5:5" x14ac:dyDescent="0.2">
      <c r="E2094" s="332"/>
    </row>
    <row r="2095" spans="5:5" x14ac:dyDescent="0.2">
      <c r="E2095" s="332"/>
    </row>
    <row r="2096" spans="5:5" x14ac:dyDescent="0.2">
      <c r="E2096" s="332"/>
    </row>
    <row r="2097" spans="5:5" x14ac:dyDescent="0.2">
      <c r="E2097" s="332"/>
    </row>
    <row r="2098" spans="5:5" x14ac:dyDescent="0.2">
      <c r="E2098" s="332"/>
    </row>
    <row r="2099" spans="5:5" x14ac:dyDescent="0.2">
      <c r="E2099" s="332"/>
    </row>
    <row r="2100" spans="5:5" x14ac:dyDescent="0.2">
      <c r="E2100" s="332"/>
    </row>
    <row r="2101" spans="5:5" x14ac:dyDescent="0.2">
      <c r="E2101" s="332"/>
    </row>
    <row r="2102" spans="5:5" x14ac:dyDescent="0.2">
      <c r="E2102" s="332"/>
    </row>
    <row r="2103" spans="5:5" x14ac:dyDescent="0.2">
      <c r="E2103" s="332"/>
    </row>
    <row r="2104" spans="5:5" x14ac:dyDescent="0.2">
      <c r="E2104" s="332"/>
    </row>
    <row r="2105" spans="5:5" x14ac:dyDescent="0.2">
      <c r="E2105" s="332"/>
    </row>
    <row r="2106" spans="5:5" x14ac:dyDescent="0.2">
      <c r="E2106" s="332"/>
    </row>
    <row r="2107" spans="5:5" x14ac:dyDescent="0.2">
      <c r="E2107" s="332"/>
    </row>
    <row r="2108" spans="5:5" x14ac:dyDescent="0.2">
      <c r="E2108" s="332"/>
    </row>
    <row r="2109" spans="5:5" x14ac:dyDescent="0.2">
      <c r="E2109" s="332"/>
    </row>
    <row r="2110" spans="5:5" x14ac:dyDescent="0.2">
      <c r="E2110" s="332"/>
    </row>
    <row r="2111" spans="5:5" x14ac:dyDescent="0.2">
      <c r="E2111" s="332"/>
    </row>
    <row r="2112" spans="5:5" x14ac:dyDescent="0.2">
      <c r="E2112" s="332"/>
    </row>
    <row r="2113" spans="5:5" x14ac:dyDescent="0.2">
      <c r="E2113" s="332"/>
    </row>
    <row r="2114" spans="5:5" x14ac:dyDescent="0.2">
      <c r="E2114" s="332"/>
    </row>
    <row r="2115" spans="5:5" x14ac:dyDescent="0.2">
      <c r="E2115" s="332"/>
    </row>
    <row r="2116" spans="5:5" x14ac:dyDescent="0.2">
      <c r="E2116" s="332"/>
    </row>
    <row r="2117" spans="5:5" x14ac:dyDescent="0.2">
      <c r="E2117" s="332"/>
    </row>
    <row r="2118" spans="5:5" x14ac:dyDescent="0.2">
      <c r="E2118" s="332"/>
    </row>
    <row r="2119" spans="5:5" x14ac:dyDescent="0.2">
      <c r="E2119" s="332"/>
    </row>
    <row r="2120" spans="5:5" x14ac:dyDescent="0.2">
      <c r="E2120" s="332"/>
    </row>
    <row r="2121" spans="5:5" x14ac:dyDescent="0.2">
      <c r="E2121" s="332"/>
    </row>
    <row r="2122" spans="5:5" x14ac:dyDescent="0.2">
      <c r="E2122" s="332"/>
    </row>
    <row r="2123" spans="5:5" x14ac:dyDescent="0.2">
      <c r="E2123" s="332"/>
    </row>
    <row r="2124" spans="5:5" x14ac:dyDescent="0.2">
      <c r="E2124" s="332"/>
    </row>
    <row r="2125" spans="5:5" x14ac:dyDescent="0.2">
      <c r="E2125" s="332"/>
    </row>
    <row r="2126" spans="5:5" x14ac:dyDescent="0.2">
      <c r="E2126" s="332"/>
    </row>
    <row r="2127" spans="5:5" x14ac:dyDescent="0.2">
      <c r="E2127" s="332"/>
    </row>
    <row r="2128" spans="5:5" x14ac:dyDescent="0.2">
      <c r="E2128" s="332"/>
    </row>
    <row r="2129" spans="5:5" x14ac:dyDescent="0.2">
      <c r="E2129" s="332"/>
    </row>
    <row r="2130" spans="5:5" x14ac:dyDescent="0.2">
      <c r="E2130" s="332"/>
    </row>
    <row r="2131" spans="5:5" x14ac:dyDescent="0.2">
      <c r="E2131" s="332"/>
    </row>
    <row r="2132" spans="5:5" x14ac:dyDescent="0.2">
      <c r="E2132" s="332"/>
    </row>
    <row r="2133" spans="5:5" x14ac:dyDescent="0.2">
      <c r="E2133" s="332"/>
    </row>
    <row r="2134" spans="5:5" x14ac:dyDescent="0.2">
      <c r="E2134" s="332"/>
    </row>
    <row r="2135" spans="5:5" x14ac:dyDescent="0.2">
      <c r="E2135" s="332"/>
    </row>
    <row r="2136" spans="5:5" x14ac:dyDescent="0.2">
      <c r="E2136" s="332"/>
    </row>
    <row r="2137" spans="5:5" x14ac:dyDescent="0.2">
      <c r="E2137" s="332"/>
    </row>
    <row r="2138" spans="5:5" x14ac:dyDescent="0.2">
      <c r="E2138" s="332"/>
    </row>
    <row r="2139" spans="5:5" x14ac:dyDescent="0.2">
      <c r="E2139" s="332"/>
    </row>
    <row r="2140" spans="5:5" x14ac:dyDescent="0.2">
      <c r="E2140" s="332"/>
    </row>
    <row r="2141" spans="5:5" x14ac:dyDescent="0.2">
      <c r="E2141" s="332"/>
    </row>
    <row r="2142" spans="5:5" x14ac:dyDescent="0.2">
      <c r="E2142" s="332"/>
    </row>
    <row r="2143" spans="5:5" x14ac:dyDescent="0.2">
      <c r="E2143" s="332"/>
    </row>
    <row r="2144" spans="5:5" x14ac:dyDescent="0.2">
      <c r="E2144" s="332"/>
    </row>
    <row r="2145" spans="5:5" x14ac:dyDescent="0.2">
      <c r="E2145" s="332"/>
    </row>
    <row r="2146" spans="5:5" x14ac:dyDescent="0.2">
      <c r="E2146" s="332"/>
    </row>
    <row r="2147" spans="5:5" x14ac:dyDescent="0.2">
      <c r="E2147" s="332"/>
    </row>
    <row r="2148" spans="5:5" x14ac:dyDescent="0.2">
      <c r="E2148" s="332"/>
    </row>
    <row r="2149" spans="5:5" x14ac:dyDescent="0.2">
      <c r="E2149" s="332"/>
    </row>
    <row r="2150" spans="5:5" x14ac:dyDescent="0.2">
      <c r="E2150" s="332"/>
    </row>
    <row r="2151" spans="5:5" x14ac:dyDescent="0.2">
      <c r="E2151" s="332"/>
    </row>
    <row r="2152" spans="5:5" x14ac:dyDescent="0.2">
      <c r="E2152" s="332"/>
    </row>
    <row r="2153" spans="5:5" x14ac:dyDescent="0.2">
      <c r="E2153" s="332"/>
    </row>
    <row r="2154" spans="5:5" x14ac:dyDescent="0.2">
      <c r="E2154" s="332"/>
    </row>
    <row r="2155" spans="5:5" x14ac:dyDescent="0.2">
      <c r="E2155" s="332"/>
    </row>
    <row r="2156" spans="5:5" x14ac:dyDescent="0.2">
      <c r="E2156" s="332"/>
    </row>
    <row r="2157" spans="5:5" x14ac:dyDescent="0.2">
      <c r="E2157" s="332"/>
    </row>
    <row r="2158" spans="5:5" x14ac:dyDescent="0.2">
      <c r="E2158" s="332"/>
    </row>
    <row r="2159" spans="5:5" x14ac:dyDescent="0.2">
      <c r="E2159" s="332"/>
    </row>
    <row r="2160" spans="5:5" x14ac:dyDescent="0.2">
      <c r="E2160" s="332"/>
    </row>
    <row r="2161" spans="5:5" x14ac:dyDescent="0.2">
      <c r="E2161" s="332"/>
    </row>
    <row r="2162" spans="5:5" x14ac:dyDescent="0.2">
      <c r="E2162" s="332"/>
    </row>
    <row r="2163" spans="5:5" x14ac:dyDescent="0.2">
      <c r="E2163" s="332"/>
    </row>
    <row r="2164" spans="5:5" x14ac:dyDescent="0.2">
      <c r="E2164" s="332"/>
    </row>
    <row r="2165" spans="5:5" x14ac:dyDescent="0.2">
      <c r="E2165" s="332"/>
    </row>
    <row r="2166" spans="5:5" x14ac:dyDescent="0.2">
      <c r="E2166" s="332"/>
    </row>
    <row r="2167" spans="5:5" x14ac:dyDescent="0.2">
      <c r="E2167" s="332"/>
    </row>
    <row r="2168" spans="5:5" x14ac:dyDescent="0.2">
      <c r="E2168" s="332"/>
    </row>
    <row r="2169" spans="5:5" x14ac:dyDescent="0.2">
      <c r="E2169" s="332"/>
    </row>
    <row r="2170" spans="5:5" x14ac:dyDescent="0.2">
      <c r="E2170" s="332"/>
    </row>
    <row r="2171" spans="5:5" x14ac:dyDescent="0.2">
      <c r="E2171" s="332"/>
    </row>
    <row r="2172" spans="5:5" x14ac:dyDescent="0.2">
      <c r="E2172" s="332"/>
    </row>
    <row r="2173" spans="5:5" x14ac:dyDescent="0.2">
      <c r="E2173" s="332"/>
    </row>
    <row r="2174" spans="5:5" x14ac:dyDescent="0.2">
      <c r="E2174" s="332"/>
    </row>
    <row r="2175" spans="5:5" x14ac:dyDescent="0.2">
      <c r="E2175" s="332"/>
    </row>
    <row r="2176" spans="5:5" x14ac:dyDescent="0.2">
      <c r="E2176" s="332"/>
    </row>
    <row r="2177" spans="5:5" x14ac:dyDescent="0.2">
      <c r="E2177" s="332"/>
    </row>
    <row r="2178" spans="5:5" x14ac:dyDescent="0.2">
      <c r="E2178" s="332"/>
    </row>
    <row r="2179" spans="5:5" x14ac:dyDescent="0.2">
      <c r="E2179" s="332"/>
    </row>
    <row r="2180" spans="5:5" x14ac:dyDescent="0.2">
      <c r="E2180" s="332"/>
    </row>
    <row r="2181" spans="5:5" x14ac:dyDescent="0.2">
      <c r="E2181" s="332"/>
    </row>
    <row r="2182" spans="5:5" x14ac:dyDescent="0.2">
      <c r="E2182" s="332"/>
    </row>
    <row r="2183" spans="5:5" x14ac:dyDescent="0.2">
      <c r="E2183" s="332"/>
    </row>
    <row r="2184" spans="5:5" x14ac:dyDescent="0.2">
      <c r="E2184" s="332"/>
    </row>
    <row r="2185" spans="5:5" x14ac:dyDescent="0.2">
      <c r="E2185" s="332"/>
    </row>
    <row r="2186" spans="5:5" x14ac:dyDescent="0.2">
      <c r="E2186" s="332"/>
    </row>
    <row r="2187" spans="5:5" x14ac:dyDescent="0.2">
      <c r="E2187" s="332"/>
    </row>
    <row r="2188" spans="5:5" x14ac:dyDescent="0.2">
      <c r="E2188" s="332"/>
    </row>
    <row r="2189" spans="5:5" x14ac:dyDescent="0.2">
      <c r="E2189" s="332"/>
    </row>
    <row r="2190" spans="5:5" x14ac:dyDescent="0.2">
      <c r="E2190" s="332"/>
    </row>
    <row r="2191" spans="5:5" x14ac:dyDescent="0.2">
      <c r="E2191" s="332"/>
    </row>
    <row r="2192" spans="5:5" x14ac:dyDescent="0.2">
      <c r="E2192" s="332"/>
    </row>
    <row r="2193" spans="5:5" x14ac:dyDescent="0.2">
      <c r="E2193" s="332"/>
    </row>
    <row r="2194" spans="5:5" x14ac:dyDescent="0.2">
      <c r="E2194" s="332"/>
    </row>
    <row r="2195" spans="5:5" x14ac:dyDescent="0.2">
      <c r="E2195" s="332"/>
    </row>
    <row r="2196" spans="5:5" x14ac:dyDescent="0.2">
      <c r="E2196" s="332"/>
    </row>
    <row r="2197" spans="5:5" x14ac:dyDescent="0.2">
      <c r="E2197" s="332"/>
    </row>
    <row r="2198" spans="5:5" x14ac:dyDescent="0.2">
      <c r="E2198" s="332"/>
    </row>
    <row r="2199" spans="5:5" x14ac:dyDescent="0.2">
      <c r="E2199" s="332"/>
    </row>
    <row r="2200" spans="5:5" x14ac:dyDescent="0.2">
      <c r="E2200" s="332"/>
    </row>
    <row r="2201" spans="5:5" x14ac:dyDescent="0.2">
      <c r="E2201" s="332"/>
    </row>
    <row r="2202" spans="5:5" x14ac:dyDescent="0.2">
      <c r="E2202" s="332"/>
    </row>
    <row r="2203" spans="5:5" x14ac:dyDescent="0.2">
      <c r="E2203" s="332"/>
    </row>
    <row r="2204" spans="5:5" x14ac:dyDescent="0.2">
      <c r="E2204" s="332"/>
    </row>
    <row r="2205" spans="5:5" x14ac:dyDescent="0.2">
      <c r="E2205" s="332"/>
    </row>
    <row r="2206" spans="5:5" x14ac:dyDescent="0.2">
      <c r="E2206" s="332"/>
    </row>
    <row r="2207" spans="5:5" x14ac:dyDescent="0.2">
      <c r="E2207" s="332"/>
    </row>
    <row r="2208" spans="5:5" x14ac:dyDescent="0.2">
      <c r="E2208" s="332"/>
    </row>
    <row r="2209" spans="5:5" x14ac:dyDescent="0.2">
      <c r="E2209" s="332"/>
    </row>
    <row r="2210" spans="5:5" x14ac:dyDescent="0.2">
      <c r="E2210" s="332"/>
    </row>
    <row r="2211" spans="5:5" x14ac:dyDescent="0.2">
      <c r="E2211" s="332"/>
    </row>
    <row r="2212" spans="5:5" x14ac:dyDescent="0.2">
      <c r="E2212" s="332"/>
    </row>
    <row r="2213" spans="5:5" x14ac:dyDescent="0.2">
      <c r="E2213" s="332"/>
    </row>
    <row r="2214" spans="5:5" x14ac:dyDescent="0.2">
      <c r="E2214" s="332"/>
    </row>
    <row r="2215" spans="5:5" x14ac:dyDescent="0.2">
      <c r="E2215" s="332"/>
    </row>
    <row r="2216" spans="5:5" x14ac:dyDescent="0.2">
      <c r="E2216" s="332"/>
    </row>
    <row r="2217" spans="5:5" x14ac:dyDescent="0.2">
      <c r="E2217" s="332"/>
    </row>
    <row r="2218" spans="5:5" x14ac:dyDescent="0.2">
      <c r="E2218" s="332"/>
    </row>
    <row r="2219" spans="5:5" x14ac:dyDescent="0.2">
      <c r="E2219" s="332"/>
    </row>
    <row r="2220" spans="5:5" x14ac:dyDescent="0.2">
      <c r="E2220" s="332"/>
    </row>
    <row r="2221" spans="5:5" x14ac:dyDescent="0.2">
      <c r="E2221" s="332"/>
    </row>
    <row r="2222" spans="5:5" x14ac:dyDescent="0.2">
      <c r="E2222" s="332"/>
    </row>
    <row r="2223" spans="5:5" x14ac:dyDescent="0.2">
      <c r="E2223" s="332"/>
    </row>
    <row r="2224" spans="5:5" x14ac:dyDescent="0.2">
      <c r="E2224" s="332"/>
    </row>
    <row r="2225" spans="5:5" x14ac:dyDescent="0.2">
      <c r="E2225" s="332"/>
    </row>
    <row r="2226" spans="5:5" x14ac:dyDescent="0.2">
      <c r="E2226" s="332"/>
    </row>
    <row r="2227" spans="5:5" x14ac:dyDescent="0.2">
      <c r="E2227" s="332"/>
    </row>
    <row r="2228" spans="5:5" x14ac:dyDescent="0.2">
      <c r="E2228" s="332"/>
    </row>
    <row r="2229" spans="5:5" x14ac:dyDescent="0.2">
      <c r="E2229" s="332"/>
    </row>
    <row r="2230" spans="5:5" x14ac:dyDescent="0.2">
      <c r="E2230" s="332"/>
    </row>
    <row r="2231" spans="5:5" x14ac:dyDescent="0.2">
      <c r="E2231" s="332"/>
    </row>
    <row r="2232" spans="5:5" x14ac:dyDescent="0.2">
      <c r="E2232" s="332"/>
    </row>
    <row r="2233" spans="5:5" x14ac:dyDescent="0.2">
      <c r="E2233" s="332"/>
    </row>
    <row r="2234" spans="5:5" x14ac:dyDescent="0.2">
      <c r="E2234" s="332"/>
    </row>
    <row r="2235" spans="5:5" x14ac:dyDescent="0.2">
      <c r="E2235" s="332"/>
    </row>
    <row r="2236" spans="5:5" x14ac:dyDescent="0.2">
      <c r="E2236" s="332"/>
    </row>
    <row r="2237" spans="5:5" x14ac:dyDescent="0.2">
      <c r="E2237" s="332"/>
    </row>
    <row r="2238" spans="5:5" x14ac:dyDescent="0.2">
      <c r="E2238" s="332"/>
    </row>
    <row r="2239" spans="5:5" x14ac:dyDescent="0.2">
      <c r="E2239" s="332"/>
    </row>
    <row r="2240" spans="5:5" x14ac:dyDescent="0.2">
      <c r="E2240" s="332"/>
    </row>
    <row r="2241" spans="5:5" x14ac:dyDescent="0.2">
      <c r="E2241" s="332"/>
    </row>
    <row r="2242" spans="5:5" x14ac:dyDescent="0.2">
      <c r="E2242" s="332"/>
    </row>
    <row r="2243" spans="5:5" x14ac:dyDescent="0.2">
      <c r="E2243" s="332"/>
    </row>
    <row r="2244" spans="5:5" x14ac:dyDescent="0.2">
      <c r="E2244" s="332"/>
    </row>
    <row r="2245" spans="5:5" x14ac:dyDescent="0.2">
      <c r="E2245" s="332"/>
    </row>
    <row r="2246" spans="5:5" x14ac:dyDescent="0.2">
      <c r="E2246" s="332"/>
    </row>
    <row r="2247" spans="5:5" x14ac:dyDescent="0.2">
      <c r="E2247" s="332"/>
    </row>
    <row r="2248" spans="5:5" x14ac:dyDescent="0.2">
      <c r="E2248" s="332"/>
    </row>
    <row r="2249" spans="5:5" x14ac:dyDescent="0.2">
      <c r="E2249" s="332"/>
    </row>
    <row r="2250" spans="5:5" x14ac:dyDescent="0.2">
      <c r="E2250" s="332"/>
    </row>
    <row r="2251" spans="5:5" x14ac:dyDescent="0.2">
      <c r="E2251" s="332"/>
    </row>
    <row r="2252" spans="5:5" x14ac:dyDescent="0.2">
      <c r="E2252" s="332"/>
    </row>
    <row r="2253" spans="5:5" x14ac:dyDescent="0.2">
      <c r="E2253" s="332"/>
    </row>
    <row r="2254" spans="5:5" x14ac:dyDescent="0.2">
      <c r="E2254" s="332"/>
    </row>
    <row r="2255" spans="5:5" x14ac:dyDescent="0.2">
      <c r="E2255" s="332"/>
    </row>
    <row r="2256" spans="5:5" x14ac:dyDescent="0.2">
      <c r="E2256" s="332"/>
    </row>
    <row r="2257" spans="5:5" x14ac:dyDescent="0.2">
      <c r="E2257" s="332"/>
    </row>
    <row r="2258" spans="5:5" x14ac:dyDescent="0.2">
      <c r="E2258" s="332"/>
    </row>
    <row r="2259" spans="5:5" x14ac:dyDescent="0.2">
      <c r="E2259" s="332"/>
    </row>
    <row r="2260" spans="5:5" x14ac:dyDescent="0.2">
      <c r="E2260" s="332"/>
    </row>
    <row r="2261" spans="5:5" x14ac:dyDescent="0.2">
      <c r="E2261" s="332"/>
    </row>
    <row r="2262" spans="5:5" x14ac:dyDescent="0.2">
      <c r="E2262" s="332"/>
    </row>
    <row r="2263" spans="5:5" x14ac:dyDescent="0.2">
      <c r="E2263" s="332"/>
    </row>
    <row r="2264" spans="5:5" x14ac:dyDescent="0.2">
      <c r="E2264" s="332"/>
    </row>
    <row r="2265" spans="5:5" x14ac:dyDescent="0.2">
      <c r="E2265" s="332"/>
    </row>
    <row r="2266" spans="5:5" x14ac:dyDescent="0.2">
      <c r="E2266" s="332"/>
    </row>
    <row r="2267" spans="5:5" x14ac:dyDescent="0.2">
      <c r="E2267" s="332"/>
    </row>
    <row r="2268" spans="5:5" x14ac:dyDescent="0.2">
      <c r="E2268" s="332"/>
    </row>
    <row r="2269" spans="5:5" x14ac:dyDescent="0.2">
      <c r="E2269" s="332"/>
    </row>
    <row r="2270" spans="5:5" x14ac:dyDescent="0.2">
      <c r="E2270" s="332"/>
    </row>
    <row r="2271" spans="5:5" x14ac:dyDescent="0.2">
      <c r="E2271" s="332"/>
    </row>
    <row r="2272" spans="5:5" x14ac:dyDescent="0.2">
      <c r="E2272" s="332"/>
    </row>
    <row r="2273" spans="5:5" x14ac:dyDescent="0.2">
      <c r="E2273" s="332"/>
    </row>
    <row r="2274" spans="5:5" x14ac:dyDescent="0.2">
      <c r="E2274" s="332"/>
    </row>
    <row r="2275" spans="5:5" x14ac:dyDescent="0.2">
      <c r="E2275" s="332"/>
    </row>
    <row r="2276" spans="5:5" x14ac:dyDescent="0.2">
      <c r="E2276" s="332"/>
    </row>
    <row r="2277" spans="5:5" x14ac:dyDescent="0.2">
      <c r="E2277" s="332"/>
    </row>
    <row r="2278" spans="5:5" x14ac:dyDescent="0.2">
      <c r="E2278" s="332"/>
    </row>
    <row r="2279" spans="5:5" x14ac:dyDescent="0.2">
      <c r="E2279" s="332"/>
    </row>
    <row r="2280" spans="5:5" x14ac:dyDescent="0.2">
      <c r="E2280" s="332"/>
    </row>
    <row r="2281" spans="5:5" x14ac:dyDescent="0.2">
      <c r="E2281" s="332"/>
    </row>
    <row r="2282" spans="5:5" x14ac:dyDescent="0.2">
      <c r="E2282" s="332"/>
    </row>
    <row r="2283" spans="5:5" x14ac:dyDescent="0.2">
      <c r="E2283" s="332"/>
    </row>
    <row r="2284" spans="5:5" x14ac:dyDescent="0.2">
      <c r="E2284" s="332"/>
    </row>
    <row r="2285" spans="5:5" x14ac:dyDescent="0.2">
      <c r="E2285" s="332"/>
    </row>
    <row r="2286" spans="5:5" x14ac:dyDescent="0.2">
      <c r="E2286" s="332"/>
    </row>
    <row r="2287" spans="5:5" x14ac:dyDescent="0.2">
      <c r="E2287" s="332"/>
    </row>
    <row r="2288" spans="5:5" x14ac:dyDescent="0.2">
      <c r="E2288" s="332"/>
    </row>
    <row r="2289" spans="5:5" x14ac:dyDescent="0.2">
      <c r="E2289" s="332"/>
    </row>
    <row r="2290" spans="5:5" x14ac:dyDescent="0.2">
      <c r="E2290" s="332"/>
    </row>
    <row r="2291" spans="5:5" x14ac:dyDescent="0.2">
      <c r="E2291" s="332"/>
    </row>
    <row r="2292" spans="5:5" x14ac:dyDescent="0.2">
      <c r="E2292" s="332"/>
    </row>
    <row r="2293" spans="5:5" x14ac:dyDescent="0.2">
      <c r="E2293" s="332"/>
    </row>
    <row r="2294" spans="5:5" x14ac:dyDescent="0.2">
      <c r="E2294" s="332"/>
    </row>
    <row r="2295" spans="5:5" x14ac:dyDescent="0.2">
      <c r="E2295" s="332"/>
    </row>
    <row r="2296" spans="5:5" x14ac:dyDescent="0.2">
      <c r="E2296" s="332"/>
    </row>
    <row r="2297" spans="5:5" x14ac:dyDescent="0.2">
      <c r="E2297" s="332"/>
    </row>
    <row r="2298" spans="5:5" x14ac:dyDescent="0.2">
      <c r="E2298" s="332"/>
    </row>
    <row r="2299" spans="5:5" x14ac:dyDescent="0.2">
      <c r="E2299" s="332"/>
    </row>
    <row r="2300" spans="5:5" x14ac:dyDescent="0.2">
      <c r="E2300" s="332"/>
    </row>
    <row r="2301" spans="5:5" x14ac:dyDescent="0.2">
      <c r="E2301" s="332"/>
    </row>
    <row r="2302" spans="5:5" x14ac:dyDescent="0.2">
      <c r="E2302" s="332"/>
    </row>
    <row r="2303" spans="5:5" x14ac:dyDescent="0.2">
      <c r="E2303" s="332"/>
    </row>
    <row r="2304" spans="5:5" x14ac:dyDescent="0.2">
      <c r="E2304" s="332"/>
    </row>
    <row r="2305" spans="5:5" x14ac:dyDescent="0.2">
      <c r="E2305" s="332"/>
    </row>
    <row r="2306" spans="5:5" x14ac:dyDescent="0.2">
      <c r="E2306" s="332"/>
    </row>
    <row r="2307" spans="5:5" x14ac:dyDescent="0.2">
      <c r="E2307" s="332"/>
    </row>
    <row r="2308" spans="5:5" x14ac:dyDescent="0.2">
      <c r="E2308" s="332"/>
    </row>
    <row r="2309" spans="5:5" x14ac:dyDescent="0.2">
      <c r="E2309" s="332"/>
    </row>
    <row r="2310" spans="5:5" x14ac:dyDescent="0.2">
      <c r="E2310" s="332"/>
    </row>
    <row r="2311" spans="5:5" x14ac:dyDescent="0.2">
      <c r="E2311" s="332"/>
    </row>
    <row r="2312" spans="5:5" x14ac:dyDescent="0.2">
      <c r="E2312" s="332"/>
    </row>
    <row r="2313" spans="5:5" x14ac:dyDescent="0.2">
      <c r="E2313" s="332"/>
    </row>
    <row r="2314" spans="5:5" x14ac:dyDescent="0.2">
      <c r="E2314" s="332"/>
    </row>
    <row r="2315" spans="5:5" x14ac:dyDescent="0.2">
      <c r="E2315" s="332"/>
    </row>
    <row r="2316" spans="5:5" x14ac:dyDescent="0.2">
      <c r="E2316" s="332"/>
    </row>
    <row r="2317" spans="5:5" x14ac:dyDescent="0.2">
      <c r="E2317" s="332"/>
    </row>
    <row r="2318" spans="5:5" x14ac:dyDescent="0.2">
      <c r="E2318" s="332"/>
    </row>
    <row r="2319" spans="5:5" x14ac:dyDescent="0.2">
      <c r="E2319" s="332"/>
    </row>
    <row r="2320" spans="5:5" x14ac:dyDescent="0.2">
      <c r="E2320" s="332"/>
    </row>
    <row r="2321" spans="5:5" x14ac:dyDescent="0.2">
      <c r="E2321" s="332"/>
    </row>
    <row r="2322" spans="5:5" x14ac:dyDescent="0.2">
      <c r="E2322" s="332"/>
    </row>
    <row r="2323" spans="5:5" x14ac:dyDescent="0.2">
      <c r="E2323" s="332"/>
    </row>
    <row r="2324" spans="5:5" x14ac:dyDescent="0.2">
      <c r="E2324" s="332"/>
    </row>
    <row r="2325" spans="5:5" x14ac:dyDescent="0.2">
      <c r="E2325" s="332"/>
    </row>
    <row r="2326" spans="5:5" x14ac:dyDescent="0.2">
      <c r="E2326" s="332"/>
    </row>
    <row r="2327" spans="5:5" x14ac:dyDescent="0.2">
      <c r="E2327" s="332"/>
    </row>
    <row r="2328" spans="5:5" x14ac:dyDescent="0.2">
      <c r="E2328" s="332"/>
    </row>
    <row r="2329" spans="5:5" x14ac:dyDescent="0.2">
      <c r="E2329" s="332"/>
    </row>
    <row r="2330" spans="5:5" x14ac:dyDescent="0.2">
      <c r="E2330" s="332"/>
    </row>
    <row r="2331" spans="5:5" x14ac:dyDescent="0.2">
      <c r="E2331" s="332"/>
    </row>
    <row r="2332" spans="5:5" x14ac:dyDescent="0.2">
      <c r="E2332" s="332"/>
    </row>
    <row r="2333" spans="5:5" x14ac:dyDescent="0.2">
      <c r="E2333" s="332"/>
    </row>
    <row r="2334" spans="5:5" x14ac:dyDescent="0.2">
      <c r="E2334" s="332"/>
    </row>
    <row r="2335" spans="5:5" x14ac:dyDescent="0.2">
      <c r="E2335" s="332"/>
    </row>
    <row r="2336" spans="5:5" x14ac:dyDescent="0.2">
      <c r="E2336" s="332"/>
    </row>
    <row r="2337" spans="5:5" x14ac:dyDescent="0.2">
      <c r="E2337" s="332"/>
    </row>
    <row r="2338" spans="5:5" x14ac:dyDescent="0.2">
      <c r="E2338" s="332"/>
    </row>
    <row r="2339" spans="5:5" x14ac:dyDescent="0.2">
      <c r="E2339" s="332"/>
    </row>
    <row r="2340" spans="5:5" x14ac:dyDescent="0.2">
      <c r="E2340" s="332"/>
    </row>
    <row r="2341" spans="5:5" x14ac:dyDescent="0.2">
      <c r="E2341" s="332"/>
    </row>
    <row r="2342" spans="5:5" x14ac:dyDescent="0.2">
      <c r="E2342" s="332"/>
    </row>
    <row r="2343" spans="5:5" x14ac:dyDescent="0.2">
      <c r="E2343" s="332"/>
    </row>
    <row r="2344" spans="5:5" x14ac:dyDescent="0.2">
      <c r="E2344" s="332"/>
    </row>
    <row r="2345" spans="5:5" x14ac:dyDescent="0.2">
      <c r="E2345" s="332"/>
    </row>
    <row r="2346" spans="5:5" x14ac:dyDescent="0.2">
      <c r="E2346" s="332"/>
    </row>
    <row r="2347" spans="5:5" x14ac:dyDescent="0.2">
      <c r="E2347" s="332"/>
    </row>
    <row r="2348" spans="5:5" x14ac:dyDescent="0.2">
      <c r="E2348" s="332"/>
    </row>
    <row r="2349" spans="5:5" x14ac:dyDescent="0.2">
      <c r="E2349" s="332"/>
    </row>
    <row r="2350" spans="5:5" x14ac:dyDescent="0.2">
      <c r="E2350" s="332"/>
    </row>
    <row r="2351" spans="5:5" x14ac:dyDescent="0.2">
      <c r="E2351" s="332"/>
    </row>
    <row r="2352" spans="5:5" x14ac:dyDescent="0.2">
      <c r="E2352" s="332"/>
    </row>
    <row r="2353" spans="5:5" x14ac:dyDescent="0.2">
      <c r="E2353" s="332"/>
    </row>
    <row r="2354" spans="5:5" x14ac:dyDescent="0.2">
      <c r="E2354" s="332"/>
    </row>
    <row r="2355" spans="5:5" x14ac:dyDescent="0.2">
      <c r="E2355" s="332"/>
    </row>
    <row r="2356" spans="5:5" x14ac:dyDescent="0.2">
      <c r="E2356" s="332"/>
    </row>
    <row r="2357" spans="5:5" x14ac:dyDescent="0.2">
      <c r="E2357" s="332"/>
    </row>
    <row r="2358" spans="5:5" x14ac:dyDescent="0.2">
      <c r="E2358" s="332"/>
    </row>
    <row r="2359" spans="5:5" x14ac:dyDescent="0.2">
      <c r="E2359" s="332"/>
    </row>
    <row r="2360" spans="5:5" x14ac:dyDescent="0.2">
      <c r="E2360" s="332"/>
    </row>
    <row r="2361" spans="5:5" x14ac:dyDescent="0.2">
      <c r="E2361" s="332"/>
    </row>
    <row r="2362" spans="5:5" x14ac:dyDescent="0.2">
      <c r="E2362" s="332"/>
    </row>
    <row r="2363" spans="5:5" x14ac:dyDescent="0.2">
      <c r="E2363" s="332"/>
    </row>
    <row r="2364" spans="5:5" x14ac:dyDescent="0.2">
      <c r="E2364" s="332"/>
    </row>
    <row r="2365" spans="5:5" x14ac:dyDescent="0.2">
      <c r="E2365" s="332"/>
    </row>
    <row r="2366" spans="5:5" x14ac:dyDescent="0.2">
      <c r="E2366" s="332"/>
    </row>
    <row r="2367" spans="5:5" x14ac:dyDescent="0.2">
      <c r="E2367" s="332"/>
    </row>
    <row r="2368" spans="5:5" x14ac:dyDescent="0.2">
      <c r="E2368" s="332"/>
    </row>
    <row r="2369" spans="5:5" x14ac:dyDescent="0.2">
      <c r="E2369" s="332"/>
    </row>
    <row r="2370" spans="5:5" x14ac:dyDescent="0.2">
      <c r="E2370" s="332"/>
    </row>
    <row r="2371" spans="5:5" x14ac:dyDescent="0.2">
      <c r="E2371" s="332"/>
    </row>
    <row r="2372" spans="5:5" x14ac:dyDescent="0.2">
      <c r="E2372" s="332"/>
    </row>
    <row r="2373" spans="5:5" x14ac:dyDescent="0.2">
      <c r="E2373" s="332"/>
    </row>
    <row r="2374" spans="5:5" x14ac:dyDescent="0.2">
      <c r="E2374" s="332"/>
    </row>
    <row r="2375" spans="5:5" x14ac:dyDescent="0.2">
      <c r="E2375" s="332"/>
    </row>
    <row r="2376" spans="5:5" x14ac:dyDescent="0.2">
      <c r="E2376" s="332"/>
    </row>
    <row r="2377" spans="5:5" x14ac:dyDescent="0.2">
      <c r="E2377" s="332"/>
    </row>
    <row r="2378" spans="5:5" x14ac:dyDescent="0.2">
      <c r="E2378" s="332"/>
    </row>
    <row r="2379" spans="5:5" x14ac:dyDescent="0.2">
      <c r="E2379" s="332"/>
    </row>
    <row r="2380" spans="5:5" x14ac:dyDescent="0.2">
      <c r="E2380" s="332"/>
    </row>
    <row r="2381" spans="5:5" x14ac:dyDescent="0.2">
      <c r="E2381" s="332"/>
    </row>
    <row r="2382" spans="5:5" x14ac:dyDescent="0.2">
      <c r="E2382" s="332"/>
    </row>
    <row r="2383" spans="5:5" x14ac:dyDescent="0.2">
      <c r="E2383" s="332"/>
    </row>
    <row r="2384" spans="5:5" x14ac:dyDescent="0.2">
      <c r="E2384" s="332"/>
    </row>
    <row r="2385" spans="5:5" x14ac:dyDescent="0.2">
      <c r="E2385" s="332"/>
    </row>
    <row r="2386" spans="5:5" x14ac:dyDescent="0.2">
      <c r="E2386" s="332"/>
    </row>
    <row r="2387" spans="5:5" x14ac:dyDescent="0.2">
      <c r="E2387" s="332"/>
    </row>
    <row r="2388" spans="5:5" x14ac:dyDescent="0.2">
      <c r="E2388" s="332"/>
    </row>
    <row r="2389" spans="5:5" x14ac:dyDescent="0.2">
      <c r="E2389" s="332"/>
    </row>
    <row r="2390" spans="5:5" x14ac:dyDescent="0.2">
      <c r="E2390" s="332"/>
    </row>
    <row r="2391" spans="5:5" x14ac:dyDescent="0.2">
      <c r="E2391" s="332"/>
    </row>
    <row r="2392" spans="5:5" x14ac:dyDescent="0.2">
      <c r="E2392" s="332"/>
    </row>
    <row r="2393" spans="5:5" x14ac:dyDescent="0.2">
      <c r="E2393" s="332"/>
    </row>
    <row r="2394" spans="5:5" x14ac:dyDescent="0.2">
      <c r="E2394" s="332"/>
    </row>
    <row r="2395" spans="5:5" x14ac:dyDescent="0.2">
      <c r="E2395" s="332"/>
    </row>
    <row r="2396" spans="5:5" x14ac:dyDescent="0.2">
      <c r="E2396" s="332"/>
    </row>
    <row r="2397" spans="5:5" x14ac:dyDescent="0.2">
      <c r="E2397" s="332"/>
    </row>
    <row r="2398" spans="5:5" x14ac:dyDescent="0.2">
      <c r="E2398" s="332"/>
    </row>
    <row r="2399" spans="5:5" x14ac:dyDescent="0.2">
      <c r="E2399" s="332"/>
    </row>
    <row r="2400" spans="5:5" x14ac:dyDescent="0.2">
      <c r="E2400" s="332"/>
    </row>
    <row r="2401" spans="5:5" x14ac:dyDescent="0.2">
      <c r="E2401" s="332"/>
    </row>
    <row r="2402" spans="5:5" x14ac:dyDescent="0.2">
      <c r="E2402" s="332"/>
    </row>
    <row r="2403" spans="5:5" x14ac:dyDescent="0.2">
      <c r="E2403" s="332"/>
    </row>
    <row r="2404" spans="5:5" x14ac:dyDescent="0.2">
      <c r="E2404" s="332"/>
    </row>
    <row r="2405" spans="5:5" x14ac:dyDescent="0.2">
      <c r="E2405" s="332"/>
    </row>
    <row r="2406" spans="5:5" x14ac:dyDescent="0.2">
      <c r="E2406" s="332"/>
    </row>
    <row r="2407" spans="5:5" x14ac:dyDescent="0.2">
      <c r="E2407" s="332"/>
    </row>
    <row r="2408" spans="5:5" x14ac:dyDescent="0.2">
      <c r="E2408" s="332"/>
    </row>
    <row r="2409" spans="5:5" x14ac:dyDescent="0.2">
      <c r="E2409" s="332"/>
    </row>
    <row r="2410" spans="5:5" x14ac:dyDescent="0.2">
      <c r="E2410" s="332"/>
    </row>
    <row r="2411" spans="5:5" x14ac:dyDescent="0.2">
      <c r="E2411" s="332"/>
    </row>
    <row r="2412" spans="5:5" x14ac:dyDescent="0.2">
      <c r="E2412" s="332"/>
    </row>
    <row r="2413" spans="5:5" x14ac:dyDescent="0.2">
      <c r="E2413" s="332"/>
    </row>
    <row r="2414" spans="5:5" x14ac:dyDescent="0.2">
      <c r="E2414" s="332"/>
    </row>
    <row r="2415" spans="5:5" x14ac:dyDescent="0.2">
      <c r="E2415" s="332"/>
    </row>
    <row r="2416" spans="5:5" x14ac:dyDescent="0.2">
      <c r="E2416" s="332"/>
    </row>
    <row r="2417" spans="5:5" x14ac:dyDescent="0.2">
      <c r="E2417" s="332"/>
    </row>
    <row r="2418" spans="5:5" x14ac:dyDescent="0.2">
      <c r="E2418" s="332"/>
    </row>
    <row r="2419" spans="5:5" x14ac:dyDescent="0.2">
      <c r="E2419" s="332"/>
    </row>
    <row r="2420" spans="5:5" x14ac:dyDescent="0.2">
      <c r="E2420" s="332"/>
    </row>
    <row r="2421" spans="5:5" x14ac:dyDescent="0.2">
      <c r="E2421" s="332"/>
    </row>
    <row r="2422" spans="5:5" x14ac:dyDescent="0.2">
      <c r="E2422" s="332"/>
    </row>
    <row r="2423" spans="5:5" x14ac:dyDescent="0.2">
      <c r="E2423" s="332"/>
    </row>
    <row r="2424" spans="5:5" x14ac:dyDescent="0.2">
      <c r="E2424" s="332"/>
    </row>
    <row r="2425" spans="5:5" x14ac:dyDescent="0.2">
      <c r="E2425" s="332"/>
    </row>
    <row r="2426" spans="5:5" x14ac:dyDescent="0.2">
      <c r="E2426" s="332"/>
    </row>
    <row r="2427" spans="5:5" x14ac:dyDescent="0.2">
      <c r="E2427" s="332"/>
    </row>
    <row r="2428" spans="5:5" x14ac:dyDescent="0.2">
      <c r="E2428" s="332"/>
    </row>
    <row r="2429" spans="5:5" x14ac:dyDescent="0.2">
      <c r="E2429" s="332"/>
    </row>
    <row r="2430" spans="5:5" x14ac:dyDescent="0.2">
      <c r="E2430" s="332"/>
    </row>
    <row r="2431" spans="5:5" x14ac:dyDescent="0.2">
      <c r="E2431" s="332"/>
    </row>
    <row r="2432" spans="5:5" x14ac:dyDescent="0.2">
      <c r="E2432" s="332"/>
    </row>
    <row r="2433" spans="5:5" x14ac:dyDescent="0.2">
      <c r="E2433" s="332"/>
    </row>
    <row r="2434" spans="5:5" x14ac:dyDescent="0.2">
      <c r="E2434" s="332"/>
    </row>
    <row r="2435" spans="5:5" x14ac:dyDescent="0.2">
      <c r="E2435" s="332"/>
    </row>
    <row r="2436" spans="5:5" x14ac:dyDescent="0.2">
      <c r="E2436" s="332"/>
    </row>
    <row r="2437" spans="5:5" x14ac:dyDescent="0.2">
      <c r="E2437" s="332"/>
    </row>
    <row r="2438" spans="5:5" x14ac:dyDescent="0.2">
      <c r="E2438" s="332"/>
    </row>
    <row r="2439" spans="5:5" x14ac:dyDescent="0.2">
      <c r="E2439" s="332"/>
    </row>
    <row r="2440" spans="5:5" x14ac:dyDescent="0.2">
      <c r="E2440" s="332"/>
    </row>
    <row r="2441" spans="5:5" x14ac:dyDescent="0.2">
      <c r="E2441" s="332"/>
    </row>
    <row r="2442" spans="5:5" x14ac:dyDescent="0.2">
      <c r="E2442" s="332"/>
    </row>
    <row r="2443" spans="5:5" x14ac:dyDescent="0.2">
      <c r="E2443" s="332"/>
    </row>
    <row r="2444" spans="5:5" x14ac:dyDescent="0.2">
      <c r="E2444" s="332"/>
    </row>
    <row r="2445" spans="5:5" x14ac:dyDescent="0.2">
      <c r="E2445" s="332"/>
    </row>
    <row r="2446" spans="5:5" x14ac:dyDescent="0.2">
      <c r="E2446" s="332"/>
    </row>
    <row r="2447" spans="5:5" x14ac:dyDescent="0.2">
      <c r="E2447" s="332"/>
    </row>
    <row r="2448" spans="5:5" x14ac:dyDescent="0.2">
      <c r="E2448" s="332"/>
    </row>
    <row r="2449" spans="5:5" x14ac:dyDescent="0.2">
      <c r="E2449" s="332"/>
    </row>
    <row r="2450" spans="5:5" x14ac:dyDescent="0.2">
      <c r="E2450" s="332"/>
    </row>
    <row r="2451" spans="5:5" x14ac:dyDescent="0.2">
      <c r="E2451" s="332"/>
    </row>
    <row r="2452" spans="5:5" x14ac:dyDescent="0.2">
      <c r="E2452" s="332"/>
    </row>
    <row r="2453" spans="5:5" x14ac:dyDescent="0.2">
      <c r="E2453" s="332"/>
    </row>
    <row r="2454" spans="5:5" x14ac:dyDescent="0.2">
      <c r="E2454" s="332"/>
    </row>
    <row r="2455" spans="5:5" x14ac:dyDescent="0.2">
      <c r="E2455" s="332"/>
    </row>
    <row r="2456" spans="5:5" x14ac:dyDescent="0.2">
      <c r="E2456" s="332"/>
    </row>
    <row r="2457" spans="5:5" x14ac:dyDescent="0.2">
      <c r="E2457" s="332"/>
    </row>
    <row r="2458" spans="5:5" x14ac:dyDescent="0.2">
      <c r="E2458" s="332"/>
    </row>
    <row r="2459" spans="5:5" x14ac:dyDescent="0.2">
      <c r="E2459" s="332"/>
    </row>
    <row r="2460" spans="5:5" x14ac:dyDescent="0.2">
      <c r="E2460" s="332"/>
    </row>
    <row r="2461" spans="5:5" x14ac:dyDescent="0.2">
      <c r="E2461" s="332"/>
    </row>
    <row r="2462" spans="5:5" x14ac:dyDescent="0.2">
      <c r="E2462" s="332"/>
    </row>
    <row r="2463" spans="5:5" x14ac:dyDescent="0.2">
      <c r="E2463" s="332"/>
    </row>
    <row r="2464" spans="5:5" x14ac:dyDescent="0.2">
      <c r="E2464" s="332"/>
    </row>
    <row r="2465" spans="5:5" x14ac:dyDescent="0.2">
      <c r="E2465" s="332"/>
    </row>
    <row r="2466" spans="5:5" x14ac:dyDescent="0.2">
      <c r="E2466" s="332"/>
    </row>
    <row r="2467" spans="5:5" x14ac:dyDescent="0.2">
      <c r="E2467" s="332"/>
    </row>
    <row r="2468" spans="5:5" x14ac:dyDescent="0.2">
      <c r="E2468" s="332"/>
    </row>
    <row r="2469" spans="5:5" x14ac:dyDescent="0.2">
      <c r="E2469" s="332"/>
    </row>
    <row r="2470" spans="5:5" x14ac:dyDescent="0.2">
      <c r="E2470" s="332"/>
    </row>
    <row r="2471" spans="5:5" x14ac:dyDescent="0.2">
      <c r="E2471" s="332"/>
    </row>
    <row r="2472" spans="5:5" x14ac:dyDescent="0.2">
      <c r="E2472" s="332"/>
    </row>
    <row r="2473" spans="5:5" x14ac:dyDescent="0.2">
      <c r="E2473" s="332"/>
    </row>
    <row r="2474" spans="5:5" x14ac:dyDescent="0.2">
      <c r="E2474" s="332"/>
    </row>
    <row r="2475" spans="5:5" x14ac:dyDescent="0.2">
      <c r="E2475" s="332"/>
    </row>
    <row r="2476" spans="5:5" x14ac:dyDescent="0.2">
      <c r="E2476" s="332"/>
    </row>
    <row r="2477" spans="5:5" x14ac:dyDescent="0.2">
      <c r="E2477" s="332"/>
    </row>
    <row r="2478" spans="5:5" x14ac:dyDescent="0.2">
      <c r="E2478" s="332"/>
    </row>
    <row r="2479" spans="5:5" x14ac:dyDescent="0.2">
      <c r="E2479" s="332"/>
    </row>
    <row r="2480" spans="5:5" x14ac:dyDescent="0.2">
      <c r="E2480" s="332"/>
    </row>
    <row r="2481" spans="5:5" x14ac:dyDescent="0.2">
      <c r="E2481" s="332"/>
    </row>
    <row r="2482" spans="5:5" x14ac:dyDescent="0.2">
      <c r="E2482" s="332"/>
    </row>
    <row r="2483" spans="5:5" x14ac:dyDescent="0.2">
      <c r="E2483" s="332"/>
    </row>
    <row r="2484" spans="5:5" x14ac:dyDescent="0.2">
      <c r="E2484" s="332"/>
    </row>
    <row r="2485" spans="5:5" x14ac:dyDescent="0.2">
      <c r="E2485" s="332"/>
    </row>
    <row r="2486" spans="5:5" x14ac:dyDescent="0.2">
      <c r="E2486" s="332"/>
    </row>
    <row r="2487" spans="5:5" x14ac:dyDescent="0.2">
      <c r="E2487" s="332"/>
    </row>
    <row r="2488" spans="5:5" x14ac:dyDescent="0.2">
      <c r="E2488" s="332"/>
    </row>
    <row r="2489" spans="5:5" x14ac:dyDescent="0.2">
      <c r="E2489" s="332"/>
    </row>
    <row r="2490" spans="5:5" x14ac:dyDescent="0.2">
      <c r="E2490" s="332"/>
    </row>
    <row r="2491" spans="5:5" x14ac:dyDescent="0.2">
      <c r="E2491" s="332"/>
    </row>
    <row r="2492" spans="5:5" x14ac:dyDescent="0.2">
      <c r="E2492" s="332"/>
    </row>
    <row r="2493" spans="5:5" x14ac:dyDescent="0.2">
      <c r="E2493" s="332"/>
    </row>
    <row r="2494" spans="5:5" x14ac:dyDescent="0.2">
      <c r="E2494" s="332"/>
    </row>
    <row r="2495" spans="5:5" x14ac:dyDescent="0.2">
      <c r="E2495" s="332"/>
    </row>
    <row r="2496" spans="5:5" x14ac:dyDescent="0.2">
      <c r="E2496" s="332"/>
    </row>
    <row r="2497" spans="5:5" x14ac:dyDescent="0.2">
      <c r="E2497" s="332"/>
    </row>
    <row r="2498" spans="5:5" x14ac:dyDescent="0.2">
      <c r="E2498" s="332"/>
    </row>
    <row r="2499" spans="5:5" x14ac:dyDescent="0.2">
      <c r="E2499" s="332"/>
    </row>
    <row r="2500" spans="5:5" x14ac:dyDescent="0.2">
      <c r="E2500" s="332"/>
    </row>
    <row r="2501" spans="5:5" x14ac:dyDescent="0.2">
      <c r="E2501" s="332"/>
    </row>
    <row r="2502" spans="5:5" x14ac:dyDescent="0.2">
      <c r="E2502" s="332"/>
    </row>
    <row r="2503" spans="5:5" x14ac:dyDescent="0.2">
      <c r="E2503" s="332"/>
    </row>
    <row r="2504" spans="5:5" x14ac:dyDescent="0.2">
      <c r="E2504" s="332"/>
    </row>
    <row r="2505" spans="5:5" x14ac:dyDescent="0.2">
      <c r="E2505" s="332"/>
    </row>
    <row r="2506" spans="5:5" x14ac:dyDescent="0.2">
      <c r="E2506" s="332"/>
    </row>
    <row r="2507" spans="5:5" x14ac:dyDescent="0.2">
      <c r="E2507" s="332"/>
    </row>
    <row r="2508" spans="5:5" x14ac:dyDescent="0.2">
      <c r="E2508" s="332"/>
    </row>
    <row r="2509" spans="5:5" x14ac:dyDescent="0.2">
      <c r="E2509" s="332"/>
    </row>
    <row r="2510" spans="5:5" x14ac:dyDescent="0.2">
      <c r="E2510" s="332"/>
    </row>
    <row r="2511" spans="5:5" x14ac:dyDescent="0.2">
      <c r="E2511" s="332"/>
    </row>
    <row r="2512" spans="5:5" x14ac:dyDescent="0.2">
      <c r="E2512" s="332"/>
    </row>
    <row r="2513" spans="5:5" x14ac:dyDescent="0.2">
      <c r="E2513" s="332"/>
    </row>
    <row r="2514" spans="5:5" x14ac:dyDescent="0.2">
      <c r="E2514" s="332"/>
    </row>
    <row r="2515" spans="5:5" x14ac:dyDescent="0.2">
      <c r="E2515" s="332"/>
    </row>
    <row r="2516" spans="5:5" x14ac:dyDescent="0.2">
      <c r="E2516" s="332"/>
    </row>
    <row r="2517" spans="5:5" x14ac:dyDescent="0.2">
      <c r="E2517" s="332"/>
    </row>
    <row r="2518" spans="5:5" x14ac:dyDescent="0.2">
      <c r="E2518" s="332"/>
    </row>
    <row r="2519" spans="5:5" x14ac:dyDescent="0.2">
      <c r="E2519" s="332"/>
    </row>
    <row r="2520" spans="5:5" x14ac:dyDescent="0.2">
      <c r="E2520" s="332"/>
    </row>
    <row r="2521" spans="5:5" x14ac:dyDescent="0.2">
      <c r="E2521" s="332"/>
    </row>
    <row r="2522" spans="5:5" x14ac:dyDescent="0.2">
      <c r="E2522" s="332"/>
    </row>
    <row r="2523" spans="5:5" x14ac:dyDescent="0.2">
      <c r="E2523" s="332"/>
    </row>
    <row r="2524" spans="5:5" x14ac:dyDescent="0.2">
      <c r="E2524" s="332"/>
    </row>
    <row r="2525" spans="5:5" x14ac:dyDescent="0.2">
      <c r="E2525" s="332"/>
    </row>
    <row r="2526" spans="5:5" x14ac:dyDescent="0.2">
      <c r="E2526" s="332"/>
    </row>
    <row r="2527" spans="5:5" x14ac:dyDescent="0.2">
      <c r="E2527" s="332"/>
    </row>
    <row r="2528" spans="5:5" x14ac:dyDescent="0.2">
      <c r="E2528" s="332"/>
    </row>
    <row r="2529" spans="5:5" x14ac:dyDescent="0.2">
      <c r="E2529" s="332"/>
    </row>
    <row r="2530" spans="5:5" x14ac:dyDescent="0.2">
      <c r="E2530" s="332"/>
    </row>
    <row r="2531" spans="5:5" x14ac:dyDescent="0.2">
      <c r="E2531" s="332"/>
    </row>
    <row r="2532" spans="5:5" x14ac:dyDescent="0.2">
      <c r="E2532" s="332"/>
    </row>
    <row r="2533" spans="5:5" x14ac:dyDescent="0.2">
      <c r="E2533" s="332"/>
    </row>
    <row r="2534" spans="5:5" x14ac:dyDescent="0.2">
      <c r="E2534" s="332"/>
    </row>
    <row r="2535" spans="5:5" x14ac:dyDescent="0.2">
      <c r="E2535" s="332"/>
    </row>
    <row r="2536" spans="5:5" x14ac:dyDescent="0.2">
      <c r="E2536" s="332"/>
    </row>
    <row r="2537" spans="5:5" x14ac:dyDescent="0.2">
      <c r="E2537" s="332"/>
    </row>
    <row r="2538" spans="5:5" x14ac:dyDescent="0.2">
      <c r="E2538" s="332"/>
    </row>
    <row r="2539" spans="5:5" x14ac:dyDescent="0.2">
      <c r="E2539" s="332"/>
    </row>
    <row r="2540" spans="5:5" x14ac:dyDescent="0.2">
      <c r="E2540" s="332"/>
    </row>
    <row r="2541" spans="5:5" x14ac:dyDescent="0.2">
      <c r="E2541" s="332"/>
    </row>
    <row r="2542" spans="5:5" x14ac:dyDescent="0.2">
      <c r="E2542" s="332"/>
    </row>
    <row r="2543" spans="5:5" x14ac:dyDescent="0.2">
      <c r="E2543" s="332"/>
    </row>
    <row r="2544" spans="5:5" x14ac:dyDescent="0.2">
      <c r="E2544" s="332"/>
    </row>
    <row r="2545" spans="5:5" x14ac:dyDescent="0.2">
      <c r="E2545" s="332"/>
    </row>
    <row r="2546" spans="5:5" x14ac:dyDescent="0.2">
      <c r="E2546" s="332"/>
    </row>
    <row r="2547" spans="5:5" x14ac:dyDescent="0.2">
      <c r="E2547" s="332"/>
    </row>
    <row r="2548" spans="5:5" x14ac:dyDescent="0.2">
      <c r="E2548" s="332"/>
    </row>
    <row r="2549" spans="5:5" x14ac:dyDescent="0.2">
      <c r="E2549" s="332"/>
    </row>
    <row r="2550" spans="5:5" x14ac:dyDescent="0.2">
      <c r="E2550" s="332"/>
    </row>
    <row r="2551" spans="5:5" x14ac:dyDescent="0.2">
      <c r="E2551" s="332"/>
    </row>
    <row r="2552" spans="5:5" x14ac:dyDescent="0.2">
      <c r="E2552" s="332"/>
    </row>
    <row r="2553" spans="5:5" x14ac:dyDescent="0.2">
      <c r="E2553" s="332"/>
    </row>
    <row r="2554" spans="5:5" x14ac:dyDescent="0.2">
      <c r="E2554" s="332"/>
    </row>
    <row r="2555" spans="5:5" x14ac:dyDescent="0.2">
      <c r="E2555" s="332"/>
    </row>
    <row r="2556" spans="5:5" x14ac:dyDescent="0.2">
      <c r="E2556" s="332"/>
    </row>
    <row r="2557" spans="5:5" x14ac:dyDescent="0.2">
      <c r="E2557" s="332"/>
    </row>
    <row r="2558" spans="5:5" x14ac:dyDescent="0.2">
      <c r="E2558" s="332"/>
    </row>
    <row r="2559" spans="5:5" x14ac:dyDescent="0.2">
      <c r="E2559" s="332"/>
    </row>
    <row r="2560" spans="5:5" x14ac:dyDescent="0.2">
      <c r="E2560" s="332"/>
    </row>
    <row r="2561" spans="5:5" x14ac:dyDescent="0.2">
      <c r="E2561" s="332"/>
    </row>
    <row r="2562" spans="5:5" x14ac:dyDescent="0.2">
      <c r="E2562" s="332"/>
    </row>
    <row r="2563" spans="5:5" x14ac:dyDescent="0.2">
      <c r="E2563" s="332"/>
    </row>
    <row r="2564" spans="5:5" x14ac:dyDescent="0.2">
      <c r="E2564" s="332"/>
    </row>
    <row r="2565" spans="5:5" x14ac:dyDescent="0.2">
      <c r="E2565" s="332"/>
    </row>
    <row r="2566" spans="5:5" x14ac:dyDescent="0.2">
      <c r="E2566" s="332"/>
    </row>
    <row r="2567" spans="5:5" x14ac:dyDescent="0.2">
      <c r="E2567" s="332"/>
    </row>
    <row r="2568" spans="5:5" x14ac:dyDescent="0.2">
      <c r="E2568" s="332"/>
    </row>
    <row r="2569" spans="5:5" x14ac:dyDescent="0.2">
      <c r="E2569" s="332"/>
    </row>
    <row r="2570" spans="5:5" x14ac:dyDescent="0.2">
      <c r="E2570" s="332"/>
    </row>
    <row r="2571" spans="5:5" x14ac:dyDescent="0.2">
      <c r="E2571" s="332"/>
    </row>
    <row r="2572" spans="5:5" x14ac:dyDescent="0.2">
      <c r="E2572" s="332"/>
    </row>
    <row r="2573" spans="5:5" x14ac:dyDescent="0.2">
      <c r="E2573" s="332"/>
    </row>
    <row r="2574" spans="5:5" x14ac:dyDescent="0.2">
      <c r="E2574" s="332"/>
    </row>
    <row r="2575" spans="5:5" x14ac:dyDescent="0.2">
      <c r="E2575" s="332"/>
    </row>
    <row r="2576" spans="5:5" x14ac:dyDescent="0.2">
      <c r="E2576" s="332"/>
    </row>
    <row r="2577" spans="5:5" x14ac:dyDescent="0.2">
      <c r="E2577" s="332"/>
    </row>
    <row r="2578" spans="5:5" x14ac:dyDescent="0.2">
      <c r="E2578" s="332"/>
    </row>
    <row r="2579" spans="5:5" x14ac:dyDescent="0.2">
      <c r="E2579" s="332"/>
    </row>
    <row r="2580" spans="5:5" x14ac:dyDescent="0.2">
      <c r="E2580" s="332"/>
    </row>
    <row r="2581" spans="5:5" x14ac:dyDescent="0.2">
      <c r="E2581" s="332"/>
    </row>
    <row r="2582" spans="5:5" x14ac:dyDescent="0.2">
      <c r="E2582" s="332"/>
    </row>
    <row r="2583" spans="5:5" x14ac:dyDescent="0.2">
      <c r="E2583" s="332"/>
    </row>
    <row r="2584" spans="5:5" x14ac:dyDescent="0.2">
      <c r="E2584" s="332"/>
    </row>
    <row r="2585" spans="5:5" x14ac:dyDescent="0.2">
      <c r="E2585" s="332"/>
    </row>
    <row r="2586" spans="5:5" x14ac:dyDescent="0.2">
      <c r="E2586" s="332"/>
    </row>
    <row r="2587" spans="5:5" x14ac:dyDescent="0.2">
      <c r="E2587" s="332"/>
    </row>
    <row r="2588" spans="5:5" x14ac:dyDescent="0.2">
      <c r="E2588" s="332"/>
    </row>
    <row r="2589" spans="5:5" x14ac:dyDescent="0.2">
      <c r="E2589" s="332"/>
    </row>
    <row r="2590" spans="5:5" x14ac:dyDescent="0.2">
      <c r="E2590" s="332"/>
    </row>
    <row r="2591" spans="5:5" x14ac:dyDescent="0.2">
      <c r="E2591" s="332"/>
    </row>
    <row r="2592" spans="5:5" x14ac:dyDescent="0.2">
      <c r="E2592" s="332"/>
    </row>
    <row r="2593" spans="5:5" x14ac:dyDescent="0.2">
      <c r="E2593" s="332"/>
    </row>
    <row r="2594" spans="5:5" x14ac:dyDescent="0.2">
      <c r="E2594" s="332"/>
    </row>
    <row r="2595" spans="5:5" x14ac:dyDescent="0.2">
      <c r="E2595" s="332"/>
    </row>
    <row r="2596" spans="5:5" x14ac:dyDescent="0.2">
      <c r="E2596" s="332"/>
    </row>
    <row r="2597" spans="5:5" x14ac:dyDescent="0.2">
      <c r="E2597" s="332"/>
    </row>
    <row r="2598" spans="5:5" x14ac:dyDescent="0.2">
      <c r="E2598" s="332"/>
    </row>
    <row r="2599" spans="5:5" x14ac:dyDescent="0.2">
      <c r="E2599" s="332"/>
    </row>
    <row r="2600" spans="5:5" x14ac:dyDescent="0.2">
      <c r="E2600" s="332"/>
    </row>
    <row r="2601" spans="5:5" x14ac:dyDescent="0.2">
      <c r="E2601" s="332"/>
    </row>
    <row r="2602" spans="5:5" x14ac:dyDescent="0.2">
      <c r="E2602" s="332"/>
    </row>
    <row r="2603" spans="5:5" x14ac:dyDescent="0.2">
      <c r="E2603" s="332"/>
    </row>
    <row r="2604" spans="5:5" x14ac:dyDescent="0.2">
      <c r="E2604" s="332"/>
    </row>
    <row r="2605" spans="5:5" x14ac:dyDescent="0.2">
      <c r="E2605" s="332"/>
    </row>
    <row r="2606" spans="5:5" x14ac:dyDescent="0.2">
      <c r="E2606" s="332"/>
    </row>
    <row r="2607" spans="5:5" x14ac:dyDescent="0.2">
      <c r="E2607" s="332"/>
    </row>
    <row r="2608" spans="5:5" x14ac:dyDescent="0.2">
      <c r="E2608" s="332"/>
    </row>
    <row r="2609" spans="5:5" x14ac:dyDescent="0.2">
      <c r="E2609" s="332"/>
    </row>
    <row r="2610" spans="5:5" x14ac:dyDescent="0.2">
      <c r="E2610" s="332"/>
    </row>
    <row r="2611" spans="5:5" x14ac:dyDescent="0.2">
      <c r="E2611" s="332"/>
    </row>
    <row r="2612" spans="5:5" x14ac:dyDescent="0.2">
      <c r="E2612" s="332"/>
    </row>
    <row r="2613" spans="5:5" x14ac:dyDescent="0.2">
      <c r="E2613" s="332"/>
    </row>
    <row r="2614" spans="5:5" x14ac:dyDescent="0.2">
      <c r="E2614" s="332"/>
    </row>
    <row r="2615" spans="5:5" x14ac:dyDescent="0.2">
      <c r="E2615" s="332"/>
    </row>
    <row r="2616" spans="5:5" x14ac:dyDescent="0.2">
      <c r="E2616" s="332"/>
    </row>
    <row r="2617" spans="5:5" x14ac:dyDescent="0.2">
      <c r="E2617" s="332"/>
    </row>
    <row r="2618" spans="5:5" x14ac:dyDescent="0.2">
      <c r="E2618" s="332"/>
    </row>
    <row r="2619" spans="5:5" x14ac:dyDescent="0.2">
      <c r="E2619" s="332"/>
    </row>
    <row r="2620" spans="5:5" x14ac:dyDescent="0.2">
      <c r="E2620" s="332"/>
    </row>
    <row r="2621" spans="5:5" x14ac:dyDescent="0.2">
      <c r="E2621" s="332"/>
    </row>
    <row r="2622" spans="5:5" x14ac:dyDescent="0.2">
      <c r="E2622" s="332"/>
    </row>
    <row r="2623" spans="5:5" x14ac:dyDescent="0.2">
      <c r="E2623" s="332"/>
    </row>
    <row r="2624" spans="5:5" x14ac:dyDescent="0.2">
      <c r="E2624" s="332"/>
    </row>
    <row r="2625" spans="5:5" x14ac:dyDescent="0.2">
      <c r="E2625" s="332"/>
    </row>
    <row r="2626" spans="5:5" x14ac:dyDescent="0.2">
      <c r="E2626" s="332"/>
    </row>
    <row r="2627" spans="5:5" x14ac:dyDescent="0.2">
      <c r="E2627" s="332"/>
    </row>
    <row r="2628" spans="5:5" x14ac:dyDescent="0.2">
      <c r="E2628" s="332"/>
    </row>
    <row r="2629" spans="5:5" x14ac:dyDescent="0.2">
      <c r="E2629" s="332"/>
    </row>
    <row r="2630" spans="5:5" x14ac:dyDescent="0.2">
      <c r="E2630" s="332"/>
    </row>
    <row r="2631" spans="5:5" x14ac:dyDescent="0.2">
      <c r="E2631" s="332"/>
    </row>
    <row r="2632" spans="5:5" x14ac:dyDescent="0.2">
      <c r="E2632" s="332"/>
    </row>
    <row r="2633" spans="5:5" x14ac:dyDescent="0.2">
      <c r="E2633" s="332"/>
    </row>
    <row r="2634" spans="5:5" x14ac:dyDescent="0.2">
      <c r="E2634" s="332"/>
    </row>
    <row r="2635" spans="5:5" x14ac:dyDescent="0.2">
      <c r="E2635" s="332"/>
    </row>
    <row r="2636" spans="5:5" x14ac:dyDescent="0.2">
      <c r="E2636" s="332"/>
    </row>
    <row r="2637" spans="5:5" x14ac:dyDescent="0.2">
      <c r="E2637" s="332"/>
    </row>
    <row r="2638" spans="5:5" x14ac:dyDescent="0.2">
      <c r="E2638" s="332"/>
    </row>
    <row r="2639" spans="5:5" x14ac:dyDescent="0.2">
      <c r="E2639" s="332"/>
    </row>
    <row r="2640" spans="5:5" x14ac:dyDescent="0.2">
      <c r="E2640" s="332"/>
    </row>
    <row r="2641" spans="5:5" x14ac:dyDescent="0.2">
      <c r="E2641" s="332"/>
    </row>
    <row r="2642" spans="5:5" x14ac:dyDescent="0.2">
      <c r="E2642" s="332"/>
    </row>
    <row r="2643" spans="5:5" x14ac:dyDescent="0.2">
      <c r="E2643" s="332"/>
    </row>
    <row r="2644" spans="5:5" x14ac:dyDescent="0.2">
      <c r="E2644" s="332"/>
    </row>
    <row r="2645" spans="5:5" x14ac:dyDescent="0.2">
      <c r="E2645" s="332"/>
    </row>
    <row r="2646" spans="5:5" x14ac:dyDescent="0.2">
      <c r="E2646" s="332"/>
    </row>
    <row r="2647" spans="5:5" x14ac:dyDescent="0.2">
      <c r="E2647" s="332"/>
    </row>
    <row r="2648" spans="5:5" x14ac:dyDescent="0.2">
      <c r="E2648" s="332"/>
    </row>
    <row r="2649" spans="5:5" x14ac:dyDescent="0.2">
      <c r="E2649" s="332"/>
    </row>
    <row r="2650" spans="5:5" x14ac:dyDescent="0.2">
      <c r="E2650" s="332"/>
    </row>
    <row r="2651" spans="5:5" x14ac:dyDescent="0.2">
      <c r="E2651" s="332"/>
    </row>
    <row r="2652" spans="5:5" x14ac:dyDescent="0.2">
      <c r="E2652" s="332"/>
    </row>
    <row r="2653" spans="5:5" x14ac:dyDescent="0.2">
      <c r="E2653" s="332"/>
    </row>
    <row r="2654" spans="5:5" x14ac:dyDescent="0.2">
      <c r="E2654" s="332"/>
    </row>
    <row r="2655" spans="5:5" x14ac:dyDescent="0.2">
      <c r="E2655" s="332"/>
    </row>
    <row r="2656" spans="5:5" x14ac:dyDescent="0.2">
      <c r="E2656" s="332"/>
    </row>
    <row r="2657" spans="5:5" x14ac:dyDescent="0.2">
      <c r="E2657" s="332"/>
    </row>
    <row r="2658" spans="5:5" x14ac:dyDescent="0.2">
      <c r="E2658" s="332"/>
    </row>
    <row r="2659" spans="5:5" x14ac:dyDescent="0.2">
      <c r="E2659" s="332"/>
    </row>
    <row r="2660" spans="5:5" x14ac:dyDescent="0.2">
      <c r="E2660" s="332"/>
    </row>
    <row r="2661" spans="5:5" x14ac:dyDescent="0.2">
      <c r="E2661" s="332"/>
    </row>
    <row r="2662" spans="5:5" x14ac:dyDescent="0.2">
      <c r="E2662" s="332"/>
    </row>
    <row r="2663" spans="5:5" x14ac:dyDescent="0.2">
      <c r="E2663" s="332"/>
    </row>
    <row r="2664" spans="5:5" x14ac:dyDescent="0.2">
      <c r="E2664" s="332"/>
    </row>
    <row r="2665" spans="5:5" x14ac:dyDescent="0.2">
      <c r="E2665" s="332"/>
    </row>
    <row r="2666" spans="5:5" x14ac:dyDescent="0.2">
      <c r="E2666" s="332"/>
    </row>
    <row r="2667" spans="5:5" x14ac:dyDescent="0.2">
      <c r="E2667" s="332"/>
    </row>
    <row r="2668" spans="5:5" x14ac:dyDescent="0.2">
      <c r="E2668" s="332"/>
    </row>
    <row r="2669" spans="5:5" x14ac:dyDescent="0.2">
      <c r="E2669" s="332"/>
    </row>
    <row r="2670" spans="5:5" x14ac:dyDescent="0.2">
      <c r="E2670" s="332"/>
    </row>
    <row r="2671" spans="5:5" x14ac:dyDescent="0.2">
      <c r="E2671" s="332"/>
    </row>
    <row r="2672" spans="5:5" x14ac:dyDescent="0.2">
      <c r="E2672" s="332"/>
    </row>
    <row r="2673" spans="5:5" x14ac:dyDescent="0.2">
      <c r="E2673" s="332"/>
    </row>
    <row r="2674" spans="5:5" x14ac:dyDescent="0.2">
      <c r="E2674" s="332"/>
    </row>
    <row r="2675" spans="5:5" x14ac:dyDescent="0.2">
      <c r="E2675" s="332"/>
    </row>
    <row r="2676" spans="5:5" x14ac:dyDescent="0.2">
      <c r="E2676" s="332"/>
    </row>
    <row r="2677" spans="5:5" x14ac:dyDescent="0.2">
      <c r="E2677" s="332"/>
    </row>
    <row r="2678" spans="5:5" x14ac:dyDescent="0.2">
      <c r="E2678" s="332"/>
    </row>
    <row r="2679" spans="5:5" x14ac:dyDescent="0.2">
      <c r="E2679" s="332"/>
    </row>
    <row r="2680" spans="5:5" x14ac:dyDescent="0.2">
      <c r="E2680" s="332"/>
    </row>
    <row r="2681" spans="5:5" x14ac:dyDescent="0.2">
      <c r="E2681" s="332"/>
    </row>
    <row r="2682" spans="5:5" x14ac:dyDescent="0.2">
      <c r="E2682" s="332"/>
    </row>
    <row r="2683" spans="5:5" x14ac:dyDescent="0.2">
      <c r="E2683" s="332"/>
    </row>
    <row r="2684" spans="5:5" x14ac:dyDescent="0.2">
      <c r="E2684" s="332"/>
    </row>
    <row r="2685" spans="5:5" x14ac:dyDescent="0.2">
      <c r="E2685" s="332"/>
    </row>
    <row r="2686" spans="5:5" x14ac:dyDescent="0.2">
      <c r="E2686" s="332"/>
    </row>
    <row r="2687" spans="5:5" x14ac:dyDescent="0.2">
      <c r="E2687" s="332"/>
    </row>
    <row r="2688" spans="5:5" x14ac:dyDescent="0.2">
      <c r="E2688" s="332"/>
    </row>
    <row r="2689" spans="5:5" x14ac:dyDescent="0.2">
      <c r="E2689" s="332"/>
    </row>
    <row r="2690" spans="5:5" x14ac:dyDescent="0.2">
      <c r="E2690" s="332"/>
    </row>
    <row r="2691" spans="5:5" x14ac:dyDescent="0.2">
      <c r="E2691" s="332"/>
    </row>
    <row r="2692" spans="5:5" x14ac:dyDescent="0.2">
      <c r="E2692" s="332"/>
    </row>
    <row r="2693" spans="5:5" x14ac:dyDescent="0.2">
      <c r="E2693" s="332"/>
    </row>
    <row r="2694" spans="5:5" x14ac:dyDescent="0.2">
      <c r="E2694" s="332"/>
    </row>
    <row r="2695" spans="5:5" x14ac:dyDescent="0.2">
      <c r="E2695" s="332"/>
    </row>
    <row r="2696" spans="5:5" x14ac:dyDescent="0.2">
      <c r="E2696" s="332"/>
    </row>
    <row r="2697" spans="5:5" x14ac:dyDescent="0.2">
      <c r="E2697" s="332"/>
    </row>
    <row r="2698" spans="5:5" x14ac:dyDescent="0.2">
      <c r="E2698" s="332"/>
    </row>
    <row r="2699" spans="5:5" x14ac:dyDescent="0.2">
      <c r="E2699" s="332"/>
    </row>
    <row r="2700" spans="5:5" x14ac:dyDescent="0.2">
      <c r="E2700" s="332"/>
    </row>
    <row r="2701" spans="5:5" x14ac:dyDescent="0.2">
      <c r="E2701" s="332"/>
    </row>
    <row r="2702" spans="5:5" x14ac:dyDescent="0.2">
      <c r="E2702" s="332"/>
    </row>
    <row r="2703" spans="5:5" x14ac:dyDescent="0.2">
      <c r="E2703" s="332"/>
    </row>
    <row r="2704" spans="5:5" x14ac:dyDescent="0.2">
      <c r="E2704" s="332"/>
    </row>
    <row r="2705" spans="5:5" x14ac:dyDescent="0.2">
      <c r="E2705" s="332"/>
    </row>
    <row r="2706" spans="5:5" x14ac:dyDescent="0.2">
      <c r="E2706" s="332"/>
    </row>
    <row r="2707" spans="5:5" x14ac:dyDescent="0.2">
      <c r="E2707" s="332"/>
    </row>
    <row r="2708" spans="5:5" x14ac:dyDescent="0.2">
      <c r="E2708" s="332"/>
    </row>
    <row r="2709" spans="5:5" x14ac:dyDescent="0.2">
      <c r="E2709" s="332"/>
    </row>
    <row r="2710" spans="5:5" x14ac:dyDescent="0.2">
      <c r="E2710" s="332"/>
    </row>
    <row r="2711" spans="5:5" x14ac:dyDescent="0.2">
      <c r="E2711" s="332"/>
    </row>
    <row r="2712" spans="5:5" x14ac:dyDescent="0.2">
      <c r="E2712" s="332"/>
    </row>
    <row r="2713" spans="5:5" x14ac:dyDescent="0.2">
      <c r="E2713" s="332"/>
    </row>
    <row r="2714" spans="5:5" x14ac:dyDescent="0.2">
      <c r="E2714" s="332"/>
    </row>
    <row r="2715" spans="5:5" x14ac:dyDescent="0.2">
      <c r="E2715" s="332"/>
    </row>
    <row r="2716" spans="5:5" x14ac:dyDescent="0.2">
      <c r="E2716" s="332"/>
    </row>
    <row r="2717" spans="5:5" x14ac:dyDescent="0.2">
      <c r="E2717" s="332"/>
    </row>
    <row r="2718" spans="5:5" x14ac:dyDescent="0.2">
      <c r="E2718" s="332"/>
    </row>
    <row r="2719" spans="5:5" x14ac:dyDescent="0.2">
      <c r="E2719" s="332"/>
    </row>
    <row r="2720" spans="5:5" x14ac:dyDescent="0.2">
      <c r="E2720" s="332"/>
    </row>
    <row r="2721" spans="5:5" x14ac:dyDescent="0.2">
      <c r="E2721" s="332"/>
    </row>
    <row r="2722" spans="5:5" x14ac:dyDescent="0.2">
      <c r="E2722" s="332"/>
    </row>
    <row r="2723" spans="5:5" x14ac:dyDescent="0.2">
      <c r="E2723" s="332"/>
    </row>
    <row r="2724" spans="5:5" x14ac:dyDescent="0.2">
      <c r="E2724" s="332"/>
    </row>
    <row r="2725" spans="5:5" x14ac:dyDescent="0.2">
      <c r="E2725" s="332"/>
    </row>
    <row r="2726" spans="5:5" x14ac:dyDescent="0.2">
      <c r="E2726" s="332"/>
    </row>
    <row r="2727" spans="5:5" x14ac:dyDescent="0.2">
      <c r="E2727" s="332"/>
    </row>
    <row r="2728" spans="5:5" x14ac:dyDescent="0.2">
      <c r="E2728" s="332"/>
    </row>
    <row r="2729" spans="5:5" x14ac:dyDescent="0.2">
      <c r="E2729" s="332"/>
    </row>
    <row r="2730" spans="5:5" x14ac:dyDescent="0.2">
      <c r="E2730" s="332"/>
    </row>
    <row r="2731" spans="5:5" x14ac:dyDescent="0.2">
      <c r="E2731" s="332"/>
    </row>
    <row r="2732" spans="5:5" x14ac:dyDescent="0.2">
      <c r="E2732" s="332"/>
    </row>
    <row r="2733" spans="5:5" x14ac:dyDescent="0.2">
      <c r="E2733" s="332"/>
    </row>
    <row r="2734" spans="5:5" x14ac:dyDescent="0.2">
      <c r="E2734" s="332"/>
    </row>
    <row r="2735" spans="5:5" x14ac:dyDescent="0.2">
      <c r="E2735" s="332"/>
    </row>
    <row r="2736" spans="5:5" x14ac:dyDescent="0.2">
      <c r="E2736" s="332"/>
    </row>
    <row r="2737" spans="5:5" x14ac:dyDescent="0.2">
      <c r="E2737" s="332"/>
    </row>
    <row r="2738" spans="5:5" x14ac:dyDescent="0.2">
      <c r="E2738" s="332"/>
    </row>
    <row r="2739" spans="5:5" x14ac:dyDescent="0.2">
      <c r="E2739" s="332"/>
    </row>
    <row r="2740" spans="5:5" x14ac:dyDescent="0.2">
      <c r="E2740" s="332"/>
    </row>
    <row r="2741" spans="5:5" x14ac:dyDescent="0.2">
      <c r="E2741" s="332"/>
    </row>
    <row r="2742" spans="5:5" x14ac:dyDescent="0.2">
      <c r="E2742" s="332"/>
    </row>
    <row r="2743" spans="5:5" x14ac:dyDescent="0.2">
      <c r="E2743" s="332"/>
    </row>
    <row r="2744" spans="5:5" x14ac:dyDescent="0.2">
      <c r="E2744" s="332"/>
    </row>
    <row r="2745" spans="5:5" x14ac:dyDescent="0.2">
      <c r="E2745" s="332"/>
    </row>
    <row r="2746" spans="5:5" x14ac:dyDescent="0.2">
      <c r="E2746" s="332"/>
    </row>
    <row r="2747" spans="5:5" x14ac:dyDescent="0.2">
      <c r="E2747" s="332"/>
    </row>
    <row r="2748" spans="5:5" x14ac:dyDescent="0.2">
      <c r="E2748" s="332"/>
    </row>
    <row r="2749" spans="5:5" x14ac:dyDescent="0.2">
      <c r="E2749" s="332"/>
    </row>
    <row r="2750" spans="5:5" x14ac:dyDescent="0.2">
      <c r="E2750" s="332"/>
    </row>
    <row r="2751" spans="5:5" x14ac:dyDescent="0.2">
      <c r="E2751" s="332"/>
    </row>
    <row r="2752" spans="5:5" x14ac:dyDescent="0.2">
      <c r="E2752" s="332"/>
    </row>
    <row r="2753" spans="5:5" x14ac:dyDescent="0.2">
      <c r="E2753" s="332"/>
    </row>
    <row r="2754" spans="5:5" x14ac:dyDescent="0.2">
      <c r="E2754" s="332"/>
    </row>
    <row r="2755" spans="5:5" x14ac:dyDescent="0.2">
      <c r="E2755" s="332"/>
    </row>
    <row r="2756" spans="5:5" x14ac:dyDescent="0.2">
      <c r="E2756" s="332"/>
    </row>
    <row r="2757" spans="5:5" x14ac:dyDescent="0.2">
      <c r="E2757" s="332"/>
    </row>
    <row r="2758" spans="5:5" x14ac:dyDescent="0.2">
      <c r="E2758" s="332"/>
    </row>
    <row r="2759" spans="5:5" x14ac:dyDescent="0.2">
      <c r="E2759" s="332"/>
    </row>
    <row r="2760" spans="5:5" x14ac:dyDescent="0.2">
      <c r="E2760" s="332"/>
    </row>
    <row r="2761" spans="5:5" x14ac:dyDescent="0.2">
      <c r="E2761" s="332"/>
    </row>
    <row r="2762" spans="5:5" x14ac:dyDescent="0.2">
      <c r="E2762" s="332"/>
    </row>
    <row r="2763" spans="5:5" x14ac:dyDescent="0.2">
      <c r="E2763" s="332"/>
    </row>
    <row r="2764" spans="5:5" x14ac:dyDescent="0.2">
      <c r="E2764" s="332"/>
    </row>
    <row r="2765" spans="5:5" x14ac:dyDescent="0.2">
      <c r="E2765" s="332"/>
    </row>
    <row r="2766" spans="5:5" x14ac:dyDescent="0.2">
      <c r="E2766" s="332"/>
    </row>
    <row r="2767" spans="5:5" x14ac:dyDescent="0.2">
      <c r="E2767" s="332"/>
    </row>
    <row r="2768" spans="5:5" x14ac:dyDescent="0.2">
      <c r="E2768" s="332"/>
    </row>
    <row r="2769" spans="5:5" x14ac:dyDescent="0.2">
      <c r="E2769" s="332"/>
    </row>
    <row r="2770" spans="5:5" x14ac:dyDescent="0.2">
      <c r="E2770" s="332"/>
    </row>
    <row r="2771" spans="5:5" x14ac:dyDescent="0.2">
      <c r="E2771" s="332"/>
    </row>
    <row r="2772" spans="5:5" x14ac:dyDescent="0.2">
      <c r="E2772" s="332"/>
    </row>
    <row r="2773" spans="5:5" x14ac:dyDescent="0.2">
      <c r="E2773" s="332"/>
    </row>
    <row r="2774" spans="5:5" x14ac:dyDescent="0.2">
      <c r="E2774" s="332"/>
    </row>
    <row r="2775" spans="5:5" x14ac:dyDescent="0.2">
      <c r="E2775" s="332"/>
    </row>
    <row r="2776" spans="5:5" x14ac:dyDescent="0.2">
      <c r="E2776" s="332"/>
    </row>
    <row r="2777" spans="5:5" x14ac:dyDescent="0.2">
      <c r="E2777" s="332"/>
    </row>
    <row r="2778" spans="5:5" x14ac:dyDescent="0.2">
      <c r="E2778" s="332"/>
    </row>
    <row r="2779" spans="5:5" x14ac:dyDescent="0.2">
      <c r="E2779" s="332"/>
    </row>
    <row r="2780" spans="5:5" x14ac:dyDescent="0.2">
      <c r="E2780" s="332"/>
    </row>
    <row r="2781" spans="5:5" x14ac:dyDescent="0.2">
      <c r="E2781" s="332"/>
    </row>
    <row r="2782" spans="5:5" x14ac:dyDescent="0.2">
      <c r="E2782" s="332"/>
    </row>
    <row r="2783" spans="5:5" x14ac:dyDescent="0.2">
      <c r="E2783" s="332"/>
    </row>
    <row r="2784" spans="5:5" x14ac:dyDescent="0.2">
      <c r="E2784" s="332"/>
    </row>
    <row r="2785" spans="5:5" x14ac:dyDescent="0.2">
      <c r="E2785" s="332"/>
    </row>
    <row r="2786" spans="5:5" x14ac:dyDescent="0.2">
      <c r="E2786" s="332"/>
    </row>
    <row r="2787" spans="5:5" x14ac:dyDescent="0.2">
      <c r="E2787" s="332"/>
    </row>
    <row r="2788" spans="5:5" x14ac:dyDescent="0.2">
      <c r="E2788" s="332"/>
    </row>
    <row r="2789" spans="5:5" x14ac:dyDescent="0.2">
      <c r="E2789" s="332"/>
    </row>
    <row r="2790" spans="5:5" x14ac:dyDescent="0.2">
      <c r="E2790" s="332"/>
    </row>
    <row r="2791" spans="5:5" x14ac:dyDescent="0.2">
      <c r="E2791" s="332"/>
    </row>
    <row r="2792" spans="5:5" x14ac:dyDescent="0.2">
      <c r="E2792" s="332"/>
    </row>
    <row r="2793" spans="5:5" x14ac:dyDescent="0.2">
      <c r="E2793" s="332"/>
    </row>
    <row r="2794" spans="5:5" x14ac:dyDescent="0.2">
      <c r="E2794" s="332"/>
    </row>
    <row r="2795" spans="5:5" x14ac:dyDescent="0.2">
      <c r="E2795" s="332"/>
    </row>
    <row r="2796" spans="5:5" x14ac:dyDescent="0.2">
      <c r="E2796" s="332"/>
    </row>
    <row r="2797" spans="5:5" x14ac:dyDescent="0.2">
      <c r="E2797" s="332"/>
    </row>
    <row r="2798" spans="5:5" x14ac:dyDescent="0.2">
      <c r="E2798" s="332"/>
    </row>
    <row r="2799" spans="5:5" x14ac:dyDescent="0.2">
      <c r="E2799" s="332"/>
    </row>
    <row r="2800" spans="5:5" x14ac:dyDescent="0.2">
      <c r="E2800" s="332"/>
    </row>
    <row r="2801" spans="5:5" x14ac:dyDescent="0.2">
      <c r="E2801" s="332"/>
    </row>
    <row r="2802" spans="5:5" x14ac:dyDescent="0.2">
      <c r="E2802" s="332"/>
    </row>
    <row r="2803" spans="5:5" x14ac:dyDescent="0.2">
      <c r="E2803" s="332"/>
    </row>
    <row r="2804" spans="5:5" x14ac:dyDescent="0.2">
      <c r="E2804" s="332"/>
    </row>
    <row r="2805" spans="5:5" x14ac:dyDescent="0.2">
      <c r="E2805" s="332"/>
    </row>
    <row r="2806" spans="5:5" x14ac:dyDescent="0.2">
      <c r="E2806" s="332"/>
    </row>
    <row r="2807" spans="5:5" x14ac:dyDescent="0.2">
      <c r="E2807" s="332"/>
    </row>
    <row r="2808" spans="5:5" x14ac:dyDescent="0.2">
      <c r="E2808" s="332"/>
    </row>
    <row r="2809" spans="5:5" x14ac:dyDescent="0.2">
      <c r="E2809" s="332"/>
    </row>
    <row r="2810" spans="5:5" x14ac:dyDescent="0.2">
      <c r="E2810" s="332"/>
    </row>
    <row r="2811" spans="5:5" x14ac:dyDescent="0.2">
      <c r="E2811" s="332"/>
    </row>
    <row r="2812" spans="5:5" x14ac:dyDescent="0.2">
      <c r="E2812" s="332"/>
    </row>
    <row r="2813" spans="5:5" x14ac:dyDescent="0.2">
      <c r="E2813" s="332"/>
    </row>
    <row r="2814" spans="5:5" x14ac:dyDescent="0.2">
      <c r="E2814" s="332"/>
    </row>
    <row r="2815" spans="5:5" x14ac:dyDescent="0.2">
      <c r="E2815" s="332"/>
    </row>
    <row r="2816" spans="5:5" x14ac:dyDescent="0.2">
      <c r="E2816" s="332"/>
    </row>
    <row r="2817" spans="5:5" x14ac:dyDescent="0.2">
      <c r="E2817" s="332"/>
    </row>
    <row r="2818" spans="5:5" x14ac:dyDescent="0.2">
      <c r="E2818" s="332"/>
    </row>
    <row r="2819" spans="5:5" x14ac:dyDescent="0.2">
      <c r="E2819" s="332"/>
    </row>
    <row r="2820" spans="5:5" x14ac:dyDescent="0.2">
      <c r="E2820" s="332"/>
    </row>
    <row r="2821" spans="5:5" x14ac:dyDescent="0.2">
      <c r="E2821" s="332"/>
    </row>
    <row r="2822" spans="5:5" x14ac:dyDescent="0.2">
      <c r="E2822" s="332"/>
    </row>
    <row r="2823" spans="5:5" x14ac:dyDescent="0.2">
      <c r="E2823" s="332"/>
    </row>
    <row r="2824" spans="5:5" x14ac:dyDescent="0.2">
      <c r="E2824" s="332"/>
    </row>
    <row r="2825" spans="5:5" x14ac:dyDescent="0.2">
      <c r="E2825" s="332"/>
    </row>
    <row r="2826" spans="5:5" x14ac:dyDescent="0.2">
      <c r="E2826" s="332"/>
    </row>
    <row r="2827" spans="5:5" x14ac:dyDescent="0.2">
      <c r="E2827" s="332"/>
    </row>
    <row r="2828" spans="5:5" x14ac:dyDescent="0.2">
      <c r="E2828" s="332"/>
    </row>
    <row r="2829" spans="5:5" x14ac:dyDescent="0.2">
      <c r="E2829" s="332"/>
    </row>
    <row r="2830" spans="5:5" x14ac:dyDescent="0.2">
      <c r="E2830" s="332"/>
    </row>
    <row r="2831" spans="5:5" x14ac:dyDescent="0.2">
      <c r="E2831" s="332"/>
    </row>
    <row r="2832" spans="5:5" x14ac:dyDescent="0.2">
      <c r="E2832" s="332"/>
    </row>
    <row r="2833" spans="5:5" x14ac:dyDescent="0.2">
      <c r="E2833" s="332"/>
    </row>
    <row r="2834" spans="5:5" x14ac:dyDescent="0.2">
      <c r="E2834" s="332"/>
    </row>
    <row r="2835" spans="5:5" x14ac:dyDescent="0.2">
      <c r="E2835" s="332"/>
    </row>
    <row r="2836" spans="5:5" x14ac:dyDescent="0.2">
      <c r="E2836" s="332"/>
    </row>
    <row r="2837" spans="5:5" x14ac:dyDescent="0.2">
      <c r="E2837" s="332"/>
    </row>
    <row r="2838" spans="5:5" x14ac:dyDescent="0.2">
      <c r="E2838" s="332"/>
    </row>
    <row r="2839" spans="5:5" x14ac:dyDescent="0.2">
      <c r="E2839" s="332"/>
    </row>
    <row r="2840" spans="5:5" x14ac:dyDescent="0.2">
      <c r="E2840" s="332"/>
    </row>
    <row r="2841" spans="5:5" x14ac:dyDescent="0.2">
      <c r="E2841" s="332"/>
    </row>
    <row r="2842" spans="5:5" x14ac:dyDescent="0.2">
      <c r="E2842" s="332"/>
    </row>
    <row r="2843" spans="5:5" x14ac:dyDescent="0.2">
      <c r="E2843" s="332"/>
    </row>
    <row r="2844" spans="5:5" x14ac:dyDescent="0.2">
      <c r="E2844" s="332"/>
    </row>
    <row r="2845" spans="5:5" x14ac:dyDescent="0.2">
      <c r="E2845" s="332"/>
    </row>
    <row r="2846" spans="5:5" x14ac:dyDescent="0.2">
      <c r="E2846" s="332"/>
    </row>
    <row r="2847" spans="5:5" x14ac:dyDescent="0.2">
      <c r="E2847" s="332"/>
    </row>
    <row r="2848" spans="5:5" x14ac:dyDescent="0.2">
      <c r="E2848" s="332"/>
    </row>
    <row r="2849" spans="5:5" x14ac:dyDescent="0.2">
      <c r="E2849" s="332"/>
    </row>
    <row r="2850" spans="5:5" x14ac:dyDescent="0.2">
      <c r="E2850" s="332"/>
    </row>
    <row r="2851" spans="5:5" x14ac:dyDescent="0.2">
      <c r="E2851" s="332"/>
    </row>
    <row r="2852" spans="5:5" x14ac:dyDescent="0.2">
      <c r="E2852" s="332"/>
    </row>
    <row r="2853" spans="5:5" x14ac:dyDescent="0.2">
      <c r="E2853" s="332"/>
    </row>
    <row r="2854" spans="5:5" x14ac:dyDescent="0.2">
      <c r="E2854" s="332"/>
    </row>
    <row r="2855" spans="5:5" x14ac:dyDescent="0.2">
      <c r="E2855" s="332"/>
    </row>
    <row r="2856" spans="5:5" x14ac:dyDescent="0.2">
      <c r="E2856" s="332"/>
    </row>
    <row r="2857" spans="5:5" x14ac:dyDescent="0.2">
      <c r="E2857" s="332"/>
    </row>
    <row r="2858" spans="5:5" x14ac:dyDescent="0.2">
      <c r="E2858" s="332"/>
    </row>
    <row r="2859" spans="5:5" x14ac:dyDescent="0.2">
      <c r="E2859" s="332"/>
    </row>
    <row r="2860" spans="5:5" x14ac:dyDescent="0.2">
      <c r="E2860" s="332"/>
    </row>
    <row r="2861" spans="5:5" x14ac:dyDescent="0.2">
      <c r="E2861" s="332"/>
    </row>
    <row r="2862" spans="5:5" x14ac:dyDescent="0.2">
      <c r="E2862" s="332"/>
    </row>
    <row r="2863" spans="5:5" x14ac:dyDescent="0.2">
      <c r="E2863" s="332"/>
    </row>
    <row r="2864" spans="5:5" x14ac:dyDescent="0.2">
      <c r="E2864" s="332"/>
    </row>
    <row r="2865" spans="5:5" x14ac:dyDescent="0.2">
      <c r="E2865" s="332"/>
    </row>
    <row r="2866" spans="5:5" x14ac:dyDescent="0.2">
      <c r="E2866" s="332"/>
    </row>
    <row r="2867" spans="5:5" x14ac:dyDescent="0.2">
      <c r="E2867" s="332"/>
    </row>
    <row r="2868" spans="5:5" x14ac:dyDescent="0.2">
      <c r="E2868" s="332"/>
    </row>
    <row r="2869" spans="5:5" x14ac:dyDescent="0.2">
      <c r="E2869" s="332"/>
    </row>
    <row r="2870" spans="5:5" x14ac:dyDescent="0.2">
      <c r="E2870" s="332"/>
    </row>
    <row r="2871" spans="5:5" x14ac:dyDescent="0.2">
      <c r="E2871" s="332"/>
    </row>
    <row r="2872" spans="5:5" x14ac:dyDescent="0.2">
      <c r="E2872" s="332"/>
    </row>
    <row r="2873" spans="5:5" x14ac:dyDescent="0.2">
      <c r="E2873" s="332"/>
    </row>
    <row r="2874" spans="5:5" x14ac:dyDescent="0.2">
      <c r="E2874" s="332"/>
    </row>
    <row r="2875" spans="5:5" x14ac:dyDescent="0.2">
      <c r="E2875" s="332"/>
    </row>
    <row r="2876" spans="5:5" x14ac:dyDescent="0.2">
      <c r="E2876" s="332"/>
    </row>
    <row r="2877" spans="5:5" x14ac:dyDescent="0.2">
      <c r="E2877" s="332"/>
    </row>
    <row r="2878" spans="5:5" x14ac:dyDescent="0.2">
      <c r="E2878" s="332"/>
    </row>
    <row r="2879" spans="5:5" x14ac:dyDescent="0.2">
      <c r="E2879" s="332"/>
    </row>
    <row r="2880" spans="5:5" x14ac:dyDescent="0.2">
      <c r="E2880" s="332"/>
    </row>
    <row r="2881" spans="5:5" x14ac:dyDescent="0.2">
      <c r="E2881" s="332"/>
    </row>
    <row r="2882" spans="5:5" x14ac:dyDescent="0.2">
      <c r="E2882" s="332"/>
    </row>
    <row r="2883" spans="5:5" x14ac:dyDescent="0.2">
      <c r="E2883" s="332"/>
    </row>
    <row r="2884" spans="5:5" x14ac:dyDescent="0.2">
      <c r="E2884" s="332"/>
    </row>
    <row r="2885" spans="5:5" x14ac:dyDescent="0.2">
      <c r="E2885" s="332"/>
    </row>
    <row r="2886" spans="5:5" x14ac:dyDescent="0.2">
      <c r="E2886" s="332"/>
    </row>
    <row r="2887" spans="5:5" x14ac:dyDescent="0.2">
      <c r="E2887" s="332"/>
    </row>
    <row r="2888" spans="5:5" x14ac:dyDescent="0.2">
      <c r="E2888" s="332"/>
    </row>
    <row r="2889" spans="5:5" x14ac:dyDescent="0.2">
      <c r="E2889" s="332"/>
    </row>
    <row r="2890" spans="5:5" x14ac:dyDescent="0.2">
      <c r="E2890" s="332"/>
    </row>
    <row r="2891" spans="5:5" x14ac:dyDescent="0.2">
      <c r="E2891" s="332"/>
    </row>
    <row r="2892" spans="5:5" x14ac:dyDescent="0.2">
      <c r="E2892" s="332"/>
    </row>
    <row r="2893" spans="5:5" x14ac:dyDescent="0.2">
      <c r="E2893" s="332"/>
    </row>
    <row r="2894" spans="5:5" x14ac:dyDescent="0.2">
      <c r="E2894" s="332"/>
    </row>
    <row r="2895" spans="5:5" x14ac:dyDescent="0.2">
      <c r="E2895" s="332"/>
    </row>
    <row r="2896" spans="5:5" x14ac:dyDescent="0.2">
      <c r="E2896" s="332"/>
    </row>
    <row r="2897" spans="5:5" x14ac:dyDescent="0.2">
      <c r="E2897" s="332"/>
    </row>
    <row r="2898" spans="5:5" x14ac:dyDescent="0.2">
      <c r="E2898" s="332"/>
    </row>
    <row r="2899" spans="5:5" x14ac:dyDescent="0.2">
      <c r="E2899" s="332"/>
    </row>
    <row r="2900" spans="5:5" x14ac:dyDescent="0.2">
      <c r="E2900" s="332"/>
    </row>
    <row r="2901" spans="5:5" x14ac:dyDescent="0.2">
      <c r="E2901" s="332"/>
    </row>
    <row r="2902" spans="5:5" x14ac:dyDescent="0.2">
      <c r="E2902" s="332"/>
    </row>
    <row r="2903" spans="5:5" x14ac:dyDescent="0.2">
      <c r="E2903" s="332"/>
    </row>
    <row r="2904" spans="5:5" x14ac:dyDescent="0.2">
      <c r="E2904" s="332"/>
    </row>
    <row r="2905" spans="5:5" x14ac:dyDescent="0.2">
      <c r="E2905" s="332"/>
    </row>
    <row r="2906" spans="5:5" x14ac:dyDescent="0.2">
      <c r="E2906" s="332"/>
    </row>
    <row r="2907" spans="5:5" x14ac:dyDescent="0.2">
      <c r="E2907" s="332"/>
    </row>
    <row r="2908" spans="5:5" x14ac:dyDescent="0.2">
      <c r="E2908" s="332"/>
    </row>
    <row r="2909" spans="5:5" x14ac:dyDescent="0.2">
      <c r="E2909" s="332"/>
    </row>
    <row r="2910" spans="5:5" x14ac:dyDescent="0.2">
      <c r="E2910" s="332"/>
    </row>
    <row r="2911" spans="5:5" x14ac:dyDescent="0.2">
      <c r="E2911" s="332"/>
    </row>
    <row r="2912" spans="5:5" x14ac:dyDescent="0.2">
      <c r="E2912" s="332"/>
    </row>
    <row r="2913" spans="5:5" x14ac:dyDescent="0.2">
      <c r="E2913" s="332"/>
    </row>
    <row r="2914" spans="5:5" x14ac:dyDescent="0.2">
      <c r="E2914" s="332"/>
    </row>
    <row r="2915" spans="5:5" x14ac:dyDescent="0.2">
      <c r="E2915" s="332"/>
    </row>
    <row r="2916" spans="5:5" x14ac:dyDescent="0.2">
      <c r="E2916" s="332"/>
    </row>
    <row r="2917" spans="5:5" x14ac:dyDescent="0.2">
      <c r="E2917" s="332"/>
    </row>
    <row r="2918" spans="5:5" x14ac:dyDescent="0.2">
      <c r="E2918" s="332"/>
    </row>
    <row r="2919" spans="5:5" x14ac:dyDescent="0.2">
      <c r="E2919" s="332"/>
    </row>
    <row r="2920" spans="5:5" x14ac:dyDescent="0.2">
      <c r="E2920" s="332"/>
    </row>
    <row r="2921" spans="5:5" x14ac:dyDescent="0.2">
      <c r="E2921" s="332"/>
    </row>
    <row r="2922" spans="5:5" x14ac:dyDescent="0.2">
      <c r="E2922" s="332"/>
    </row>
    <row r="2923" spans="5:5" x14ac:dyDescent="0.2">
      <c r="E2923" s="332"/>
    </row>
    <row r="2924" spans="5:5" x14ac:dyDescent="0.2">
      <c r="E2924" s="332"/>
    </row>
    <row r="2925" spans="5:5" x14ac:dyDescent="0.2">
      <c r="E2925" s="332"/>
    </row>
    <row r="2926" spans="5:5" x14ac:dyDescent="0.2">
      <c r="E2926" s="332"/>
    </row>
    <row r="2927" spans="5:5" x14ac:dyDescent="0.2">
      <c r="E2927" s="332"/>
    </row>
    <row r="2928" spans="5:5" x14ac:dyDescent="0.2">
      <c r="E2928" s="332"/>
    </row>
    <row r="2929" spans="5:5" x14ac:dyDescent="0.2">
      <c r="E2929" s="332"/>
    </row>
    <row r="2930" spans="5:5" x14ac:dyDescent="0.2">
      <c r="E2930" s="332"/>
    </row>
    <row r="2931" spans="5:5" x14ac:dyDescent="0.2">
      <c r="E2931" s="332"/>
    </row>
    <row r="2932" spans="5:5" x14ac:dyDescent="0.2">
      <c r="E2932" s="332"/>
    </row>
    <row r="2933" spans="5:5" x14ac:dyDescent="0.2">
      <c r="E2933" s="332"/>
    </row>
    <row r="2934" spans="5:5" x14ac:dyDescent="0.2">
      <c r="E2934" s="332"/>
    </row>
    <row r="2935" spans="5:5" x14ac:dyDescent="0.2">
      <c r="E2935" s="332"/>
    </row>
    <row r="2936" spans="5:5" x14ac:dyDescent="0.2">
      <c r="E2936" s="332"/>
    </row>
    <row r="2937" spans="5:5" x14ac:dyDescent="0.2">
      <c r="E2937" s="332"/>
    </row>
    <row r="2938" spans="5:5" x14ac:dyDescent="0.2">
      <c r="E2938" s="332"/>
    </row>
    <row r="2939" spans="5:5" x14ac:dyDescent="0.2">
      <c r="E2939" s="332"/>
    </row>
    <row r="2940" spans="5:5" x14ac:dyDescent="0.2">
      <c r="E2940" s="332"/>
    </row>
    <row r="2941" spans="5:5" x14ac:dyDescent="0.2">
      <c r="E2941" s="332"/>
    </row>
    <row r="2942" spans="5:5" x14ac:dyDescent="0.2">
      <c r="E2942" s="332"/>
    </row>
    <row r="2943" spans="5:5" x14ac:dyDescent="0.2">
      <c r="E2943" s="332"/>
    </row>
    <row r="2944" spans="5:5" x14ac:dyDescent="0.2">
      <c r="E2944" s="332"/>
    </row>
    <row r="2945" spans="5:5" x14ac:dyDescent="0.2">
      <c r="E2945" s="332"/>
    </row>
    <row r="2946" spans="5:5" x14ac:dyDescent="0.2">
      <c r="E2946" s="332"/>
    </row>
    <row r="2947" spans="5:5" x14ac:dyDescent="0.2">
      <c r="E2947" s="332"/>
    </row>
    <row r="2948" spans="5:5" x14ac:dyDescent="0.2">
      <c r="E2948" s="332"/>
    </row>
    <row r="2949" spans="5:5" x14ac:dyDescent="0.2">
      <c r="E2949" s="332"/>
    </row>
    <row r="2950" spans="5:5" x14ac:dyDescent="0.2">
      <c r="E2950" s="332"/>
    </row>
    <row r="2951" spans="5:5" x14ac:dyDescent="0.2">
      <c r="E2951" s="332"/>
    </row>
    <row r="2952" spans="5:5" x14ac:dyDescent="0.2">
      <c r="E2952" s="332"/>
    </row>
    <row r="2953" spans="5:5" x14ac:dyDescent="0.2">
      <c r="E2953" s="332"/>
    </row>
    <row r="2954" spans="5:5" x14ac:dyDescent="0.2">
      <c r="E2954" s="332"/>
    </row>
    <row r="2955" spans="5:5" x14ac:dyDescent="0.2">
      <c r="E2955" s="332"/>
    </row>
    <row r="2956" spans="5:5" x14ac:dyDescent="0.2">
      <c r="E2956" s="332"/>
    </row>
    <row r="2957" spans="5:5" x14ac:dyDescent="0.2">
      <c r="E2957" s="332"/>
    </row>
    <row r="2958" spans="5:5" x14ac:dyDescent="0.2">
      <c r="E2958" s="332"/>
    </row>
    <row r="2959" spans="5:5" x14ac:dyDescent="0.2">
      <c r="E2959" s="332"/>
    </row>
    <row r="2960" spans="5:5" x14ac:dyDescent="0.2">
      <c r="E2960" s="332"/>
    </row>
    <row r="2961" spans="5:5" x14ac:dyDescent="0.2">
      <c r="E2961" s="332"/>
    </row>
    <row r="2962" spans="5:5" x14ac:dyDescent="0.2">
      <c r="E2962" s="332"/>
    </row>
    <row r="2963" spans="5:5" x14ac:dyDescent="0.2">
      <c r="E2963" s="332"/>
    </row>
    <row r="2964" spans="5:5" x14ac:dyDescent="0.2">
      <c r="E2964" s="332"/>
    </row>
    <row r="2965" spans="5:5" x14ac:dyDescent="0.2">
      <c r="E2965" s="332"/>
    </row>
    <row r="2966" spans="5:5" x14ac:dyDescent="0.2">
      <c r="E2966" s="332"/>
    </row>
    <row r="2967" spans="5:5" x14ac:dyDescent="0.2">
      <c r="E2967" s="332"/>
    </row>
    <row r="2968" spans="5:5" x14ac:dyDescent="0.2">
      <c r="E2968" s="332"/>
    </row>
    <row r="2969" spans="5:5" x14ac:dyDescent="0.2">
      <c r="E2969" s="332"/>
    </row>
    <row r="2970" spans="5:5" x14ac:dyDescent="0.2">
      <c r="E2970" s="332"/>
    </row>
    <row r="2971" spans="5:5" x14ac:dyDescent="0.2">
      <c r="E2971" s="332"/>
    </row>
    <row r="2972" spans="5:5" x14ac:dyDescent="0.2">
      <c r="E2972" s="332"/>
    </row>
    <row r="2973" spans="5:5" x14ac:dyDescent="0.2">
      <c r="E2973" s="332"/>
    </row>
    <row r="2974" spans="5:5" x14ac:dyDescent="0.2">
      <c r="E2974" s="332"/>
    </row>
    <row r="2975" spans="5:5" x14ac:dyDescent="0.2">
      <c r="E2975" s="332"/>
    </row>
    <row r="2976" spans="5:5" x14ac:dyDescent="0.2">
      <c r="E2976" s="332"/>
    </row>
    <row r="2977" spans="5:5" x14ac:dyDescent="0.2">
      <c r="E2977" s="332"/>
    </row>
    <row r="2978" spans="5:5" x14ac:dyDescent="0.2">
      <c r="E2978" s="332"/>
    </row>
    <row r="2979" spans="5:5" x14ac:dyDescent="0.2">
      <c r="E2979" s="332"/>
    </row>
    <row r="2980" spans="5:5" x14ac:dyDescent="0.2">
      <c r="E2980" s="332"/>
    </row>
    <row r="2981" spans="5:5" x14ac:dyDescent="0.2">
      <c r="E2981" s="332"/>
    </row>
    <row r="2982" spans="5:5" x14ac:dyDescent="0.2">
      <c r="E2982" s="332"/>
    </row>
    <row r="2983" spans="5:5" x14ac:dyDescent="0.2">
      <c r="E2983" s="332"/>
    </row>
    <row r="2984" spans="5:5" x14ac:dyDescent="0.2">
      <c r="E2984" s="332"/>
    </row>
    <row r="2985" spans="5:5" x14ac:dyDescent="0.2">
      <c r="E2985" s="332"/>
    </row>
    <row r="2986" spans="5:5" x14ac:dyDescent="0.2">
      <c r="E2986" s="332"/>
    </row>
    <row r="2987" spans="5:5" x14ac:dyDescent="0.2">
      <c r="E2987" s="332"/>
    </row>
    <row r="2988" spans="5:5" x14ac:dyDescent="0.2">
      <c r="E2988" s="332"/>
    </row>
    <row r="2989" spans="5:5" x14ac:dyDescent="0.2">
      <c r="E2989" s="332"/>
    </row>
    <row r="2990" spans="5:5" x14ac:dyDescent="0.2">
      <c r="E2990" s="332"/>
    </row>
    <row r="2991" spans="5:5" x14ac:dyDescent="0.2">
      <c r="E2991" s="332"/>
    </row>
    <row r="2992" spans="5:5" x14ac:dyDescent="0.2">
      <c r="E2992" s="332"/>
    </row>
    <row r="2993" spans="5:5" x14ac:dyDescent="0.2">
      <c r="E2993" s="332"/>
    </row>
    <row r="2994" spans="5:5" x14ac:dyDescent="0.2">
      <c r="E2994" s="332"/>
    </row>
    <row r="2995" spans="5:5" x14ac:dyDescent="0.2">
      <c r="E2995" s="332"/>
    </row>
    <row r="2996" spans="5:5" x14ac:dyDescent="0.2">
      <c r="E2996" s="332"/>
    </row>
    <row r="2997" spans="5:5" x14ac:dyDescent="0.2">
      <c r="E2997" s="332"/>
    </row>
    <row r="2998" spans="5:5" x14ac:dyDescent="0.2">
      <c r="E2998" s="332"/>
    </row>
    <row r="2999" spans="5:5" x14ac:dyDescent="0.2">
      <c r="E2999" s="332"/>
    </row>
    <row r="3000" spans="5:5" x14ac:dyDescent="0.2">
      <c r="E3000" s="332"/>
    </row>
    <row r="3001" spans="5:5" x14ac:dyDescent="0.2">
      <c r="E3001" s="332"/>
    </row>
    <row r="3002" spans="5:5" x14ac:dyDescent="0.2">
      <c r="E3002" s="332"/>
    </row>
    <row r="3003" spans="5:5" x14ac:dyDescent="0.2">
      <c r="E3003" s="332"/>
    </row>
    <row r="3004" spans="5:5" x14ac:dyDescent="0.2">
      <c r="E3004" s="332"/>
    </row>
    <row r="3005" spans="5:5" x14ac:dyDescent="0.2">
      <c r="E3005" s="332"/>
    </row>
    <row r="3006" spans="5:5" x14ac:dyDescent="0.2">
      <c r="E3006" s="332"/>
    </row>
    <row r="3007" spans="5:5" x14ac:dyDescent="0.2">
      <c r="E3007" s="332"/>
    </row>
    <row r="3008" spans="5:5" x14ac:dyDescent="0.2">
      <c r="E3008" s="332"/>
    </row>
    <row r="3009" spans="5:5" x14ac:dyDescent="0.2">
      <c r="E3009" s="332"/>
    </row>
    <row r="3010" spans="5:5" x14ac:dyDescent="0.2">
      <c r="E3010" s="332"/>
    </row>
    <row r="3011" spans="5:5" x14ac:dyDescent="0.2">
      <c r="E3011" s="332"/>
    </row>
    <row r="3012" spans="5:5" x14ac:dyDescent="0.2">
      <c r="E3012" s="332"/>
    </row>
    <row r="3013" spans="5:5" x14ac:dyDescent="0.2">
      <c r="E3013" s="332"/>
    </row>
    <row r="3014" spans="5:5" x14ac:dyDescent="0.2">
      <c r="E3014" s="332"/>
    </row>
    <row r="3015" spans="5:5" x14ac:dyDescent="0.2">
      <c r="E3015" s="332"/>
    </row>
    <row r="3016" spans="5:5" x14ac:dyDescent="0.2">
      <c r="E3016" s="332"/>
    </row>
    <row r="3017" spans="5:5" x14ac:dyDescent="0.2">
      <c r="E3017" s="332"/>
    </row>
    <row r="3018" spans="5:5" x14ac:dyDescent="0.2">
      <c r="E3018" s="332"/>
    </row>
    <row r="3019" spans="5:5" x14ac:dyDescent="0.2">
      <c r="E3019" s="332"/>
    </row>
    <row r="3020" spans="5:5" x14ac:dyDescent="0.2">
      <c r="E3020" s="332"/>
    </row>
    <row r="3021" spans="5:5" x14ac:dyDescent="0.2">
      <c r="E3021" s="332"/>
    </row>
    <row r="3022" spans="5:5" x14ac:dyDescent="0.2">
      <c r="E3022" s="332"/>
    </row>
    <row r="3023" spans="5:5" x14ac:dyDescent="0.2">
      <c r="E3023" s="332"/>
    </row>
    <row r="3024" spans="5:5" x14ac:dyDescent="0.2">
      <c r="E3024" s="332"/>
    </row>
    <row r="3025" spans="5:5" x14ac:dyDescent="0.2">
      <c r="E3025" s="332"/>
    </row>
    <row r="3026" spans="5:5" x14ac:dyDescent="0.2">
      <c r="E3026" s="332"/>
    </row>
    <row r="3027" spans="5:5" x14ac:dyDescent="0.2">
      <c r="E3027" s="332"/>
    </row>
    <row r="3028" spans="5:5" x14ac:dyDescent="0.2">
      <c r="E3028" s="332"/>
    </row>
    <row r="3029" spans="5:5" x14ac:dyDescent="0.2">
      <c r="E3029" s="332"/>
    </row>
    <row r="3030" spans="5:5" x14ac:dyDescent="0.2">
      <c r="E3030" s="332"/>
    </row>
    <row r="3031" spans="5:5" x14ac:dyDescent="0.2">
      <c r="E3031" s="332"/>
    </row>
    <row r="3032" spans="5:5" x14ac:dyDescent="0.2">
      <c r="E3032" s="332"/>
    </row>
    <row r="3033" spans="5:5" x14ac:dyDescent="0.2">
      <c r="E3033" s="332"/>
    </row>
    <row r="3034" spans="5:5" x14ac:dyDescent="0.2">
      <c r="E3034" s="332"/>
    </row>
    <row r="3035" spans="5:5" x14ac:dyDescent="0.2">
      <c r="E3035" s="332"/>
    </row>
    <row r="3036" spans="5:5" x14ac:dyDescent="0.2">
      <c r="E3036" s="332"/>
    </row>
    <row r="3037" spans="5:5" x14ac:dyDescent="0.2">
      <c r="E3037" s="332"/>
    </row>
    <row r="3038" spans="5:5" x14ac:dyDescent="0.2">
      <c r="E3038" s="332"/>
    </row>
    <row r="3039" spans="5:5" x14ac:dyDescent="0.2">
      <c r="E3039" s="332"/>
    </row>
    <row r="3040" spans="5:5" x14ac:dyDescent="0.2">
      <c r="E3040" s="332"/>
    </row>
    <row r="3041" spans="5:5" x14ac:dyDescent="0.2">
      <c r="E3041" s="332"/>
    </row>
    <row r="3042" spans="5:5" x14ac:dyDescent="0.2">
      <c r="E3042" s="332"/>
    </row>
    <row r="3043" spans="5:5" x14ac:dyDescent="0.2">
      <c r="E3043" s="332"/>
    </row>
    <row r="3044" spans="5:5" x14ac:dyDescent="0.2">
      <c r="E3044" s="332"/>
    </row>
    <row r="3045" spans="5:5" x14ac:dyDescent="0.2">
      <c r="E3045" s="332"/>
    </row>
    <row r="3046" spans="5:5" x14ac:dyDescent="0.2">
      <c r="E3046" s="332"/>
    </row>
    <row r="3047" spans="5:5" x14ac:dyDescent="0.2">
      <c r="E3047" s="332"/>
    </row>
    <row r="3048" spans="5:5" x14ac:dyDescent="0.2">
      <c r="E3048" s="332"/>
    </row>
    <row r="3049" spans="5:5" x14ac:dyDescent="0.2">
      <c r="E3049" s="332"/>
    </row>
    <row r="3050" spans="5:5" x14ac:dyDescent="0.2">
      <c r="E3050" s="332"/>
    </row>
    <row r="3051" spans="5:5" x14ac:dyDescent="0.2">
      <c r="E3051" s="332"/>
    </row>
    <row r="3052" spans="5:5" x14ac:dyDescent="0.2">
      <c r="E3052" s="332"/>
    </row>
    <row r="3053" spans="5:5" x14ac:dyDescent="0.2">
      <c r="E3053" s="332"/>
    </row>
    <row r="3054" spans="5:5" x14ac:dyDescent="0.2">
      <c r="E3054" s="332"/>
    </row>
    <row r="3055" spans="5:5" x14ac:dyDescent="0.2">
      <c r="E3055" s="332"/>
    </row>
    <row r="3056" spans="5:5" x14ac:dyDescent="0.2">
      <c r="E3056" s="332"/>
    </row>
    <row r="3057" spans="5:5" x14ac:dyDescent="0.2">
      <c r="E3057" s="332"/>
    </row>
    <row r="3058" spans="5:5" x14ac:dyDescent="0.2">
      <c r="E3058" s="332"/>
    </row>
    <row r="3059" spans="5:5" x14ac:dyDescent="0.2">
      <c r="E3059" s="332"/>
    </row>
    <row r="3060" spans="5:5" x14ac:dyDescent="0.2">
      <c r="E3060" s="332"/>
    </row>
    <row r="3061" spans="5:5" x14ac:dyDescent="0.2">
      <c r="E3061" s="332"/>
    </row>
    <row r="3062" spans="5:5" x14ac:dyDescent="0.2">
      <c r="E3062" s="332"/>
    </row>
    <row r="3063" spans="5:5" x14ac:dyDescent="0.2">
      <c r="E3063" s="332"/>
    </row>
    <row r="3064" spans="5:5" x14ac:dyDescent="0.2">
      <c r="E3064" s="332"/>
    </row>
    <row r="3065" spans="5:5" x14ac:dyDescent="0.2">
      <c r="E3065" s="332"/>
    </row>
    <row r="3066" spans="5:5" x14ac:dyDescent="0.2">
      <c r="E3066" s="332"/>
    </row>
    <row r="3067" spans="5:5" x14ac:dyDescent="0.2">
      <c r="E3067" s="332"/>
    </row>
    <row r="3068" spans="5:5" x14ac:dyDescent="0.2">
      <c r="E3068" s="332"/>
    </row>
    <row r="3069" spans="5:5" x14ac:dyDescent="0.2">
      <c r="E3069" s="332"/>
    </row>
    <row r="3070" spans="5:5" x14ac:dyDescent="0.2">
      <c r="E3070" s="332"/>
    </row>
    <row r="3071" spans="5:5" x14ac:dyDescent="0.2">
      <c r="E3071" s="332"/>
    </row>
    <row r="3072" spans="5:5" x14ac:dyDescent="0.2">
      <c r="E3072" s="332"/>
    </row>
    <row r="3073" spans="5:5" x14ac:dyDescent="0.2">
      <c r="E3073" s="332"/>
    </row>
    <row r="3074" spans="5:5" x14ac:dyDescent="0.2">
      <c r="E3074" s="332"/>
    </row>
    <row r="3075" spans="5:5" x14ac:dyDescent="0.2">
      <c r="E3075" s="332"/>
    </row>
    <row r="3076" spans="5:5" x14ac:dyDescent="0.2">
      <c r="E3076" s="332"/>
    </row>
    <row r="3077" spans="5:5" x14ac:dyDescent="0.2">
      <c r="E3077" s="332"/>
    </row>
    <row r="3078" spans="5:5" x14ac:dyDescent="0.2">
      <c r="E3078" s="332"/>
    </row>
    <row r="3079" spans="5:5" x14ac:dyDescent="0.2">
      <c r="E3079" s="332"/>
    </row>
    <row r="3080" spans="5:5" x14ac:dyDescent="0.2">
      <c r="E3080" s="332"/>
    </row>
    <row r="3081" spans="5:5" x14ac:dyDescent="0.2">
      <c r="E3081" s="332"/>
    </row>
    <row r="3082" spans="5:5" x14ac:dyDescent="0.2">
      <c r="E3082" s="332"/>
    </row>
    <row r="3083" spans="5:5" x14ac:dyDescent="0.2">
      <c r="E3083" s="332"/>
    </row>
    <row r="3084" spans="5:5" x14ac:dyDescent="0.2">
      <c r="E3084" s="332"/>
    </row>
    <row r="3085" spans="5:5" x14ac:dyDescent="0.2">
      <c r="E3085" s="332"/>
    </row>
    <row r="3086" spans="5:5" x14ac:dyDescent="0.2">
      <c r="E3086" s="332"/>
    </row>
    <row r="3087" spans="5:5" x14ac:dyDescent="0.2">
      <c r="E3087" s="332"/>
    </row>
    <row r="3088" spans="5:5" x14ac:dyDescent="0.2">
      <c r="E3088" s="332"/>
    </row>
    <row r="3089" spans="5:5" x14ac:dyDescent="0.2">
      <c r="E3089" s="332"/>
    </row>
    <row r="3090" spans="5:5" x14ac:dyDescent="0.2">
      <c r="E3090" s="332"/>
    </row>
    <row r="3091" spans="5:5" x14ac:dyDescent="0.2">
      <c r="E3091" s="332"/>
    </row>
    <row r="3092" spans="5:5" x14ac:dyDescent="0.2">
      <c r="E3092" s="332"/>
    </row>
    <row r="3093" spans="5:5" x14ac:dyDescent="0.2">
      <c r="E3093" s="332"/>
    </row>
    <row r="3094" spans="5:5" x14ac:dyDescent="0.2">
      <c r="E3094" s="332"/>
    </row>
    <row r="3095" spans="5:5" x14ac:dyDescent="0.2">
      <c r="E3095" s="332"/>
    </row>
    <row r="3096" spans="5:5" x14ac:dyDescent="0.2">
      <c r="E3096" s="332"/>
    </row>
    <row r="3097" spans="5:5" x14ac:dyDescent="0.2">
      <c r="E3097" s="332"/>
    </row>
    <row r="3098" spans="5:5" x14ac:dyDescent="0.2">
      <c r="E3098" s="332"/>
    </row>
    <row r="3099" spans="5:5" x14ac:dyDescent="0.2">
      <c r="E3099" s="332"/>
    </row>
    <row r="3100" spans="5:5" x14ac:dyDescent="0.2">
      <c r="E3100" s="332"/>
    </row>
    <row r="3101" spans="5:5" x14ac:dyDescent="0.2">
      <c r="E3101" s="332"/>
    </row>
    <row r="3102" spans="5:5" x14ac:dyDescent="0.2">
      <c r="E3102" s="332"/>
    </row>
    <row r="3103" spans="5:5" x14ac:dyDescent="0.2">
      <c r="E3103" s="332"/>
    </row>
    <row r="3104" spans="5:5" x14ac:dyDescent="0.2">
      <c r="E3104" s="332"/>
    </row>
    <row r="3105" spans="5:5" x14ac:dyDescent="0.2">
      <c r="E3105" s="332"/>
    </row>
    <row r="3106" spans="5:5" x14ac:dyDescent="0.2">
      <c r="E3106" s="332"/>
    </row>
    <row r="3107" spans="5:5" x14ac:dyDescent="0.2">
      <c r="E3107" s="332"/>
    </row>
    <row r="3108" spans="5:5" x14ac:dyDescent="0.2">
      <c r="E3108" s="332"/>
    </row>
    <row r="3109" spans="5:5" x14ac:dyDescent="0.2">
      <c r="E3109" s="332"/>
    </row>
    <row r="3110" spans="5:5" x14ac:dyDescent="0.2">
      <c r="E3110" s="332"/>
    </row>
    <row r="3111" spans="5:5" x14ac:dyDescent="0.2">
      <c r="E3111" s="332"/>
    </row>
    <row r="3112" spans="5:5" x14ac:dyDescent="0.2">
      <c r="E3112" s="332"/>
    </row>
    <row r="3113" spans="5:5" x14ac:dyDescent="0.2">
      <c r="E3113" s="332"/>
    </row>
    <row r="3114" spans="5:5" x14ac:dyDescent="0.2">
      <c r="E3114" s="332"/>
    </row>
    <row r="3115" spans="5:5" x14ac:dyDescent="0.2">
      <c r="E3115" s="332"/>
    </row>
    <row r="3116" spans="5:5" x14ac:dyDescent="0.2">
      <c r="E3116" s="332"/>
    </row>
    <row r="3117" spans="5:5" x14ac:dyDescent="0.2">
      <c r="E3117" s="332"/>
    </row>
    <row r="3118" spans="5:5" x14ac:dyDescent="0.2">
      <c r="E3118" s="332"/>
    </row>
    <row r="3119" spans="5:5" x14ac:dyDescent="0.2">
      <c r="E3119" s="332"/>
    </row>
    <row r="3120" spans="5:5" x14ac:dyDescent="0.2">
      <c r="E3120" s="332"/>
    </row>
    <row r="3121" spans="5:5" x14ac:dyDescent="0.2">
      <c r="E3121" s="332"/>
    </row>
    <row r="3122" spans="5:5" x14ac:dyDescent="0.2">
      <c r="E3122" s="332"/>
    </row>
    <row r="3123" spans="5:5" x14ac:dyDescent="0.2">
      <c r="E3123" s="332"/>
    </row>
    <row r="3124" spans="5:5" x14ac:dyDescent="0.2">
      <c r="E3124" s="332"/>
    </row>
    <row r="3125" spans="5:5" x14ac:dyDescent="0.2">
      <c r="E3125" s="332"/>
    </row>
    <row r="3126" spans="5:5" x14ac:dyDescent="0.2">
      <c r="E3126" s="332"/>
    </row>
    <row r="3127" spans="5:5" x14ac:dyDescent="0.2">
      <c r="E3127" s="332"/>
    </row>
    <row r="3128" spans="5:5" x14ac:dyDescent="0.2">
      <c r="E3128" s="332"/>
    </row>
    <row r="3129" spans="5:5" x14ac:dyDescent="0.2">
      <c r="E3129" s="332"/>
    </row>
    <row r="3130" spans="5:5" x14ac:dyDescent="0.2">
      <c r="E3130" s="332"/>
    </row>
    <row r="3131" spans="5:5" x14ac:dyDescent="0.2">
      <c r="E3131" s="332"/>
    </row>
    <row r="3132" spans="5:5" x14ac:dyDescent="0.2">
      <c r="E3132" s="332"/>
    </row>
    <row r="3133" spans="5:5" x14ac:dyDescent="0.2">
      <c r="E3133" s="332"/>
    </row>
    <row r="3134" spans="5:5" x14ac:dyDescent="0.2">
      <c r="E3134" s="332"/>
    </row>
    <row r="3135" spans="5:5" x14ac:dyDescent="0.2">
      <c r="E3135" s="332"/>
    </row>
    <row r="3136" spans="5:5" x14ac:dyDescent="0.2">
      <c r="E3136" s="332"/>
    </row>
    <row r="3137" spans="5:5" x14ac:dyDescent="0.2">
      <c r="E3137" s="332"/>
    </row>
    <row r="3138" spans="5:5" x14ac:dyDescent="0.2">
      <c r="E3138" s="332"/>
    </row>
    <row r="3139" spans="5:5" x14ac:dyDescent="0.2">
      <c r="E3139" s="332"/>
    </row>
    <row r="3140" spans="5:5" x14ac:dyDescent="0.2">
      <c r="E3140" s="332"/>
    </row>
    <row r="3141" spans="5:5" x14ac:dyDescent="0.2">
      <c r="E3141" s="332"/>
    </row>
    <row r="3142" spans="5:5" x14ac:dyDescent="0.2">
      <c r="E3142" s="332"/>
    </row>
    <row r="3143" spans="5:5" x14ac:dyDescent="0.2">
      <c r="E3143" s="332"/>
    </row>
    <row r="3144" spans="5:5" x14ac:dyDescent="0.2">
      <c r="E3144" s="332"/>
    </row>
    <row r="3145" spans="5:5" x14ac:dyDescent="0.2">
      <c r="E3145" s="332"/>
    </row>
    <row r="3146" spans="5:5" x14ac:dyDescent="0.2">
      <c r="E3146" s="332"/>
    </row>
    <row r="3147" spans="5:5" x14ac:dyDescent="0.2">
      <c r="E3147" s="332"/>
    </row>
    <row r="3148" spans="5:5" x14ac:dyDescent="0.2">
      <c r="E3148" s="332"/>
    </row>
    <row r="3149" spans="5:5" x14ac:dyDescent="0.2">
      <c r="E3149" s="332"/>
    </row>
    <row r="3150" spans="5:5" x14ac:dyDescent="0.2">
      <c r="E3150" s="332"/>
    </row>
    <row r="3151" spans="5:5" x14ac:dyDescent="0.2">
      <c r="E3151" s="332"/>
    </row>
    <row r="3152" spans="5:5" x14ac:dyDescent="0.2">
      <c r="E3152" s="332"/>
    </row>
    <row r="3153" spans="5:5" x14ac:dyDescent="0.2">
      <c r="E3153" s="332"/>
    </row>
    <row r="3154" spans="5:5" x14ac:dyDescent="0.2">
      <c r="E3154" s="332"/>
    </row>
    <row r="3155" spans="5:5" x14ac:dyDescent="0.2">
      <c r="E3155" s="332"/>
    </row>
    <row r="3156" spans="5:5" x14ac:dyDescent="0.2">
      <c r="E3156" s="332"/>
    </row>
    <row r="3157" spans="5:5" x14ac:dyDescent="0.2">
      <c r="E3157" s="332"/>
    </row>
    <row r="3158" spans="5:5" x14ac:dyDescent="0.2">
      <c r="E3158" s="332"/>
    </row>
    <row r="3159" spans="5:5" x14ac:dyDescent="0.2">
      <c r="E3159" s="332"/>
    </row>
    <row r="3160" spans="5:5" x14ac:dyDescent="0.2">
      <c r="E3160" s="332"/>
    </row>
    <row r="3161" spans="5:5" x14ac:dyDescent="0.2">
      <c r="E3161" s="332"/>
    </row>
    <row r="3162" spans="5:5" x14ac:dyDescent="0.2">
      <c r="E3162" s="332"/>
    </row>
    <row r="3163" spans="5:5" x14ac:dyDescent="0.2">
      <c r="E3163" s="332"/>
    </row>
    <row r="3164" spans="5:5" x14ac:dyDescent="0.2">
      <c r="E3164" s="332"/>
    </row>
    <row r="3165" spans="5:5" x14ac:dyDescent="0.2">
      <c r="E3165" s="332"/>
    </row>
    <row r="3166" spans="5:5" x14ac:dyDescent="0.2">
      <c r="E3166" s="332"/>
    </row>
    <row r="3167" spans="5:5" x14ac:dyDescent="0.2">
      <c r="E3167" s="332"/>
    </row>
    <row r="3168" spans="5:5" x14ac:dyDescent="0.2">
      <c r="E3168" s="332"/>
    </row>
    <row r="3169" spans="5:5" x14ac:dyDescent="0.2">
      <c r="E3169" s="332"/>
    </row>
    <row r="3170" spans="5:5" x14ac:dyDescent="0.2">
      <c r="E3170" s="332"/>
    </row>
    <row r="3171" spans="5:5" x14ac:dyDescent="0.2">
      <c r="E3171" s="332"/>
    </row>
    <row r="3172" spans="5:5" x14ac:dyDescent="0.2">
      <c r="E3172" s="332"/>
    </row>
    <row r="3173" spans="5:5" x14ac:dyDescent="0.2">
      <c r="E3173" s="332"/>
    </row>
    <row r="3174" spans="5:5" x14ac:dyDescent="0.2">
      <c r="E3174" s="332"/>
    </row>
    <row r="3175" spans="5:5" x14ac:dyDescent="0.2">
      <c r="E3175" s="332"/>
    </row>
    <row r="3176" spans="5:5" x14ac:dyDescent="0.2">
      <c r="E3176" s="332"/>
    </row>
    <row r="3177" spans="5:5" x14ac:dyDescent="0.2">
      <c r="E3177" s="332"/>
    </row>
    <row r="3178" spans="5:5" x14ac:dyDescent="0.2">
      <c r="E3178" s="332"/>
    </row>
    <row r="3179" spans="5:5" x14ac:dyDescent="0.2">
      <c r="E3179" s="332"/>
    </row>
    <row r="3180" spans="5:5" x14ac:dyDescent="0.2">
      <c r="E3180" s="332"/>
    </row>
    <row r="3181" spans="5:5" x14ac:dyDescent="0.2">
      <c r="E3181" s="332"/>
    </row>
    <row r="3182" spans="5:5" x14ac:dyDescent="0.2">
      <c r="E3182" s="332"/>
    </row>
    <row r="3183" spans="5:5" x14ac:dyDescent="0.2">
      <c r="E3183" s="332"/>
    </row>
    <row r="3184" spans="5:5" x14ac:dyDescent="0.2">
      <c r="E3184" s="332"/>
    </row>
    <row r="3185" spans="5:5" x14ac:dyDescent="0.2">
      <c r="E3185" s="332"/>
    </row>
    <row r="3186" spans="5:5" x14ac:dyDescent="0.2">
      <c r="E3186" s="332"/>
    </row>
    <row r="3187" spans="5:5" x14ac:dyDescent="0.2">
      <c r="E3187" s="332"/>
    </row>
    <row r="3188" spans="5:5" x14ac:dyDescent="0.2">
      <c r="E3188" s="332"/>
    </row>
    <row r="3189" spans="5:5" x14ac:dyDescent="0.2">
      <c r="E3189" s="332"/>
    </row>
    <row r="3190" spans="5:5" x14ac:dyDescent="0.2">
      <c r="E3190" s="332"/>
    </row>
    <row r="3191" spans="5:5" x14ac:dyDescent="0.2">
      <c r="E3191" s="332"/>
    </row>
    <row r="3192" spans="5:5" x14ac:dyDescent="0.2">
      <c r="E3192" s="332"/>
    </row>
    <row r="3193" spans="5:5" x14ac:dyDescent="0.2">
      <c r="E3193" s="332"/>
    </row>
    <row r="3194" spans="5:5" x14ac:dyDescent="0.2">
      <c r="E3194" s="332"/>
    </row>
    <row r="3195" spans="5:5" x14ac:dyDescent="0.2">
      <c r="E3195" s="332"/>
    </row>
    <row r="3196" spans="5:5" x14ac:dyDescent="0.2">
      <c r="E3196" s="332"/>
    </row>
    <row r="3197" spans="5:5" x14ac:dyDescent="0.2">
      <c r="E3197" s="332"/>
    </row>
    <row r="3198" spans="5:5" x14ac:dyDescent="0.2">
      <c r="E3198" s="332"/>
    </row>
    <row r="3199" spans="5:5" x14ac:dyDescent="0.2">
      <c r="E3199" s="332"/>
    </row>
    <row r="3200" spans="5:5" x14ac:dyDescent="0.2">
      <c r="E3200" s="332"/>
    </row>
    <row r="3201" spans="5:5" x14ac:dyDescent="0.2">
      <c r="E3201" s="332"/>
    </row>
    <row r="3202" spans="5:5" x14ac:dyDescent="0.2">
      <c r="E3202" s="332"/>
    </row>
    <row r="3203" spans="5:5" x14ac:dyDescent="0.2">
      <c r="E3203" s="332"/>
    </row>
    <row r="3204" spans="5:5" x14ac:dyDescent="0.2">
      <c r="E3204" s="332"/>
    </row>
    <row r="3205" spans="5:5" x14ac:dyDescent="0.2">
      <c r="E3205" s="332"/>
    </row>
    <row r="3206" spans="5:5" x14ac:dyDescent="0.2">
      <c r="E3206" s="332"/>
    </row>
    <row r="3207" spans="5:5" x14ac:dyDescent="0.2">
      <c r="E3207" s="332"/>
    </row>
    <row r="3208" spans="5:5" x14ac:dyDescent="0.2">
      <c r="E3208" s="332"/>
    </row>
    <row r="3209" spans="5:5" x14ac:dyDescent="0.2">
      <c r="E3209" s="332"/>
    </row>
    <row r="3210" spans="5:5" x14ac:dyDescent="0.2">
      <c r="E3210" s="332"/>
    </row>
    <row r="3211" spans="5:5" x14ac:dyDescent="0.2">
      <c r="E3211" s="332"/>
    </row>
    <row r="3212" spans="5:5" x14ac:dyDescent="0.2">
      <c r="E3212" s="332"/>
    </row>
    <row r="3213" spans="5:5" x14ac:dyDescent="0.2">
      <c r="E3213" s="332"/>
    </row>
    <row r="3214" spans="5:5" x14ac:dyDescent="0.2">
      <c r="E3214" s="332"/>
    </row>
    <row r="3215" spans="5:5" x14ac:dyDescent="0.2">
      <c r="E3215" s="332"/>
    </row>
    <row r="3216" spans="5:5" x14ac:dyDescent="0.2">
      <c r="E3216" s="332"/>
    </row>
    <row r="3217" spans="5:5" x14ac:dyDescent="0.2">
      <c r="E3217" s="332"/>
    </row>
    <row r="3218" spans="5:5" x14ac:dyDescent="0.2">
      <c r="E3218" s="332"/>
    </row>
    <row r="3219" spans="5:5" x14ac:dyDescent="0.2">
      <c r="E3219" s="332"/>
    </row>
    <row r="3220" spans="5:5" x14ac:dyDescent="0.2">
      <c r="E3220" s="332"/>
    </row>
    <row r="3221" spans="5:5" x14ac:dyDescent="0.2">
      <c r="E3221" s="332"/>
    </row>
    <row r="3222" spans="5:5" x14ac:dyDescent="0.2">
      <c r="E3222" s="332"/>
    </row>
    <row r="3223" spans="5:5" x14ac:dyDescent="0.2">
      <c r="E3223" s="332"/>
    </row>
    <row r="3224" spans="5:5" x14ac:dyDescent="0.2">
      <c r="E3224" s="332"/>
    </row>
    <row r="3225" spans="5:5" x14ac:dyDescent="0.2">
      <c r="E3225" s="332"/>
    </row>
    <row r="3226" spans="5:5" x14ac:dyDescent="0.2">
      <c r="E3226" s="332"/>
    </row>
    <row r="3227" spans="5:5" x14ac:dyDescent="0.2">
      <c r="E3227" s="332"/>
    </row>
    <row r="3228" spans="5:5" x14ac:dyDescent="0.2">
      <c r="E3228" s="332"/>
    </row>
    <row r="3229" spans="5:5" x14ac:dyDescent="0.2">
      <c r="E3229" s="332"/>
    </row>
    <row r="3230" spans="5:5" x14ac:dyDescent="0.2">
      <c r="E3230" s="332"/>
    </row>
    <row r="3231" spans="5:5" x14ac:dyDescent="0.2">
      <c r="E3231" s="332"/>
    </row>
    <row r="3232" spans="5:5" x14ac:dyDescent="0.2">
      <c r="E3232" s="332"/>
    </row>
    <row r="3233" spans="5:5" x14ac:dyDescent="0.2">
      <c r="E3233" s="332"/>
    </row>
    <row r="3234" spans="5:5" x14ac:dyDescent="0.2">
      <c r="E3234" s="332"/>
    </row>
    <row r="3235" spans="5:5" x14ac:dyDescent="0.2">
      <c r="E3235" s="332"/>
    </row>
    <row r="3236" spans="5:5" x14ac:dyDescent="0.2">
      <c r="E3236" s="332"/>
    </row>
    <row r="3237" spans="5:5" x14ac:dyDescent="0.2">
      <c r="E3237" s="332"/>
    </row>
    <row r="3238" spans="5:5" x14ac:dyDescent="0.2">
      <c r="E3238" s="332"/>
    </row>
    <row r="3239" spans="5:5" x14ac:dyDescent="0.2">
      <c r="E3239" s="332"/>
    </row>
    <row r="3240" spans="5:5" x14ac:dyDescent="0.2">
      <c r="E3240" s="332"/>
    </row>
    <row r="3241" spans="5:5" x14ac:dyDescent="0.2">
      <c r="E3241" s="332"/>
    </row>
    <row r="3242" spans="5:5" x14ac:dyDescent="0.2">
      <c r="E3242" s="332"/>
    </row>
    <row r="3243" spans="5:5" x14ac:dyDescent="0.2">
      <c r="E3243" s="332"/>
    </row>
    <row r="3244" spans="5:5" x14ac:dyDescent="0.2">
      <c r="E3244" s="332"/>
    </row>
    <row r="3245" spans="5:5" x14ac:dyDescent="0.2">
      <c r="E3245" s="332"/>
    </row>
    <row r="3246" spans="5:5" x14ac:dyDescent="0.2">
      <c r="E3246" s="332"/>
    </row>
    <row r="3247" spans="5:5" x14ac:dyDescent="0.2">
      <c r="E3247" s="332"/>
    </row>
    <row r="3248" spans="5:5" x14ac:dyDescent="0.2">
      <c r="E3248" s="332"/>
    </row>
    <row r="3249" spans="5:5" x14ac:dyDescent="0.2">
      <c r="E3249" s="332"/>
    </row>
    <row r="3250" spans="5:5" x14ac:dyDescent="0.2">
      <c r="E3250" s="332"/>
    </row>
    <row r="3251" spans="5:5" x14ac:dyDescent="0.2">
      <c r="E3251" s="332"/>
    </row>
    <row r="3252" spans="5:5" x14ac:dyDescent="0.2">
      <c r="E3252" s="332"/>
    </row>
    <row r="3253" spans="5:5" x14ac:dyDescent="0.2">
      <c r="E3253" s="332"/>
    </row>
    <row r="3254" spans="5:5" x14ac:dyDescent="0.2">
      <c r="E3254" s="332"/>
    </row>
    <row r="3255" spans="5:5" x14ac:dyDescent="0.2">
      <c r="E3255" s="332"/>
    </row>
    <row r="3256" spans="5:5" x14ac:dyDescent="0.2">
      <c r="E3256" s="332"/>
    </row>
    <row r="3257" spans="5:5" x14ac:dyDescent="0.2">
      <c r="E3257" s="332"/>
    </row>
    <row r="3258" spans="5:5" x14ac:dyDescent="0.2">
      <c r="E3258" s="332"/>
    </row>
    <row r="3259" spans="5:5" x14ac:dyDescent="0.2">
      <c r="E3259" s="332"/>
    </row>
    <row r="3260" spans="5:5" x14ac:dyDescent="0.2">
      <c r="E3260" s="332"/>
    </row>
    <row r="3261" spans="5:5" x14ac:dyDescent="0.2">
      <c r="E3261" s="332"/>
    </row>
    <row r="3262" spans="5:5" x14ac:dyDescent="0.2">
      <c r="E3262" s="332"/>
    </row>
    <row r="3263" spans="5:5" x14ac:dyDescent="0.2">
      <c r="E3263" s="332"/>
    </row>
    <row r="3264" spans="5:5" x14ac:dyDescent="0.2">
      <c r="E3264" s="332"/>
    </row>
    <row r="3265" spans="5:5" x14ac:dyDescent="0.2">
      <c r="E3265" s="332"/>
    </row>
    <row r="3266" spans="5:5" x14ac:dyDescent="0.2">
      <c r="E3266" s="332"/>
    </row>
    <row r="3267" spans="5:5" x14ac:dyDescent="0.2">
      <c r="E3267" s="332"/>
    </row>
    <row r="3268" spans="5:5" x14ac:dyDescent="0.2">
      <c r="E3268" s="332"/>
    </row>
    <row r="3269" spans="5:5" x14ac:dyDescent="0.2">
      <c r="E3269" s="332"/>
    </row>
    <row r="3270" spans="5:5" x14ac:dyDescent="0.2">
      <c r="E3270" s="332"/>
    </row>
    <row r="3271" spans="5:5" x14ac:dyDescent="0.2">
      <c r="E3271" s="332"/>
    </row>
    <row r="3272" spans="5:5" x14ac:dyDescent="0.2">
      <c r="E3272" s="332"/>
    </row>
    <row r="3273" spans="5:5" x14ac:dyDescent="0.2">
      <c r="E3273" s="332"/>
    </row>
    <row r="3274" spans="5:5" x14ac:dyDescent="0.2">
      <c r="E3274" s="332"/>
    </row>
    <row r="3275" spans="5:5" x14ac:dyDescent="0.2">
      <c r="E3275" s="332"/>
    </row>
    <row r="3276" spans="5:5" x14ac:dyDescent="0.2">
      <c r="E3276" s="332"/>
    </row>
    <row r="3277" spans="5:5" x14ac:dyDescent="0.2">
      <c r="E3277" s="332"/>
    </row>
    <row r="3278" spans="5:5" x14ac:dyDescent="0.2">
      <c r="E3278" s="332"/>
    </row>
    <row r="3279" spans="5:5" x14ac:dyDescent="0.2">
      <c r="E3279" s="332"/>
    </row>
    <row r="3280" spans="5:5" x14ac:dyDescent="0.2">
      <c r="E3280" s="332"/>
    </row>
    <row r="3281" spans="5:5" x14ac:dyDescent="0.2">
      <c r="E3281" s="332"/>
    </row>
    <row r="3282" spans="5:5" x14ac:dyDescent="0.2">
      <c r="E3282" s="332"/>
    </row>
    <row r="3283" spans="5:5" x14ac:dyDescent="0.2">
      <c r="E3283" s="332"/>
    </row>
    <row r="3284" spans="5:5" x14ac:dyDescent="0.2">
      <c r="E3284" s="332"/>
    </row>
    <row r="3285" spans="5:5" x14ac:dyDescent="0.2">
      <c r="E3285" s="332"/>
    </row>
    <row r="3286" spans="5:5" x14ac:dyDescent="0.2">
      <c r="E3286" s="332"/>
    </row>
    <row r="3287" spans="5:5" x14ac:dyDescent="0.2">
      <c r="E3287" s="332"/>
    </row>
    <row r="3288" spans="5:5" x14ac:dyDescent="0.2">
      <c r="E3288" s="332"/>
    </row>
    <row r="3289" spans="5:5" x14ac:dyDescent="0.2">
      <c r="E3289" s="332"/>
    </row>
    <row r="3290" spans="5:5" x14ac:dyDescent="0.2">
      <c r="E3290" s="332"/>
    </row>
    <row r="3291" spans="5:5" x14ac:dyDescent="0.2">
      <c r="E3291" s="332"/>
    </row>
    <row r="3292" spans="5:5" x14ac:dyDescent="0.2">
      <c r="E3292" s="332"/>
    </row>
    <row r="3293" spans="5:5" x14ac:dyDescent="0.2">
      <c r="E3293" s="332"/>
    </row>
    <row r="3294" spans="5:5" x14ac:dyDescent="0.2">
      <c r="E3294" s="332"/>
    </row>
    <row r="3295" spans="5:5" x14ac:dyDescent="0.2">
      <c r="E3295" s="332"/>
    </row>
    <row r="3296" spans="5:5" x14ac:dyDescent="0.2">
      <c r="E3296" s="332"/>
    </row>
    <row r="3297" spans="5:5" x14ac:dyDescent="0.2">
      <c r="E3297" s="332"/>
    </row>
    <row r="3298" spans="5:5" x14ac:dyDescent="0.2">
      <c r="E3298" s="332"/>
    </row>
    <row r="3299" spans="5:5" x14ac:dyDescent="0.2">
      <c r="E3299" s="332"/>
    </row>
    <row r="3300" spans="5:5" x14ac:dyDescent="0.2">
      <c r="E3300" s="332"/>
    </row>
    <row r="3301" spans="5:5" x14ac:dyDescent="0.2">
      <c r="E3301" s="332"/>
    </row>
    <row r="3302" spans="5:5" x14ac:dyDescent="0.2">
      <c r="E3302" s="332"/>
    </row>
    <row r="3303" spans="5:5" x14ac:dyDescent="0.2">
      <c r="E3303" s="332"/>
    </row>
    <row r="3304" spans="5:5" x14ac:dyDescent="0.2">
      <c r="E3304" s="332"/>
    </row>
    <row r="3305" spans="5:5" x14ac:dyDescent="0.2">
      <c r="E3305" s="332"/>
    </row>
    <row r="3306" spans="5:5" x14ac:dyDescent="0.2">
      <c r="E3306" s="332"/>
    </row>
    <row r="3307" spans="5:5" x14ac:dyDescent="0.2">
      <c r="E3307" s="332"/>
    </row>
    <row r="3308" spans="5:5" x14ac:dyDescent="0.2">
      <c r="E3308" s="332"/>
    </row>
    <row r="3309" spans="5:5" x14ac:dyDescent="0.2">
      <c r="E3309" s="332"/>
    </row>
    <row r="3310" spans="5:5" x14ac:dyDescent="0.2">
      <c r="E3310" s="332"/>
    </row>
    <row r="3311" spans="5:5" x14ac:dyDescent="0.2">
      <c r="E3311" s="332"/>
    </row>
    <row r="3312" spans="5:5" x14ac:dyDescent="0.2">
      <c r="E3312" s="332"/>
    </row>
    <row r="3313" spans="5:5" x14ac:dyDescent="0.2">
      <c r="E3313" s="332"/>
    </row>
    <row r="3314" spans="5:5" x14ac:dyDescent="0.2">
      <c r="E3314" s="332"/>
    </row>
    <row r="3315" spans="5:5" x14ac:dyDescent="0.2">
      <c r="E3315" s="332"/>
    </row>
    <row r="3316" spans="5:5" x14ac:dyDescent="0.2">
      <c r="E3316" s="332"/>
    </row>
    <row r="3317" spans="5:5" x14ac:dyDescent="0.2">
      <c r="E3317" s="332"/>
    </row>
    <row r="3318" spans="5:5" x14ac:dyDescent="0.2">
      <c r="E3318" s="332"/>
    </row>
    <row r="3319" spans="5:5" x14ac:dyDescent="0.2">
      <c r="E3319" s="332"/>
    </row>
    <row r="3320" spans="5:5" x14ac:dyDescent="0.2">
      <c r="E3320" s="332"/>
    </row>
    <row r="3321" spans="5:5" x14ac:dyDescent="0.2">
      <c r="E3321" s="332"/>
    </row>
    <row r="3322" spans="5:5" x14ac:dyDescent="0.2">
      <c r="E3322" s="332"/>
    </row>
    <row r="3323" spans="5:5" x14ac:dyDescent="0.2">
      <c r="E3323" s="332"/>
    </row>
    <row r="3324" spans="5:5" x14ac:dyDescent="0.2">
      <c r="E3324" s="332"/>
    </row>
    <row r="3325" spans="5:5" x14ac:dyDescent="0.2">
      <c r="E3325" s="332"/>
    </row>
    <row r="3326" spans="5:5" x14ac:dyDescent="0.2">
      <c r="E3326" s="332"/>
    </row>
    <row r="3327" spans="5:5" x14ac:dyDescent="0.2">
      <c r="E3327" s="332"/>
    </row>
    <row r="3328" spans="5:5" x14ac:dyDescent="0.2">
      <c r="E3328" s="332"/>
    </row>
    <row r="3329" spans="5:5" x14ac:dyDescent="0.2">
      <c r="E3329" s="332"/>
    </row>
    <row r="3330" spans="5:5" x14ac:dyDescent="0.2">
      <c r="E3330" s="332"/>
    </row>
    <row r="3331" spans="5:5" x14ac:dyDescent="0.2">
      <c r="E3331" s="332"/>
    </row>
    <row r="3332" spans="5:5" x14ac:dyDescent="0.2">
      <c r="E3332" s="332"/>
    </row>
    <row r="3333" spans="5:5" x14ac:dyDescent="0.2">
      <c r="E3333" s="332"/>
    </row>
    <row r="3334" spans="5:5" x14ac:dyDescent="0.2">
      <c r="E3334" s="332"/>
    </row>
    <row r="3335" spans="5:5" x14ac:dyDescent="0.2">
      <c r="E3335" s="332"/>
    </row>
    <row r="3336" spans="5:5" x14ac:dyDescent="0.2">
      <c r="E3336" s="332"/>
    </row>
    <row r="3337" spans="5:5" x14ac:dyDescent="0.2">
      <c r="E3337" s="332"/>
    </row>
    <row r="3338" spans="5:5" x14ac:dyDescent="0.2">
      <c r="E3338" s="332"/>
    </row>
    <row r="3339" spans="5:5" x14ac:dyDescent="0.2">
      <c r="E3339" s="332"/>
    </row>
    <row r="3340" spans="5:5" x14ac:dyDescent="0.2">
      <c r="E3340" s="332"/>
    </row>
    <row r="3341" spans="5:5" x14ac:dyDescent="0.2">
      <c r="E3341" s="332"/>
    </row>
    <row r="3342" spans="5:5" x14ac:dyDescent="0.2">
      <c r="E3342" s="332"/>
    </row>
    <row r="3343" spans="5:5" x14ac:dyDescent="0.2">
      <c r="E3343" s="332"/>
    </row>
    <row r="3344" spans="5:5" x14ac:dyDescent="0.2">
      <c r="E3344" s="332"/>
    </row>
    <row r="3345" spans="5:5" x14ac:dyDescent="0.2">
      <c r="E3345" s="332"/>
    </row>
    <row r="3346" spans="5:5" x14ac:dyDescent="0.2">
      <c r="E3346" s="332"/>
    </row>
    <row r="3347" spans="5:5" x14ac:dyDescent="0.2">
      <c r="E3347" s="332"/>
    </row>
    <row r="3348" spans="5:5" x14ac:dyDescent="0.2">
      <c r="E3348" s="332"/>
    </row>
    <row r="3349" spans="5:5" x14ac:dyDescent="0.2">
      <c r="E3349" s="332"/>
    </row>
    <row r="3350" spans="5:5" x14ac:dyDescent="0.2">
      <c r="E3350" s="332"/>
    </row>
    <row r="3351" spans="5:5" x14ac:dyDescent="0.2">
      <c r="E3351" s="332"/>
    </row>
    <row r="3352" spans="5:5" x14ac:dyDescent="0.2">
      <c r="E3352" s="332"/>
    </row>
    <row r="3353" spans="5:5" x14ac:dyDescent="0.2">
      <c r="E3353" s="332"/>
    </row>
    <row r="3354" spans="5:5" x14ac:dyDescent="0.2">
      <c r="E3354" s="332"/>
    </row>
    <row r="3355" spans="5:5" x14ac:dyDescent="0.2">
      <c r="E3355" s="332"/>
    </row>
    <row r="3356" spans="5:5" x14ac:dyDescent="0.2">
      <c r="E3356" s="332"/>
    </row>
    <row r="3357" spans="5:5" x14ac:dyDescent="0.2">
      <c r="E3357" s="332"/>
    </row>
    <row r="3358" spans="5:5" x14ac:dyDescent="0.2">
      <c r="E3358" s="332"/>
    </row>
    <row r="3359" spans="5:5" x14ac:dyDescent="0.2">
      <c r="E3359" s="332"/>
    </row>
    <row r="3360" spans="5:5" x14ac:dyDescent="0.2">
      <c r="E3360" s="332"/>
    </row>
    <row r="3361" spans="5:5" x14ac:dyDescent="0.2">
      <c r="E3361" s="332"/>
    </row>
    <row r="3362" spans="5:5" x14ac:dyDescent="0.2">
      <c r="E3362" s="332"/>
    </row>
    <row r="3363" spans="5:5" x14ac:dyDescent="0.2">
      <c r="E3363" s="332"/>
    </row>
    <row r="3364" spans="5:5" x14ac:dyDescent="0.2">
      <c r="E3364" s="332"/>
    </row>
    <row r="3365" spans="5:5" x14ac:dyDescent="0.2">
      <c r="E3365" s="332"/>
    </row>
    <row r="3366" spans="5:5" x14ac:dyDescent="0.2">
      <c r="E3366" s="332"/>
    </row>
    <row r="3367" spans="5:5" x14ac:dyDescent="0.2">
      <c r="E3367" s="332"/>
    </row>
    <row r="3368" spans="5:5" x14ac:dyDescent="0.2">
      <c r="E3368" s="332"/>
    </row>
    <row r="3369" spans="5:5" x14ac:dyDescent="0.2">
      <c r="E3369" s="332"/>
    </row>
    <row r="3370" spans="5:5" x14ac:dyDescent="0.2">
      <c r="E3370" s="332"/>
    </row>
    <row r="3371" spans="5:5" x14ac:dyDescent="0.2">
      <c r="E3371" s="332"/>
    </row>
    <row r="3372" spans="5:5" x14ac:dyDescent="0.2">
      <c r="E3372" s="332"/>
    </row>
    <row r="3373" spans="5:5" x14ac:dyDescent="0.2">
      <c r="E3373" s="332"/>
    </row>
    <row r="3374" spans="5:5" x14ac:dyDescent="0.2">
      <c r="E3374" s="332"/>
    </row>
    <row r="3375" spans="5:5" x14ac:dyDescent="0.2">
      <c r="E3375" s="332"/>
    </row>
    <row r="3376" spans="5:5" x14ac:dyDescent="0.2">
      <c r="E3376" s="332"/>
    </row>
    <row r="3377" spans="5:5" x14ac:dyDescent="0.2">
      <c r="E3377" s="332"/>
    </row>
    <row r="3378" spans="5:5" x14ac:dyDescent="0.2">
      <c r="E3378" s="332"/>
    </row>
    <row r="3379" spans="5:5" x14ac:dyDescent="0.2">
      <c r="E3379" s="332"/>
    </row>
    <row r="3380" spans="5:5" x14ac:dyDescent="0.2">
      <c r="E3380" s="332"/>
    </row>
    <row r="3381" spans="5:5" x14ac:dyDescent="0.2">
      <c r="E3381" s="332"/>
    </row>
    <row r="3382" spans="5:5" x14ac:dyDescent="0.2">
      <c r="E3382" s="332"/>
    </row>
    <row r="3383" spans="5:5" x14ac:dyDescent="0.2">
      <c r="E3383" s="332"/>
    </row>
    <row r="3384" spans="5:5" x14ac:dyDescent="0.2">
      <c r="E3384" s="332"/>
    </row>
    <row r="3385" spans="5:5" x14ac:dyDescent="0.2">
      <c r="E3385" s="332"/>
    </row>
    <row r="3386" spans="5:5" x14ac:dyDescent="0.2">
      <c r="E3386" s="332"/>
    </row>
    <row r="3387" spans="5:5" x14ac:dyDescent="0.2">
      <c r="E3387" s="332"/>
    </row>
    <row r="3388" spans="5:5" x14ac:dyDescent="0.2">
      <c r="E3388" s="332"/>
    </row>
    <row r="3389" spans="5:5" x14ac:dyDescent="0.2">
      <c r="E3389" s="332"/>
    </row>
    <row r="3390" spans="5:5" x14ac:dyDescent="0.2">
      <c r="E3390" s="332"/>
    </row>
    <row r="3391" spans="5:5" x14ac:dyDescent="0.2">
      <c r="E3391" s="332"/>
    </row>
    <row r="3392" spans="5:5" x14ac:dyDescent="0.2">
      <c r="E3392" s="332"/>
    </row>
    <row r="3393" spans="5:5" x14ac:dyDescent="0.2">
      <c r="E3393" s="332"/>
    </row>
    <row r="3394" spans="5:5" x14ac:dyDescent="0.2">
      <c r="E3394" s="332"/>
    </row>
    <row r="3395" spans="5:5" x14ac:dyDescent="0.2">
      <c r="E3395" s="332"/>
    </row>
    <row r="3396" spans="5:5" x14ac:dyDescent="0.2">
      <c r="E3396" s="332"/>
    </row>
    <row r="3397" spans="5:5" x14ac:dyDescent="0.2">
      <c r="E3397" s="332"/>
    </row>
    <row r="3398" spans="5:5" x14ac:dyDescent="0.2">
      <c r="E3398" s="332"/>
    </row>
    <row r="3399" spans="5:5" x14ac:dyDescent="0.2">
      <c r="E3399" s="332"/>
    </row>
    <row r="3400" spans="5:5" x14ac:dyDescent="0.2">
      <c r="E3400" s="332"/>
    </row>
    <row r="3401" spans="5:5" x14ac:dyDescent="0.2">
      <c r="E3401" s="332"/>
    </row>
    <row r="3402" spans="5:5" x14ac:dyDescent="0.2">
      <c r="E3402" s="332"/>
    </row>
    <row r="3403" spans="5:5" x14ac:dyDescent="0.2">
      <c r="E3403" s="332"/>
    </row>
    <row r="3404" spans="5:5" x14ac:dyDescent="0.2">
      <c r="E3404" s="332"/>
    </row>
    <row r="3405" spans="5:5" x14ac:dyDescent="0.2">
      <c r="E3405" s="332"/>
    </row>
    <row r="3406" spans="5:5" x14ac:dyDescent="0.2">
      <c r="E3406" s="332"/>
    </row>
    <row r="3407" spans="5:5" x14ac:dyDescent="0.2">
      <c r="E3407" s="332"/>
    </row>
    <row r="3408" spans="5:5" x14ac:dyDescent="0.2">
      <c r="E3408" s="332"/>
    </row>
    <row r="3409" spans="5:5" x14ac:dyDescent="0.2">
      <c r="E3409" s="332"/>
    </row>
    <row r="3410" spans="5:5" x14ac:dyDescent="0.2">
      <c r="E3410" s="332"/>
    </row>
    <row r="3411" spans="5:5" x14ac:dyDescent="0.2">
      <c r="E3411" s="332"/>
    </row>
    <row r="3412" spans="5:5" x14ac:dyDescent="0.2">
      <c r="E3412" s="332"/>
    </row>
    <row r="3413" spans="5:5" x14ac:dyDescent="0.2">
      <c r="E3413" s="332"/>
    </row>
    <row r="3414" spans="5:5" x14ac:dyDescent="0.2">
      <c r="E3414" s="332"/>
    </row>
    <row r="3415" spans="5:5" x14ac:dyDescent="0.2">
      <c r="E3415" s="332"/>
    </row>
    <row r="3416" spans="5:5" x14ac:dyDescent="0.2">
      <c r="E3416" s="332"/>
    </row>
    <row r="3417" spans="5:5" x14ac:dyDescent="0.2">
      <c r="E3417" s="332"/>
    </row>
    <row r="3418" spans="5:5" x14ac:dyDescent="0.2">
      <c r="E3418" s="332"/>
    </row>
    <row r="3419" spans="5:5" x14ac:dyDescent="0.2">
      <c r="E3419" s="332"/>
    </row>
    <row r="3420" spans="5:5" x14ac:dyDescent="0.2">
      <c r="E3420" s="332"/>
    </row>
    <row r="3421" spans="5:5" x14ac:dyDescent="0.2">
      <c r="E3421" s="332"/>
    </row>
    <row r="3422" spans="5:5" x14ac:dyDescent="0.2">
      <c r="E3422" s="332"/>
    </row>
    <row r="3423" spans="5:5" x14ac:dyDescent="0.2">
      <c r="E3423" s="332"/>
    </row>
    <row r="3424" spans="5:5" x14ac:dyDescent="0.2">
      <c r="E3424" s="332"/>
    </row>
    <row r="3425" spans="5:5" x14ac:dyDescent="0.2">
      <c r="E3425" s="332"/>
    </row>
    <row r="3426" spans="5:5" x14ac:dyDescent="0.2">
      <c r="E3426" s="332"/>
    </row>
    <row r="3427" spans="5:5" x14ac:dyDescent="0.2">
      <c r="E3427" s="332"/>
    </row>
    <row r="3428" spans="5:5" x14ac:dyDescent="0.2">
      <c r="E3428" s="332"/>
    </row>
    <row r="3429" spans="5:5" x14ac:dyDescent="0.2">
      <c r="E3429" s="332"/>
    </row>
    <row r="3430" spans="5:5" x14ac:dyDescent="0.2">
      <c r="E3430" s="332"/>
    </row>
    <row r="3431" spans="5:5" x14ac:dyDescent="0.2">
      <c r="E3431" s="332"/>
    </row>
    <row r="3432" spans="5:5" x14ac:dyDescent="0.2">
      <c r="E3432" s="332"/>
    </row>
    <row r="3433" spans="5:5" x14ac:dyDescent="0.2">
      <c r="E3433" s="332"/>
    </row>
    <row r="3434" spans="5:5" x14ac:dyDescent="0.2">
      <c r="E3434" s="332"/>
    </row>
    <row r="3435" spans="5:5" x14ac:dyDescent="0.2">
      <c r="E3435" s="332"/>
    </row>
    <row r="3436" spans="5:5" x14ac:dyDescent="0.2">
      <c r="E3436" s="332"/>
    </row>
    <row r="3437" spans="5:5" x14ac:dyDescent="0.2">
      <c r="E3437" s="332"/>
    </row>
    <row r="3438" spans="5:5" x14ac:dyDescent="0.2">
      <c r="E3438" s="332"/>
    </row>
    <row r="3439" spans="5:5" x14ac:dyDescent="0.2">
      <c r="E3439" s="332"/>
    </row>
    <row r="3440" spans="5:5" x14ac:dyDescent="0.2">
      <c r="E3440" s="332"/>
    </row>
    <row r="3441" spans="5:5" x14ac:dyDescent="0.2">
      <c r="E3441" s="332"/>
    </row>
    <row r="3442" spans="5:5" x14ac:dyDescent="0.2">
      <c r="E3442" s="332"/>
    </row>
    <row r="3443" spans="5:5" x14ac:dyDescent="0.2">
      <c r="E3443" s="332"/>
    </row>
    <row r="3444" spans="5:5" x14ac:dyDescent="0.2">
      <c r="E3444" s="332"/>
    </row>
    <row r="3445" spans="5:5" x14ac:dyDescent="0.2">
      <c r="E3445" s="332"/>
    </row>
    <row r="3446" spans="5:5" x14ac:dyDescent="0.2">
      <c r="E3446" s="332"/>
    </row>
    <row r="3447" spans="5:5" x14ac:dyDescent="0.2">
      <c r="E3447" s="332"/>
    </row>
    <row r="3448" spans="5:5" x14ac:dyDescent="0.2">
      <c r="E3448" s="332"/>
    </row>
    <row r="3449" spans="5:5" x14ac:dyDescent="0.2">
      <c r="E3449" s="332"/>
    </row>
    <row r="3450" spans="5:5" x14ac:dyDescent="0.2">
      <c r="E3450" s="332"/>
    </row>
    <row r="3451" spans="5:5" x14ac:dyDescent="0.2">
      <c r="E3451" s="332"/>
    </row>
    <row r="3452" spans="5:5" x14ac:dyDescent="0.2">
      <c r="E3452" s="332"/>
    </row>
    <row r="3453" spans="5:5" x14ac:dyDescent="0.2">
      <c r="E3453" s="332"/>
    </row>
    <row r="3454" spans="5:5" x14ac:dyDescent="0.2">
      <c r="E3454" s="332"/>
    </row>
    <row r="3455" spans="5:5" x14ac:dyDescent="0.2">
      <c r="E3455" s="332"/>
    </row>
    <row r="3456" spans="5:5" x14ac:dyDescent="0.2">
      <c r="E3456" s="332"/>
    </row>
    <row r="3457" spans="5:5" x14ac:dyDescent="0.2">
      <c r="E3457" s="332"/>
    </row>
    <row r="3458" spans="5:5" x14ac:dyDescent="0.2">
      <c r="E3458" s="332"/>
    </row>
    <row r="3459" spans="5:5" x14ac:dyDescent="0.2">
      <c r="E3459" s="332"/>
    </row>
    <row r="3460" spans="5:5" x14ac:dyDescent="0.2">
      <c r="E3460" s="332"/>
    </row>
    <row r="3461" spans="5:5" x14ac:dyDescent="0.2">
      <c r="E3461" s="332"/>
    </row>
    <row r="3462" spans="5:5" x14ac:dyDescent="0.2">
      <c r="E3462" s="332"/>
    </row>
    <row r="3463" spans="5:5" x14ac:dyDescent="0.2">
      <c r="E3463" s="332"/>
    </row>
    <row r="3464" spans="5:5" x14ac:dyDescent="0.2">
      <c r="E3464" s="332"/>
    </row>
    <row r="3465" spans="5:5" x14ac:dyDescent="0.2">
      <c r="E3465" s="332"/>
    </row>
    <row r="3466" spans="5:5" x14ac:dyDescent="0.2">
      <c r="E3466" s="332"/>
    </row>
    <row r="3467" spans="5:5" x14ac:dyDescent="0.2">
      <c r="E3467" s="332"/>
    </row>
    <row r="3468" spans="5:5" x14ac:dyDescent="0.2">
      <c r="E3468" s="332"/>
    </row>
    <row r="3469" spans="5:5" x14ac:dyDescent="0.2">
      <c r="E3469" s="332"/>
    </row>
    <row r="3470" spans="5:5" x14ac:dyDescent="0.2">
      <c r="E3470" s="332"/>
    </row>
    <row r="3471" spans="5:5" x14ac:dyDescent="0.2">
      <c r="E3471" s="332"/>
    </row>
    <row r="3472" spans="5:5" x14ac:dyDescent="0.2">
      <c r="E3472" s="332"/>
    </row>
    <row r="3473" spans="5:5" x14ac:dyDescent="0.2">
      <c r="E3473" s="332"/>
    </row>
    <row r="3474" spans="5:5" x14ac:dyDescent="0.2">
      <c r="E3474" s="332"/>
    </row>
    <row r="3475" spans="5:5" x14ac:dyDescent="0.2">
      <c r="E3475" s="332"/>
    </row>
    <row r="3476" spans="5:5" x14ac:dyDescent="0.2">
      <c r="E3476" s="332"/>
    </row>
    <row r="3477" spans="5:5" x14ac:dyDescent="0.2">
      <c r="E3477" s="332"/>
    </row>
    <row r="3478" spans="5:5" x14ac:dyDescent="0.2">
      <c r="E3478" s="332"/>
    </row>
    <row r="3479" spans="5:5" x14ac:dyDescent="0.2">
      <c r="E3479" s="332"/>
    </row>
    <row r="3480" spans="5:5" x14ac:dyDescent="0.2">
      <c r="E3480" s="332"/>
    </row>
    <row r="3481" spans="5:5" x14ac:dyDescent="0.2">
      <c r="E3481" s="332"/>
    </row>
    <row r="3482" spans="5:5" x14ac:dyDescent="0.2">
      <c r="E3482" s="332"/>
    </row>
    <row r="3483" spans="5:5" x14ac:dyDescent="0.2">
      <c r="E3483" s="332"/>
    </row>
    <row r="3484" spans="5:5" x14ac:dyDescent="0.2">
      <c r="E3484" s="332"/>
    </row>
    <row r="3485" spans="5:5" x14ac:dyDescent="0.2">
      <c r="E3485" s="332"/>
    </row>
    <row r="3486" spans="5:5" x14ac:dyDescent="0.2">
      <c r="E3486" s="332"/>
    </row>
    <row r="3487" spans="5:5" x14ac:dyDescent="0.2">
      <c r="E3487" s="332"/>
    </row>
    <row r="3488" spans="5:5" x14ac:dyDescent="0.2">
      <c r="E3488" s="332"/>
    </row>
    <row r="3489" spans="5:5" x14ac:dyDescent="0.2">
      <c r="E3489" s="332"/>
    </row>
    <row r="3490" spans="5:5" x14ac:dyDescent="0.2">
      <c r="E3490" s="332"/>
    </row>
    <row r="3491" spans="5:5" x14ac:dyDescent="0.2">
      <c r="E3491" s="332"/>
    </row>
    <row r="3492" spans="5:5" x14ac:dyDescent="0.2">
      <c r="E3492" s="332"/>
    </row>
    <row r="3493" spans="5:5" x14ac:dyDescent="0.2">
      <c r="E3493" s="332"/>
    </row>
    <row r="3494" spans="5:5" x14ac:dyDescent="0.2">
      <c r="E3494" s="332"/>
    </row>
    <row r="3495" spans="5:5" x14ac:dyDescent="0.2">
      <c r="E3495" s="332"/>
    </row>
    <row r="3496" spans="5:5" x14ac:dyDescent="0.2">
      <c r="E3496" s="332"/>
    </row>
    <row r="3497" spans="5:5" x14ac:dyDescent="0.2">
      <c r="E3497" s="332"/>
    </row>
    <row r="3498" spans="5:5" x14ac:dyDescent="0.2">
      <c r="E3498" s="332"/>
    </row>
    <row r="3499" spans="5:5" x14ac:dyDescent="0.2">
      <c r="E3499" s="332"/>
    </row>
    <row r="3500" spans="5:5" x14ac:dyDescent="0.2">
      <c r="E3500" s="332"/>
    </row>
    <row r="3501" spans="5:5" x14ac:dyDescent="0.2">
      <c r="E3501" s="332"/>
    </row>
    <row r="3502" spans="5:5" x14ac:dyDescent="0.2">
      <c r="E3502" s="332"/>
    </row>
    <row r="3503" spans="5:5" x14ac:dyDescent="0.2">
      <c r="E3503" s="332"/>
    </row>
    <row r="3504" spans="5:5" x14ac:dyDescent="0.2">
      <c r="E3504" s="332"/>
    </row>
    <row r="3505" spans="5:5" x14ac:dyDescent="0.2">
      <c r="E3505" s="332"/>
    </row>
    <row r="3506" spans="5:5" x14ac:dyDescent="0.2">
      <c r="E3506" s="332"/>
    </row>
    <row r="3507" spans="5:5" x14ac:dyDescent="0.2">
      <c r="E3507" s="332"/>
    </row>
    <row r="3508" spans="5:5" x14ac:dyDescent="0.2">
      <c r="E3508" s="332"/>
    </row>
    <row r="3509" spans="5:5" x14ac:dyDescent="0.2">
      <c r="E3509" s="332"/>
    </row>
    <row r="3510" spans="5:5" x14ac:dyDescent="0.2">
      <c r="E3510" s="332"/>
    </row>
    <row r="3511" spans="5:5" x14ac:dyDescent="0.2">
      <c r="E3511" s="332"/>
    </row>
    <row r="3512" spans="5:5" x14ac:dyDescent="0.2">
      <c r="E3512" s="332"/>
    </row>
    <row r="3513" spans="5:5" x14ac:dyDescent="0.2">
      <c r="E3513" s="332"/>
    </row>
    <row r="3514" spans="5:5" x14ac:dyDescent="0.2">
      <c r="E3514" s="332"/>
    </row>
    <row r="3515" spans="5:5" x14ac:dyDescent="0.2">
      <c r="E3515" s="332"/>
    </row>
    <row r="3516" spans="5:5" x14ac:dyDescent="0.2">
      <c r="E3516" s="332"/>
    </row>
    <row r="3517" spans="5:5" x14ac:dyDescent="0.2">
      <c r="E3517" s="332"/>
    </row>
    <row r="3518" spans="5:5" x14ac:dyDescent="0.2">
      <c r="E3518" s="332"/>
    </row>
    <row r="3519" spans="5:5" x14ac:dyDescent="0.2">
      <c r="E3519" s="332"/>
    </row>
    <row r="3520" spans="5:5" x14ac:dyDescent="0.2">
      <c r="E3520" s="332"/>
    </row>
    <row r="3521" spans="5:5" x14ac:dyDescent="0.2">
      <c r="E3521" s="332"/>
    </row>
    <row r="3522" spans="5:5" x14ac:dyDescent="0.2">
      <c r="E3522" s="332"/>
    </row>
    <row r="3523" spans="5:5" x14ac:dyDescent="0.2">
      <c r="E3523" s="332"/>
    </row>
    <row r="3524" spans="5:5" x14ac:dyDescent="0.2">
      <c r="E3524" s="332"/>
    </row>
    <row r="3525" spans="5:5" x14ac:dyDescent="0.2">
      <c r="E3525" s="332"/>
    </row>
    <row r="3526" spans="5:5" x14ac:dyDescent="0.2">
      <c r="E3526" s="332"/>
    </row>
    <row r="3527" spans="5:5" x14ac:dyDescent="0.2">
      <c r="E3527" s="332"/>
    </row>
    <row r="3528" spans="5:5" x14ac:dyDescent="0.2">
      <c r="E3528" s="332"/>
    </row>
    <row r="3529" spans="5:5" x14ac:dyDescent="0.2">
      <c r="E3529" s="332"/>
    </row>
    <row r="3530" spans="5:5" x14ac:dyDescent="0.2">
      <c r="E3530" s="332"/>
    </row>
    <row r="3531" spans="5:5" x14ac:dyDescent="0.2">
      <c r="E3531" s="332"/>
    </row>
    <row r="3532" spans="5:5" x14ac:dyDescent="0.2">
      <c r="E3532" s="332"/>
    </row>
    <row r="3533" spans="5:5" x14ac:dyDescent="0.2">
      <c r="E3533" s="332"/>
    </row>
    <row r="3534" spans="5:5" x14ac:dyDescent="0.2">
      <c r="E3534" s="332"/>
    </row>
    <row r="3535" spans="5:5" x14ac:dyDescent="0.2">
      <c r="E3535" s="332"/>
    </row>
    <row r="3536" spans="5:5" x14ac:dyDescent="0.2">
      <c r="E3536" s="332"/>
    </row>
    <row r="3537" spans="5:5" x14ac:dyDescent="0.2">
      <c r="E3537" s="332"/>
    </row>
    <row r="3538" spans="5:5" x14ac:dyDescent="0.2">
      <c r="E3538" s="332"/>
    </row>
    <row r="3539" spans="5:5" x14ac:dyDescent="0.2">
      <c r="E3539" s="332"/>
    </row>
    <row r="3540" spans="5:5" x14ac:dyDescent="0.2">
      <c r="E3540" s="332"/>
    </row>
    <row r="3541" spans="5:5" x14ac:dyDescent="0.2">
      <c r="E3541" s="332"/>
    </row>
    <row r="3542" spans="5:5" x14ac:dyDescent="0.2">
      <c r="E3542" s="332"/>
    </row>
    <row r="3543" spans="5:5" x14ac:dyDescent="0.2">
      <c r="E3543" s="332"/>
    </row>
    <row r="3544" spans="5:5" x14ac:dyDescent="0.2">
      <c r="E3544" s="332"/>
    </row>
    <row r="3545" spans="5:5" x14ac:dyDescent="0.2">
      <c r="E3545" s="332"/>
    </row>
    <row r="3546" spans="5:5" x14ac:dyDescent="0.2">
      <c r="E3546" s="332"/>
    </row>
    <row r="3547" spans="5:5" x14ac:dyDescent="0.2">
      <c r="E3547" s="332"/>
    </row>
    <row r="3548" spans="5:5" x14ac:dyDescent="0.2">
      <c r="E3548" s="332"/>
    </row>
    <row r="3549" spans="5:5" x14ac:dyDescent="0.2">
      <c r="E3549" s="332"/>
    </row>
    <row r="3550" spans="5:5" x14ac:dyDescent="0.2">
      <c r="E3550" s="332"/>
    </row>
    <row r="3551" spans="5:5" x14ac:dyDescent="0.2">
      <c r="E3551" s="332"/>
    </row>
    <row r="3552" spans="5:5" x14ac:dyDescent="0.2">
      <c r="E3552" s="332"/>
    </row>
    <row r="3553" spans="5:5" x14ac:dyDescent="0.2">
      <c r="E3553" s="332"/>
    </row>
    <row r="3554" spans="5:5" x14ac:dyDescent="0.2">
      <c r="E3554" s="332"/>
    </row>
    <row r="3555" spans="5:5" x14ac:dyDescent="0.2">
      <c r="E3555" s="332"/>
    </row>
    <row r="3556" spans="5:5" x14ac:dyDescent="0.2">
      <c r="E3556" s="332"/>
    </row>
    <row r="3557" spans="5:5" x14ac:dyDescent="0.2">
      <c r="E3557" s="332"/>
    </row>
    <row r="3558" spans="5:5" x14ac:dyDescent="0.2">
      <c r="E3558" s="332"/>
    </row>
    <row r="3559" spans="5:5" x14ac:dyDescent="0.2">
      <c r="E3559" s="332"/>
    </row>
    <row r="3560" spans="5:5" x14ac:dyDescent="0.2">
      <c r="E3560" s="332"/>
    </row>
    <row r="3561" spans="5:5" x14ac:dyDescent="0.2">
      <c r="E3561" s="332"/>
    </row>
    <row r="3562" spans="5:5" x14ac:dyDescent="0.2">
      <c r="E3562" s="332"/>
    </row>
    <row r="3563" spans="5:5" x14ac:dyDescent="0.2">
      <c r="E3563" s="332"/>
    </row>
    <row r="3564" spans="5:5" x14ac:dyDescent="0.2">
      <c r="E3564" s="332"/>
    </row>
    <row r="3565" spans="5:5" x14ac:dyDescent="0.2">
      <c r="E3565" s="332"/>
    </row>
    <row r="3566" spans="5:5" x14ac:dyDescent="0.2">
      <c r="E3566" s="332"/>
    </row>
    <row r="3567" spans="5:5" x14ac:dyDescent="0.2">
      <c r="E3567" s="332"/>
    </row>
    <row r="3568" spans="5:5" x14ac:dyDescent="0.2">
      <c r="E3568" s="332"/>
    </row>
    <row r="3569" spans="5:5" x14ac:dyDescent="0.2">
      <c r="E3569" s="332"/>
    </row>
    <row r="3570" spans="5:5" x14ac:dyDescent="0.2">
      <c r="E3570" s="332"/>
    </row>
    <row r="3571" spans="5:5" x14ac:dyDescent="0.2">
      <c r="E3571" s="332"/>
    </row>
    <row r="3572" spans="5:5" x14ac:dyDescent="0.2">
      <c r="E3572" s="332"/>
    </row>
    <row r="3573" spans="5:5" x14ac:dyDescent="0.2">
      <c r="E3573" s="332"/>
    </row>
    <row r="3574" spans="5:5" x14ac:dyDescent="0.2">
      <c r="E3574" s="332"/>
    </row>
    <row r="3575" spans="5:5" x14ac:dyDescent="0.2">
      <c r="E3575" s="332"/>
    </row>
    <row r="3576" spans="5:5" x14ac:dyDescent="0.2">
      <c r="E3576" s="332"/>
    </row>
    <row r="3577" spans="5:5" x14ac:dyDescent="0.2">
      <c r="E3577" s="332"/>
    </row>
    <row r="3578" spans="5:5" x14ac:dyDescent="0.2">
      <c r="E3578" s="332"/>
    </row>
    <row r="3579" spans="5:5" x14ac:dyDescent="0.2">
      <c r="E3579" s="332"/>
    </row>
    <row r="3580" spans="5:5" x14ac:dyDescent="0.2">
      <c r="E3580" s="332"/>
    </row>
    <row r="3581" spans="5:5" x14ac:dyDescent="0.2">
      <c r="E3581" s="332"/>
    </row>
    <row r="3582" spans="5:5" x14ac:dyDescent="0.2">
      <c r="E3582" s="332"/>
    </row>
    <row r="3583" spans="5:5" x14ac:dyDescent="0.2">
      <c r="E3583" s="332"/>
    </row>
    <row r="3584" spans="5:5" x14ac:dyDescent="0.2">
      <c r="E3584" s="332"/>
    </row>
    <row r="3585" spans="5:5" x14ac:dyDescent="0.2">
      <c r="E3585" s="332"/>
    </row>
    <row r="3586" spans="5:5" x14ac:dyDescent="0.2">
      <c r="E3586" s="332"/>
    </row>
    <row r="3587" spans="5:5" x14ac:dyDescent="0.2">
      <c r="E3587" s="332"/>
    </row>
    <row r="3588" spans="5:5" x14ac:dyDescent="0.2">
      <c r="E3588" s="332"/>
    </row>
    <row r="3589" spans="5:5" x14ac:dyDescent="0.2">
      <c r="E3589" s="332"/>
    </row>
    <row r="3590" spans="5:5" x14ac:dyDescent="0.2">
      <c r="E3590" s="332"/>
    </row>
    <row r="3591" spans="5:5" x14ac:dyDescent="0.2">
      <c r="E3591" s="332"/>
    </row>
    <row r="3592" spans="5:5" x14ac:dyDescent="0.2">
      <c r="E3592" s="332"/>
    </row>
    <row r="3593" spans="5:5" x14ac:dyDescent="0.2">
      <c r="E3593" s="332"/>
    </row>
    <row r="3594" spans="5:5" x14ac:dyDescent="0.2">
      <c r="E3594" s="332"/>
    </row>
    <row r="3595" spans="5:5" x14ac:dyDescent="0.2">
      <c r="E3595" s="332"/>
    </row>
    <row r="3596" spans="5:5" x14ac:dyDescent="0.2">
      <c r="E3596" s="332"/>
    </row>
    <row r="3597" spans="5:5" x14ac:dyDescent="0.2">
      <c r="E3597" s="332"/>
    </row>
    <row r="3598" spans="5:5" x14ac:dyDescent="0.2">
      <c r="E3598" s="332"/>
    </row>
    <row r="3599" spans="5:5" x14ac:dyDescent="0.2">
      <c r="E3599" s="332"/>
    </row>
    <row r="3600" spans="5:5" x14ac:dyDescent="0.2">
      <c r="E3600" s="332"/>
    </row>
    <row r="3601" spans="5:5" x14ac:dyDescent="0.2">
      <c r="E3601" s="332"/>
    </row>
    <row r="3602" spans="5:5" x14ac:dyDescent="0.2">
      <c r="E3602" s="332"/>
    </row>
    <row r="3603" spans="5:5" x14ac:dyDescent="0.2">
      <c r="E3603" s="332"/>
    </row>
    <row r="3604" spans="5:5" x14ac:dyDescent="0.2">
      <c r="E3604" s="332"/>
    </row>
    <row r="3605" spans="5:5" x14ac:dyDescent="0.2">
      <c r="E3605" s="332"/>
    </row>
    <row r="3606" spans="5:5" x14ac:dyDescent="0.2">
      <c r="E3606" s="332"/>
    </row>
    <row r="3607" spans="5:5" x14ac:dyDescent="0.2">
      <c r="E3607" s="332"/>
    </row>
    <row r="3608" spans="5:5" x14ac:dyDescent="0.2">
      <c r="E3608" s="332"/>
    </row>
    <row r="3609" spans="5:5" x14ac:dyDescent="0.2">
      <c r="E3609" s="332"/>
    </row>
    <row r="3610" spans="5:5" x14ac:dyDescent="0.2">
      <c r="E3610" s="332"/>
    </row>
    <row r="3611" spans="5:5" x14ac:dyDescent="0.2">
      <c r="E3611" s="332"/>
    </row>
    <row r="3612" spans="5:5" x14ac:dyDescent="0.2">
      <c r="E3612" s="332"/>
    </row>
    <row r="3613" spans="5:5" x14ac:dyDescent="0.2">
      <c r="E3613" s="332"/>
    </row>
    <row r="3614" spans="5:5" x14ac:dyDescent="0.2">
      <c r="E3614" s="332"/>
    </row>
    <row r="3615" spans="5:5" x14ac:dyDescent="0.2">
      <c r="E3615" s="332"/>
    </row>
    <row r="3616" spans="5:5" x14ac:dyDescent="0.2">
      <c r="E3616" s="332"/>
    </row>
    <row r="3617" spans="5:5" x14ac:dyDescent="0.2">
      <c r="E3617" s="332"/>
    </row>
    <row r="3618" spans="5:5" x14ac:dyDescent="0.2">
      <c r="E3618" s="332"/>
    </row>
    <row r="3619" spans="5:5" x14ac:dyDescent="0.2">
      <c r="E3619" s="332"/>
    </row>
    <row r="3620" spans="5:5" x14ac:dyDescent="0.2">
      <c r="E3620" s="332"/>
    </row>
    <row r="3621" spans="5:5" x14ac:dyDescent="0.2">
      <c r="E3621" s="332"/>
    </row>
    <row r="3622" spans="5:5" x14ac:dyDescent="0.2">
      <c r="E3622" s="332"/>
    </row>
    <row r="3623" spans="5:5" x14ac:dyDescent="0.2">
      <c r="E3623" s="332"/>
    </row>
    <row r="3624" spans="5:5" x14ac:dyDescent="0.2">
      <c r="E3624" s="332"/>
    </row>
    <row r="3625" spans="5:5" x14ac:dyDescent="0.2">
      <c r="E3625" s="332"/>
    </row>
    <row r="3626" spans="5:5" x14ac:dyDescent="0.2">
      <c r="E3626" s="332"/>
    </row>
    <row r="3627" spans="5:5" x14ac:dyDescent="0.2">
      <c r="E3627" s="332"/>
    </row>
    <row r="3628" spans="5:5" x14ac:dyDescent="0.2">
      <c r="E3628" s="332"/>
    </row>
    <row r="3629" spans="5:5" x14ac:dyDescent="0.2">
      <c r="E3629" s="332"/>
    </row>
    <row r="3630" spans="5:5" x14ac:dyDescent="0.2">
      <c r="E3630" s="332"/>
    </row>
    <row r="3631" spans="5:5" x14ac:dyDescent="0.2">
      <c r="E3631" s="332"/>
    </row>
    <row r="3632" spans="5:5" x14ac:dyDescent="0.2">
      <c r="E3632" s="332"/>
    </row>
    <row r="3633" spans="5:5" x14ac:dyDescent="0.2">
      <c r="E3633" s="332"/>
    </row>
    <row r="3634" spans="5:5" x14ac:dyDescent="0.2">
      <c r="E3634" s="332"/>
    </row>
    <row r="3635" spans="5:5" x14ac:dyDescent="0.2">
      <c r="E3635" s="332"/>
    </row>
    <row r="3636" spans="5:5" x14ac:dyDescent="0.2">
      <c r="E3636" s="332"/>
    </row>
    <row r="3637" spans="5:5" x14ac:dyDescent="0.2">
      <c r="E3637" s="332"/>
    </row>
    <row r="3638" spans="5:5" x14ac:dyDescent="0.2">
      <c r="E3638" s="332"/>
    </row>
    <row r="3639" spans="5:5" x14ac:dyDescent="0.2">
      <c r="E3639" s="332"/>
    </row>
    <row r="3640" spans="5:5" x14ac:dyDescent="0.2">
      <c r="E3640" s="332"/>
    </row>
    <row r="3641" spans="5:5" x14ac:dyDescent="0.2">
      <c r="E3641" s="332"/>
    </row>
    <row r="3642" spans="5:5" x14ac:dyDescent="0.2">
      <c r="E3642" s="332"/>
    </row>
    <row r="3643" spans="5:5" x14ac:dyDescent="0.2">
      <c r="E3643" s="332"/>
    </row>
    <row r="3644" spans="5:5" x14ac:dyDescent="0.2">
      <c r="E3644" s="332"/>
    </row>
    <row r="3645" spans="5:5" x14ac:dyDescent="0.2">
      <c r="E3645" s="332"/>
    </row>
    <row r="3646" spans="5:5" x14ac:dyDescent="0.2">
      <c r="E3646" s="332"/>
    </row>
    <row r="3647" spans="5:5" x14ac:dyDescent="0.2">
      <c r="E3647" s="332"/>
    </row>
    <row r="3648" spans="5:5" x14ac:dyDescent="0.2">
      <c r="E3648" s="332"/>
    </row>
    <row r="3649" spans="5:5" x14ac:dyDescent="0.2">
      <c r="E3649" s="332"/>
    </row>
    <row r="3650" spans="5:5" x14ac:dyDescent="0.2">
      <c r="E3650" s="332"/>
    </row>
    <row r="3651" spans="5:5" x14ac:dyDescent="0.2">
      <c r="E3651" s="332"/>
    </row>
    <row r="3652" spans="5:5" x14ac:dyDescent="0.2">
      <c r="E3652" s="332"/>
    </row>
    <row r="3653" spans="5:5" x14ac:dyDescent="0.2">
      <c r="E3653" s="332"/>
    </row>
    <row r="3654" spans="5:5" x14ac:dyDescent="0.2">
      <c r="E3654" s="332"/>
    </row>
    <row r="3655" spans="5:5" x14ac:dyDescent="0.2">
      <c r="E3655" s="332"/>
    </row>
    <row r="3656" spans="5:5" x14ac:dyDescent="0.2">
      <c r="E3656" s="332"/>
    </row>
    <row r="3657" spans="5:5" x14ac:dyDescent="0.2">
      <c r="E3657" s="332"/>
    </row>
    <row r="3658" spans="5:5" x14ac:dyDescent="0.2">
      <c r="E3658" s="332"/>
    </row>
    <row r="3659" spans="5:5" x14ac:dyDescent="0.2">
      <c r="E3659" s="332"/>
    </row>
    <row r="3660" spans="5:5" x14ac:dyDescent="0.2">
      <c r="E3660" s="332"/>
    </row>
    <row r="3661" spans="5:5" x14ac:dyDescent="0.2">
      <c r="E3661" s="332"/>
    </row>
    <row r="3662" spans="5:5" x14ac:dyDescent="0.2">
      <c r="E3662" s="332"/>
    </row>
    <row r="3663" spans="5:5" x14ac:dyDescent="0.2">
      <c r="E3663" s="332"/>
    </row>
    <row r="3664" spans="5:5" x14ac:dyDescent="0.2">
      <c r="E3664" s="332"/>
    </row>
    <row r="3665" spans="5:5" x14ac:dyDescent="0.2">
      <c r="E3665" s="332"/>
    </row>
    <row r="3666" spans="5:5" x14ac:dyDescent="0.2">
      <c r="E3666" s="332"/>
    </row>
    <row r="3667" spans="5:5" x14ac:dyDescent="0.2">
      <c r="E3667" s="332"/>
    </row>
    <row r="3668" spans="5:5" x14ac:dyDescent="0.2">
      <c r="E3668" s="332"/>
    </row>
    <row r="3669" spans="5:5" x14ac:dyDescent="0.2">
      <c r="E3669" s="332"/>
    </row>
    <row r="3670" spans="5:5" x14ac:dyDescent="0.2">
      <c r="E3670" s="332"/>
    </row>
    <row r="3671" spans="5:5" x14ac:dyDescent="0.2">
      <c r="E3671" s="332"/>
    </row>
    <row r="3672" spans="5:5" x14ac:dyDescent="0.2">
      <c r="E3672" s="332"/>
    </row>
    <row r="3673" spans="5:5" x14ac:dyDescent="0.2">
      <c r="E3673" s="332"/>
    </row>
    <row r="3674" spans="5:5" x14ac:dyDescent="0.2">
      <c r="E3674" s="332"/>
    </row>
    <row r="3675" spans="5:5" x14ac:dyDescent="0.2">
      <c r="E3675" s="332"/>
    </row>
    <row r="3676" spans="5:5" x14ac:dyDescent="0.2">
      <c r="E3676" s="332"/>
    </row>
    <row r="3677" spans="5:5" x14ac:dyDescent="0.2">
      <c r="E3677" s="332"/>
    </row>
    <row r="3678" spans="5:5" x14ac:dyDescent="0.2">
      <c r="E3678" s="332"/>
    </row>
    <row r="3679" spans="5:5" x14ac:dyDescent="0.2">
      <c r="E3679" s="332"/>
    </row>
    <row r="3680" spans="5:5" x14ac:dyDescent="0.2">
      <c r="E3680" s="332"/>
    </row>
    <row r="3681" spans="5:5" x14ac:dyDescent="0.2">
      <c r="E3681" s="332"/>
    </row>
    <row r="3682" spans="5:5" x14ac:dyDescent="0.2">
      <c r="E3682" s="332"/>
    </row>
    <row r="3683" spans="5:5" x14ac:dyDescent="0.2">
      <c r="E3683" s="332"/>
    </row>
    <row r="3684" spans="5:5" x14ac:dyDescent="0.2">
      <c r="E3684" s="332"/>
    </row>
    <row r="3685" spans="5:5" x14ac:dyDescent="0.2">
      <c r="E3685" s="332"/>
    </row>
    <row r="3686" spans="5:5" x14ac:dyDescent="0.2">
      <c r="E3686" s="332"/>
    </row>
    <row r="3687" spans="5:5" x14ac:dyDescent="0.2">
      <c r="E3687" s="332"/>
    </row>
    <row r="3688" spans="5:5" x14ac:dyDescent="0.2">
      <c r="E3688" s="332"/>
    </row>
    <row r="3689" spans="5:5" x14ac:dyDescent="0.2">
      <c r="E3689" s="332"/>
    </row>
    <row r="3690" spans="5:5" x14ac:dyDescent="0.2">
      <c r="E3690" s="332"/>
    </row>
    <row r="3691" spans="5:5" x14ac:dyDescent="0.2">
      <c r="E3691" s="332"/>
    </row>
    <row r="3692" spans="5:5" x14ac:dyDescent="0.2">
      <c r="E3692" s="332"/>
    </row>
    <row r="3693" spans="5:5" x14ac:dyDescent="0.2">
      <c r="E3693" s="332"/>
    </row>
    <row r="3694" spans="5:5" x14ac:dyDescent="0.2">
      <c r="E3694" s="332"/>
    </row>
    <row r="3695" spans="5:5" x14ac:dyDescent="0.2">
      <c r="E3695" s="332"/>
    </row>
    <row r="3696" spans="5:5" x14ac:dyDescent="0.2">
      <c r="E3696" s="332"/>
    </row>
    <row r="3697" spans="5:5" x14ac:dyDescent="0.2">
      <c r="E3697" s="332"/>
    </row>
    <row r="3698" spans="5:5" x14ac:dyDescent="0.2">
      <c r="E3698" s="332"/>
    </row>
    <row r="3699" spans="5:5" x14ac:dyDescent="0.2">
      <c r="E3699" s="332"/>
    </row>
    <row r="3700" spans="5:5" x14ac:dyDescent="0.2">
      <c r="E3700" s="332"/>
    </row>
    <row r="3701" spans="5:5" x14ac:dyDescent="0.2">
      <c r="E3701" s="332"/>
    </row>
    <row r="3702" spans="5:5" x14ac:dyDescent="0.2">
      <c r="E3702" s="332"/>
    </row>
    <row r="3703" spans="5:5" x14ac:dyDescent="0.2">
      <c r="E3703" s="332"/>
    </row>
    <row r="3704" spans="5:5" x14ac:dyDescent="0.2">
      <c r="E3704" s="332"/>
    </row>
    <row r="3705" spans="5:5" x14ac:dyDescent="0.2">
      <c r="E3705" s="332"/>
    </row>
    <row r="3706" spans="5:5" x14ac:dyDescent="0.2">
      <c r="E3706" s="332"/>
    </row>
    <row r="3707" spans="5:5" x14ac:dyDescent="0.2">
      <c r="E3707" s="332"/>
    </row>
    <row r="3708" spans="5:5" x14ac:dyDescent="0.2">
      <c r="E3708" s="332"/>
    </row>
    <row r="3709" spans="5:5" x14ac:dyDescent="0.2">
      <c r="E3709" s="332"/>
    </row>
    <row r="3710" spans="5:5" x14ac:dyDescent="0.2">
      <c r="E3710" s="332"/>
    </row>
    <row r="3711" spans="5:5" x14ac:dyDescent="0.2">
      <c r="E3711" s="332"/>
    </row>
    <row r="3712" spans="5:5" x14ac:dyDescent="0.2">
      <c r="E3712" s="332"/>
    </row>
    <row r="3713" spans="5:5" x14ac:dyDescent="0.2">
      <c r="E3713" s="332"/>
    </row>
    <row r="3714" spans="5:5" x14ac:dyDescent="0.2">
      <c r="E3714" s="332"/>
    </row>
    <row r="3715" spans="5:5" x14ac:dyDescent="0.2">
      <c r="E3715" s="332"/>
    </row>
    <row r="3716" spans="5:5" x14ac:dyDescent="0.2">
      <c r="E3716" s="332"/>
    </row>
    <row r="3717" spans="5:5" x14ac:dyDescent="0.2">
      <c r="E3717" s="332"/>
    </row>
    <row r="3718" spans="5:5" x14ac:dyDescent="0.2">
      <c r="E3718" s="332"/>
    </row>
    <row r="3719" spans="5:5" x14ac:dyDescent="0.2">
      <c r="E3719" s="332"/>
    </row>
    <row r="3720" spans="5:5" x14ac:dyDescent="0.2">
      <c r="E3720" s="332"/>
    </row>
    <row r="3721" spans="5:5" x14ac:dyDescent="0.2">
      <c r="E3721" s="332"/>
    </row>
    <row r="3722" spans="5:5" x14ac:dyDescent="0.2">
      <c r="E3722" s="332"/>
    </row>
    <row r="3723" spans="5:5" x14ac:dyDescent="0.2">
      <c r="E3723" s="332"/>
    </row>
    <row r="3724" spans="5:5" x14ac:dyDescent="0.2">
      <c r="E3724" s="332"/>
    </row>
    <row r="3725" spans="5:5" x14ac:dyDescent="0.2">
      <c r="E3725" s="332"/>
    </row>
    <row r="3726" spans="5:5" x14ac:dyDescent="0.2">
      <c r="E3726" s="332"/>
    </row>
    <row r="3727" spans="5:5" x14ac:dyDescent="0.2">
      <c r="E3727" s="332"/>
    </row>
    <row r="3728" spans="5:5" x14ac:dyDescent="0.2">
      <c r="E3728" s="332"/>
    </row>
    <row r="3729" spans="5:5" x14ac:dyDescent="0.2">
      <c r="E3729" s="332"/>
    </row>
    <row r="3730" spans="5:5" x14ac:dyDescent="0.2">
      <c r="E3730" s="332"/>
    </row>
    <row r="3731" spans="5:5" x14ac:dyDescent="0.2">
      <c r="E3731" s="332"/>
    </row>
    <row r="3732" spans="5:5" x14ac:dyDescent="0.2">
      <c r="E3732" s="332"/>
    </row>
    <row r="3733" spans="5:5" x14ac:dyDescent="0.2">
      <c r="E3733" s="332"/>
    </row>
    <row r="3734" spans="5:5" x14ac:dyDescent="0.2">
      <c r="E3734" s="332"/>
    </row>
    <row r="3735" spans="5:5" x14ac:dyDescent="0.2">
      <c r="E3735" s="332"/>
    </row>
    <row r="3736" spans="5:5" x14ac:dyDescent="0.2">
      <c r="E3736" s="332"/>
    </row>
    <row r="3737" spans="5:5" x14ac:dyDescent="0.2">
      <c r="E3737" s="332"/>
    </row>
    <row r="3738" spans="5:5" x14ac:dyDescent="0.2">
      <c r="E3738" s="332"/>
    </row>
    <row r="3739" spans="5:5" x14ac:dyDescent="0.2">
      <c r="E3739" s="332"/>
    </row>
    <row r="3740" spans="5:5" x14ac:dyDescent="0.2">
      <c r="E3740" s="332"/>
    </row>
    <row r="3741" spans="5:5" x14ac:dyDescent="0.2">
      <c r="E3741" s="332"/>
    </row>
    <row r="3742" spans="5:5" x14ac:dyDescent="0.2">
      <c r="E3742" s="332"/>
    </row>
    <row r="3743" spans="5:5" x14ac:dyDescent="0.2">
      <c r="E3743" s="332"/>
    </row>
    <row r="3744" spans="5:5" x14ac:dyDescent="0.2">
      <c r="E3744" s="332"/>
    </row>
    <row r="3745" spans="5:5" x14ac:dyDescent="0.2">
      <c r="E3745" s="332"/>
    </row>
    <row r="3746" spans="5:5" x14ac:dyDescent="0.2">
      <c r="E3746" s="332"/>
    </row>
    <row r="3747" spans="5:5" x14ac:dyDescent="0.2">
      <c r="E3747" s="332"/>
    </row>
    <row r="3748" spans="5:5" x14ac:dyDescent="0.2">
      <c r="E3748" s="332"/>
    </row>
    <row r="3749" spans="5:5" x14ac:dyDescent="0.2">
      <c r="E3749" s="332"/>
    </row>
    <row r="3750" spans="5:5" x14ac:dyDescent="0.2">
      <c r="E3750" s="332"/>
    </row>
    <row r="3751" spans="5:5" x14ac:dyDescent="0.2">
      <c r="E3751" s="332"/>
    </row>
    <row r="3752" spans="5:5" x14ac:dyDescent="0.2">
      <c r="E3752" s="332"/>
    </row>
    <row r="3753" spans="5:5" x14ac:dyDescent="0.2">
      <c r="E3753" s="332"/>
    </row>
    <row r="3754" spans="5:5" x14ac:dyDescent="0.2">
      <c r="E3754" s="332"/>
    </row>
    <row r="3755" spans="5:5" x14ac:dyDescent="0.2">
      <c r="E3755" s="332"/>
    </row>
    <row r="3756" spans="5:5" x14ac:dyDescent="0.2">
      <c r="E3756" s="332"/>
    </row>
    <row r="3757" spans="5:5" x14ac:dyDescent="0.2">
      <c r="E3757" s="332"/>
    </row>
    <row r="3758" spans="5:5" x14ac:dyDescent="0.2">
      <c r="E3758" s="332"/>
    </row>
    <row r="3759" spans="5:5" x14ac:dyDescent="0.2">
      <c r="E3759" s="332"/>
    </row>
    <row r="3760" spans="5:5" x14ac:dyDescent="0.2">
      <c r="E3760" s="332"/>
    </row>
    <row r="3761" spans="5:5" x14ac:dyDescent="0.2">
      <c r="E3761" s="332"/>
    </row>
    <row r="3762" spans="5:5" x14ac:dyDescent="0.2">
      <c r="E3762" s="332"/>
    </row>
    <row r="3763" spans="5:5" x14ac:dyDescent="0.2">
      <c r="E3763" s="332"/>
    </row>
    <row r="3764" spans="5:5" x14ac:dyDescent="0.2">
      <c r="E3764" s="332"/>
    </row>
    <row r="3765" spans="5:5" x14ac:dyDescent="0.2">
      <c r="E3765" s="332"/>
    </row>
    <row r="3766" spans="5:5" x14ac:dyDescent="0.2">
      <c r="E3766" s="332"/>
    </row>
    <row r="3767" spans="5:5" x14ac:dyDescent="0.2">
      <c r="E3767" s="332"/>
    </row>
    <row r="3768" spans="5:5" x14ac:dyDescent="0.2">
      <c r="E3768" s="332"/>
    </row>
    <row r="3769" spans="5:5" x14ac:dyDescent="0.2">
      <c r="E3769" s="332"/>
    </row>
    <row r="3770" spans="5:5" x14ac:dyDescent="0.2">
      <c r="E3770" s="332"/>
    </row>
    <row r="3771" spans="5:5" x14ac:dyDescent="0.2">
      <c r="E3771" s="332"/>
    </row>
    <row r="3772" spans="5:5" x14ac:dyDescent="0.2">
      <c r="E3772" s="332"/>
    </row>
    <row r="3773" spans="5:5" x14ac:dyDescent="0.2">
      <c r="E3773" s="332"/>
    </row>
    <row r="3774" spans="5:5" x14ac:dyDescent="0.2">
      <c r="E3774" s="332"/>
    </row>
    <row r="3775" spans="5:5" x14ac:dyDescent="0.2">
      <c r="E3775" s="332"/>
    </row>
    <row r="3776" spans="5:5" x14ac:dyDescent="0.2">
      <c r="E3776" s="332"/>
    </row>
    <row r="3777" spans="5:5" x14ac:dyDescent="0.2">
      <c r="E3777" s="332"/>
    </row>
    <row r="3778" spans="5:5" x14ac:dyDescent="0.2">
      <c r="E3778" s="332"/>
    </row>
    <row r="3779" spans="5:5" x14ac:dyDescent="0.2">
      <c r="E3779" s="332"/>
    </row>
    <row r="3780" spans="5:5" x14ac:dyDescent="0.2">
      <c r="E3780" s="332"/>
    </row>
    <row r="3781" spans="5:5" x14ac:dyDescent="0.2">
      <c r="E3781" s="332"/>
    </row>
    <row r="3782" spans="5:5" x14ac:dyDescent="0.2">
      <c r="E3782" s="332"/>
    </row>
    <row r="3783" spans="5:5" x14ac:dyDescent="0.2">
      <c r="E3783" s="332"/>
    </row>
    <row r="3784" spans="5:5" x14ac:dyDescent="0.2">
      <c r="E3784" s="332"/>
    </row>
    <row r="3785" spans="5:5" x14ac:dyDescent="0.2">
      <c r="E3785" s="332"/>
    </row>
    <row r="3786" spans="5:5" x14ac:dyDescent="0.2">
      <c r="E3786" s="332"/>
    </row>
    <row r="3787" spans="5:5" x14ac:dyDescent="0.2">
      <c r="E3787" s="332"/>
    </row>
    <row r="3788" spans="5:5" x14ac:dyDescent="0.2">
      <c r="E3788" s="332"/>
    </row>
    <row r="3789" spans="5:5" x14ac:dyDescent="0.2">
      <c r="E3789" s="332"/>
    </row>
    <row r="3790" spans="5:5" x14ac:dyDescent="0.2">
      <c r="E3790" s="332"/>
    </row>
    <row r="3791" spans="5:5" x14ac:dyDescent="0.2">
      <c r="E3791" s="332"/>
    </row>
    <row r="3792" spans="5:5" x14ac:dyDescent="0.2">
      <c r="E3792" s="332"/>
    </row>
    <row r="3793" spans="5:5" x14ac:dyDescent="0.2">
      <c r="E3793" s="332"/>
    </row>
    <row r="3794" spans="5:5" x14ac:dyDescent="0.2">
      <c r="E3794" s="332"/>
    </row>
    <row r="3795" spans="5:5" x14ac:dyDescent="0.2">
      <c r="E3795" s="332"/>
    </row>
    <row r="3796" spans="5:5" x14ac:dyDescent="0.2">
      <c r="E3796" s="332"/>
    </row>
    <row r="3797" spans="5:5" x14ac:dyDescent="0.2">
      <c r="E3797" s="332"/>
    </row>
    <row r="3798" spans="5:5" x14ac:dyDescent="0.2">
      <c r="E3798" s="332"/>
    </row>
    <row r="3799" spans="5:5" x14ac:dyDescent="0.2">
      <c r="E3799" s="332"/>
    </row>
    <row r="3800" spans="5:5" x14ac:dyDescent="0.2">
      <c r="E3800" s="332"/>
    </row>
    <row r="3801" spans="5:5" x14ac:dyDescent="0.2">
      <c r="E3801" s="332"/>
    </row>
    <row r="3802" spans="5:5" x14ac:dyDescent="0.2">
      <c r="E3802" s="332"/>
    </row>
    <row r="3803" spans="5:5" x14ac:dyDescent="0.2">
      <c r="E3803" s="332"/>
    </row>
    <row r="3804" spans="5:5" x14ac:dyDescent="0.2">
      <c r="E3804" s="332"/>
    </row>
    <row r="3805" spans="5:5" x14ac:dyDescent="0.2">
      <c r="E3805" s="332"/>
    </row>
    <row r="3806" spans="5:5" x14ac:dyDescent="0.2">
      <c r="E3806" s="332"/>
    </row>
    <row r="3807" spans="5:5" x14ac:dyDescent="0.2">
      <c r="E3807" s="332"/>
    </row>
    <row r="3808" spans="5:5" x14ac:dyDescent="0.2">
      <c r="E3808" s="332"/>
    </row>
    <row r="3809" spans="5:5" x14ac:dyDescent="0.2">
      <c r="E3809" s="332"/>
    </row>
    <row r="3810" spans="5:5" x14ac:dyDescent="0.2">
      <c r="E3810" s="332"/>
    </row>
    <row r="3811" spans="5:5" x14ac:dyDescent="0.2">
      <c r="E3811" s="332"/>
    </row>
    <row r="3812" spans="5:5" x14ac:dyDescent="0.2">
      <c r="E3812" s="332"/>
    </row>
    <row r="3813" spans="5:5" x14ac:dyDescent="0.2">
      <c r="E3813" s="332"/>
    </row>
    <row r="3814" spans="5:5" x14ac:dyDescent="0.2">
      <c r="E3814" s="332"/>
    </row>
    <row r="3815" spans="5:5" x14ac:dyDescent="0.2">
      <c r="E3815" s="332"/>
    </row>
    <row r="3816" spans="5:5" x14ac:dyDescent="0.2">
      <c r="E3816" s="332"/>
    </row>
    <row r="3817" spans="5:5" x14ac:dyDescent="0.2">
      <c r="E3817" s="332"/>
    </row>
    <row r="3818" spans="5:5" x14ac:dyDescent="0.2">
      <c r="E3818" s="332"/>
    </row>
    <row r="3819" spans="5:5" x14ac:dyDescent="0.2">
      <c r="E3819" s="332"/>
    </row>
    <row r="3820" spans="5:5" x14ac:dyDescent="0.2">
      <c r="E3820" s="332"/>
    </row>
    <row r="3821" spans="5:5" x14ac:dyDescent="0.2">
      <c r="E3821" s="332"/>
    </row>
    <row r="3822" spans="5:5" x14ac:dyDescent="0.2">
      <c r="E3822" s="332"/>
    </row>
    <row r="3823" spans="5:5" x14ac:dyDescent="0.2">
      <c r="E3823" s="332"/>
    </row>
    <row r="3824" spans="5:5" x14ac:dyDescent="0.2">
      <c r="E3824" s="332"/>
    </row>
    <row r="3825" spans="5:5" x14ac:dyDescent="0.2">
      <c r="E3825" s="332"/>
    </row>
    <row r="3826" spans="5:5" x14ac:dyDescent="0.2">
      <c r="E3826" s="332"/>
    </row>
    <row r="3827" spans="5:5" x14ac:dyDescent="0.2">
      <c r="E3827" s="332"/>
    </row>
    <row r="3828" spans="5:5" x14ac:dyDescent="0.2">
      <c r="E3828" s="332"/>
    </row>
    <row r="3829" spans="5:5" x14ac:dyDescent="0.2">
      <c r="E3829" s="332"/>
    </row>
    <row r="3830" spans="5:5" x14ac:dyDescent="0.2">
      <c r="E3830" s="332"/>
    </row>
    <row r="3831" spans="5:5" x14ac:dyDescent="0.2">
      <c r="E3831" s="332"/>
    </row>
    <row r="3832" spans="5:5" x14ac:dyDescent="0.2">
      <c r="E3832" s="332"/>
    </row>
    <row r="3833" spans="5:5" x14ac:dyDescent="0.2">
      <c r="E3833" s="332"/>
    </row>
    <row r="3834" spans="5:5" x14ac:dyDescent="0.2">
      <c r="E3834" s="332"/>
    </row>
    <row r="3835" spans="5:5" x14ac:dyDescent="0.2">
      <c r="E3835" s="332"/>
    </row>
    <row r="3836" spans="5:5" x14ac:dyDescent="0.2">
      <c r="E3836" s="332"/>
    </row>
    <row r="3837" spans="5:5" x14ac:dyDescent="0.2">
      <c r="E3837" s="332"/>
    </row>
    <row r="3838" spans="5:5" x14ac:dyDescent="0.2">
      <c r="E3838" s="332"/>
    </row>
    <row r="3839" spans="5:5" x14ac:dyDescent="0.2">
      <c r="E3839" s="332"/>
    </row>
    <row r="3840" spans="5:5" x14ac:dyDescent="0.2">
      <c r="E3840" s="332"/>
    </row>
    <row r="3841" spans="5:5" x14ac:dyDescent="0.2">
      <c r="E3841" s="332"/>
    </row>
    <row r="3842" spans="5:5" x14ac:dyDescent="0.2">
      <c r="E3842" s="332"/>
    </row>
    <row r="3843" spans="5:5" x14ac:dyDescent="0.2">
      <c r="E3843" s="332"/>
    </row>
    <row r="3844" spans="5:5" x14ac:dyDescent="0.2">
      <c r="E3844" s="332"/>
    </row>
    <row r="3845" spans="5:5" x14ac:dyDescent="0.2">
      <c r="E3845" s="332"/>
    </row>
    <row r="3846" spans="5:5" x14ac:dyDescent="0.2">
      <c r="E3846" s="332"/>
    </row>
    <row r="3847" spans="5:5" x14ac:dyDescent="0.2">
      <c r="E3847" s="332"/>
    </row>
    <row r="3848" spans="5:5" x14ac:dyDescent="0.2">
      <c r="E3848" s="332"/>
    </row>
    <row r="3849" spans="5:5" x14ac:dyDescent="0.2">
      <c r="E3849" s="332"/>
    </row>
    <row r="3850" spans="5:5" x14ac:dyDescent="0.2">
      <c r="E3850" s="332"/>
    </row>
    <row r="3851" spans="5:5" x14ac:dyDescent="0.2">
      <c r="E3851" s="332"/>
    </row>
    <row r="3852" spans="5:5" x14ac:dyDescent="0.2">
      <c r="E3852" s="332"/>
    </row>
    <row r="3853" spans="5:5" x14ac:dyDescent="0.2">
      <c r="E3853" s="332"/>
    </row>
    <row r="3854" spans="5:5" x14ac:dyDescent="0.2">
      <c r="E3854" s="332"/>
    </row>
    <row r="3855" spans="5:5" x14ac:dyDescent="0.2">
      <c r="E3855" s="332"/>
    </row>
    <row r="3856" spans="5:5" x14ac:dyDescent="0.2">
      <c r="E3856" s="332"/>
    </row>
    <row r="3857" spans="5:5" x14ac:dyDescent="0.2">
      <c r="E3857" s="332"/>
    </row>
    <row r="3858" spans="5:5" x14ac:dyDescent="0.2">
      <c r="E3858" s="332"/>
    </row>
    <row r="3859" spans="5:5" x14ac:dyDescent="0.2">
      <c r="E3859" s="332"/>
    </row>
    <row r="3860" spans="5:5" x14ac:dyDescent="0.2">
      <c r="E3860" s="332"/>
    </row>
    <row r="3861" spans="5:5" x14ac:dyDescent="0.2">
      <c r="E3861" s="332"/>
    </row>
    <row r="3862" spans="5:5" x14ac:dyDescent="0.2">
      <c r="E3862" s="332"/>
    </row>
    <row r="3863" spans="5:5" x14ac:dyDescent="0.2">
      <c r="E3863" s="332"/>
    </row>
    <row r="3864" spans="5:5" x14ac:dyDescent="0.2">
      <c r="E3864" s="332"/>
    </row>
    <row r="3865" spans="5:5" x14ac:dyDescent="0.2">
      <c r="E3865" s="332"/>
    </row>
    <row r="3866" spans="5:5" x14ac:dyDescent="0.2">
      <c r="E3866" s="332"/>
    </row>
    <row r="3867" spans="5:5" x14ac:dyDescent="0.2">
      <c r="E3867" s="332"/>
    </row>
    <row r="3868" spans="5:5" x14ac:dyDescent="0.2">
      <c r="E3868" s="332"/>
    </row>
    <row r="3869" spans="5:5" x14ac:dyDescent="0.2">
      <c r="E3869" s="332"/>
    </row>
    <row r="3870" spans="5:5" x14ac:dyDescent="0.2">
      <c r="E3870" s="332"/>
    </row>
    <row r="3871" spans="5:5" x14ac:dyDescent="0.2">
      <c r="E3871" s="332"/>
    </row>
    <row r="3872" spans="5:5" x14ac:dyDescent="0.2">
      <c r="E3872" s="332"/>
    </row>
    <row r="3873" spans="5:5" x14ac:dyDescent="0.2">
      <c r="E3873" s="332"/>
    </row>
    <row r="3874" spans="5:5" x14ac:dyDescent="0.2">
      <c r="E3874" s="332"/>
    </row>
    <row r="3875" spans="5:5" x14ac:dyDescent="0.2">
      <c r="E3875" s="332"/>
    </row>
    <row r="3876" spans="5:5" x14ac:dyDescent="0.2">
      <c r="E3876" s="332"/>
    </row>
    <row r="3877" spans="5:5" x14ac:dyDescent="0.2">
      <c r="E3877" s="332"/>
    </row>
    <row r="3878" spans="5:5" x14ac:dyDescent="0.2">
      <c r="E3878" s="332"/>
    </row>
    <row r="3879" spans="5:5" x14ac:dyDescent="0.2">
      <c r="E3879" s="332"/>
    </row>
    <row r="3880" spans="5:5" x14ac:dyDescent="0.2">
      <c r="E3880" s="332"/>
    </row>
    <row r="3881" spans="5:5" x14ac:dyDescent="0.2">
      <c r="E3881" s="332"/>
    </row>
    <row r="3882" spans="5:5" x14ac:dyDescent="0.2">
      <c r="E3882" s="332"/>
    </row>
    <row r="3883" spans="5:5" x14ac:dyDescent="0.2">
      <c r="E3883" s="332"/>
    </row>
    <row r="3884" spans="5:5" x14ac:dyDescent="0.2">
      <c r="E3884" s="332"/>
    </row>
    <row r="3885" spans="5:5" x14ac:dyDescent="0.2">
      <c r="E3885" s="332"/>
    </row>
    <row r="3886" spans="5:5" x14ac:dyDescent="0.2">
      <c r="E3886" s="332"/>
    </row>
    <row r="3887" spans="5:5" x14ac:dyDescent="0.2">
      <c r="E3887" s="332"/>
    </row>
    <row r="3888" spans="5:5" x14ac:dyDescent="0.2">
      <c r="E3888" s="332"/>
    </row>
    <row r="3889" spans="5:5" x14ac:dyDescent="0.2">
      <c r="E3889" s="332"/>
    </row>
    <row r="3890" spans="5:5" x14ac:dyDescent="0.2">
      <c r="E3890" s="332"/>
    </row>
    <row r="3891" spans="5:5" x14ac:dyDescent="0.2">
      <c r="E3891" s="332"/>
    </row>
    <row r="3892" spans="5:5" x14ac:dyDescent="0.2">
      <c r="E3892" s="332"/>
    </row>
    <row r="3893" spans="5:5" x14ac:dyDescent="0.2">
      <c r="E3893" s="332"/>
    </row>
    <row r="3894" spans="5:5" x14ac:dyDescent="0.2">
      <c r="E3894" s="332"/>
    </row>
    <row r="3895" spans="5:5" x14ac:dyDescent="0.2">
      <c r="E3895" s="332"/>
    </row>
    <row r="3896" spans="5:5" x14ac:dyDescent="0.2">
      <c r="E3896" s="332"/>
    </row>
    <row r="3897" spans="5:5" x14ac:dyDescent="0.2">
      <c r="E3897" s="332"/>
    </row>
    <row r="3898" spans="5:5" x14ac:dyDescent="0.2">
      <c r="E3898" s="332"/>
    </row>
    <row r="3899" spans="5:5" x14ac:dyDescent="0.2">
      <c r="E3899" s="332"/>
    </row>
    <row r="3900" spans="5:5" x14ac:dyDescent="0.2">
      <c r="E3900" s="332"/>
    </row>
    <row r="3901" spans="5:5" x14ac:dyDescent="0.2">
      <c r="E3901" s="332"/>
    </row>
    <row r="3902" spans="5:5" x14ac:dyDescent="0.2">
      <c r="E3902" s="332"/>
    </row>
    <row r="3903" spans="5:5" x14ac:dyDescent="0.2">
      <c r="E3903" s="332"/>
    </row>
    <row r="3904" spans="5:5" x14ac:dyDescent="0.2">
      <c r="E3904" s="332"/>
    </row>
    <row r="3905" spans="5:5" x14ac:dyDescent="0.2">
      <c r="E3905" s="332"/>
    </row>
    <row r="3906" spans="5:5" x14ac:dyDescent="0.2">
      <c r="E3906" s="332"/>
    </row>
    <row r="3907" spans="5:5" x14ac:dyDescent="0.2">
      <c r="E3907" s="332"/>
    </row>
    <row r="3908" spans="5:5" x14ac:dyDescent="0.2">
      <c r="E3908" s="332"/>
    </row>
    <row r="3909" spans="5:5" x14ac:dyDescent="0.2">
      <c r="E3909" s="332"/>
    </row>
    <row r="3910" spans="5:5" x14ac:dyDescent="0.2">
      <c r="E3910" s="332"/>
    </row>
    <row r="3911" spans="5:5" x14ac:dyDescent="0.2">
      <c r="E3911" s="332"/>
    </row>
    <row r="3912" spans="5:5" x14ac:dyDescent="0.2">
      <c r="E3912" s="332"/>
    </row>
    <row r="3913" spans="5:5" x14ac:dyDescent="0.2">
      <c r="E3913" s="332"/>
    </row>
    <row r="3914" spans="5:5" x14ac:dyDescent="0.2">
      <c r="E3914" s="332"/>
    </row>
    <row r="3915" spans="5:5" x14ac:dyDescent="0.2">
      <c r="E3915" s="332"/>
    </row>
    <row r="3916" spans="5:5" x14ac:dyDescent="0.2">
      <c r="E3916" s="332"/>
    </row>
    <row r="3917" spans="5:5" x14ac:dyDescent="0.2">
      <c r="E3917" s="332"/>
    </row>
    <row r="3918" spans="5:5" x14ac:dyDescent="0.2">
      <c r="E3918" s="332"/>
    </row>
    <row r="3919" spans="5:5" x14ac:dyDescent="0.2">
      <c r="E3919" s="332"/>
    </row>
    <row r="3920" spans="5:5" x14ac:dyDescent="0.2">
      <c r="E3920" s="332"/>
    </row>
    <row r="3921" spans="5:5" x14ac:dyDescent="0.2">
      <c r="E3921" s="332"/>
    </row>
    <row r="3922" spans="5:5" x14ac:dyDescent="0.2">
      <c r="E3922" s="332"/>
    </row>
    <row r="3923" spans="5:5" x14ac:dyDescent="0.2">
      <c r="E3923" s="332"/>
    </row>
    <row r="3924" spans="5:5" x14ac:dyDescent="0.2">
      <c r="E3924" s="332"/>
    </row>
    <row r="3925" spans="5:5" x14ac:dyDescent="0.2">
      <c r="E3925" s="332"/>
    </row>
    <row r="3926" spans="5:5" x14ac:dyDescent="0.2">
      <c r="E3926" s="332"/>
    </row>
    <row r="3927" spans="5:5" x14ac:dyDescent="0.2">
      <c r="E3927" s="332"/>
    </row>
    <row r="3928" spans="5:5" x14ac:dyDescent="0.2">
      <c r="E3928" s="332"/>
    </row>
    <row r="3929" spans="5:5" x14ac:dyDescent="0.2">
      <c r="E3929" s="332"/>
    </row>
    <row r="3930" spans="5:5" x14ac:dyDescent="0.2">
      <c r="E3930" s="332"/>
    </row>
    <row r="3931" spans="5:5" x14ac:dyDescent="0.2">
      <c r="E3931" s="332"/>
    </row>
    <row r="3932" spans="5:5" x14ac:dyDescent="0.2">
      <c r="E3932" s="332"/>
    </row>
    <row r="3933" spans="5:5" x14ac:dyDescent="0.2">
      <c r="E3933" s="332"/>
    </row>
    <row r="3934" spans="5:5" x14ac:dyDescent="0.2">
      <c r="E3934" s="332"/>
    </row>
    <row r="3935" spans="5:5" x14ac:dyDescent="0.2">
      <c r="E3935" s="332"/>
    </row>
    <row r="3936" spans="5:5" x14ac:dyDescent="0.2">
      <c r="E3936" s="332"/>
    </row>
    <row r="3937" spans="5:5" x14ac:dyDescent="0.2">
      <c r="E3937" s="332"/>
    </row>
    <row r="3938" spans="5:5" x14ac:dyDescent="0.2">
      <c r="E3938" s="332"/>
    </row>
    <row r="3939" spans="5:5" x14ac:dyDescent="0.2">
      <c r="E3939" s="332"/>
    </row>
    <row r="3940" spans="5:5" x14ac:dyDescent="0.2">
      <c r="E3940" s="332"/>
    </row>
    <row r="3941" spans="5:5" x14ac:dyDescent="0.2">
      <c r="E3941" s="332"/>
    </row>
    <row r="3942" spans="5:5" x14ac:dyDescent="0.2">
      <c r="E3942" s="332"/>
    </row>
    <row r="3943" spans="5:5" x14ac:dyDescent="0.2">
      <c r="E3943" s="332"/>
    </row>
    <row r="3944" spans="5:5" x14ac:dyDescent="0.2">
      <c r="E3944" s="332"/>
    </row>
    <row r="3945" spans="5:5" x14ac:dyDescent="0.2">
      <c r="E3945" s="332"/>
    </row>
    <row r="3946" spans="5:5" x14ac:dyDescent="0.2">
      <c r="E3946" s="332"/>
    </row>
    <row r="3947" spans="5:5" x14ac:dyDescent="0.2">
      <c r="E3947" s="332"/>
    </row>
    <row r="3948" spans="5:5" x14ac:dyDescent="0.2">
      <c r="E3948" s="332"/>
    </row>
    <row r="3949" spans="5:5" x14ac:dyDescent="0.2">
      <c r="E3949" s="332"/>
    </row>
    <row r="3950" spans="5:5" x14ac:dyDescent="0.2">
      <c r="E3950" s="332"/>
    </row>
    <row r="3951" spans="5:5" x14ac:dyDescent="0.2">
      <c r="E3951" s="332"/>
    </row>
    <row r="3952" spans="5:5" x14ac:dyDescent="0.2">
      <c r="E3952" s="332"/>
    </row>
    <row r="3953" spans="5:5" x14ac:dyDescent="0.2">
      <c r="E3953" s="332"/>
    </row>
    <row r="3954" spans="5:5" x14ac:dyDescent="0.2">
      <c r="E3954" s="332"/>
    </row>
    <row r="3955" spans="5:5" x14ac:dyDescent="0.2">
      <c r="E3955" s="332"/>
    </row>
    <row r="3956" spans="5:5" x14ac:dyDescent="0.2">
      <c r="E3956" s="332"/>
    </row>
    <row r="3957" spans="5:5" x14ac:dyDescent="0.2">
      <c r="E3957" s="332"/>
    </row>
    <row r="3958" spans="5:5" x14ac:dyDescent="0.2">
      <c r="E3958" s="332"/>
    </row>
    <row r="3959" spans="5:5" x14ac:dyDescent="0.2">
      <c r="E3959" s="332"/>
    </row>
    <row r="3960" spans="5:5" x14ac:dyDescent="0.2">
      <c r="E3960" s="332"/>
    </row>
    <row r="3961" spans="5:5" x14ac:dyDescent="0.2">
      <c r="E3961" s="332"/>
    </row>
    <row r="3962" spans="5:5" x14ac:dyDescent="0.2">
      <c r="E3962" s="332"/>
    </row>
    <row r="3963" spans="5:5" x14ac:dyDescent="0.2">
      <c r="E3963" s="332"/>
    </row>
    <row r="3964" spans="5:5" x14ac:dyDescent="0.2">
      <c r="E3964" s="332"/>
    </row>
    <row r="3965" spans="5:5" x14ac:dyDescent="0.2">
      <c r="E3965" s="332"/>
    </row>
    <row r="3966" spans="5:5" x14ac:dyDescent="0.2">
      <c r="E3966" s="332"/>
    </row>
    <row r="3967" spans="5:5" x14ac:dyDescent="0.2">
      <c r="E3967" s="332"/>
    </row>
    <row r="3968" spans="5:5" x14ac:dyDescent="0.2">
      <c r="E3968" s="332"/>
    </row>
    <row r="3969" spans="5:5" x14ac:dyDescent="0.2">
      <c r="E3969" s="332"/>
    </row>
    <row r="3970" spans="5:5" x14ac:dyDescent="0.2">
      <c r="E3970" s="332"/>
    </row>
    <row r="3971" spans="5:5" x14ac:dyDescent="0.2">
      <c r="E3971" s="332"/>
    </row>
    <row r="3972" spans="5:5" x14ac:dyDescent="0.2">
      <c r="E3972" s="332"/>
    </row>
    <row r="3973" spans="5:5" x14ac:dyDescent="0.2">
      <c r="E3973" s="332"/>
    </row>
    <row r="3974" spans="5:5" x14ac:dyDescent="0.2">
      <c r="E3974" s="332"/>
    </row>
    <row r="3975" spans="5:5" x14ac:dyDescent="0.2">
      <c r="E3975" s="332"/>
    </row>
    <row r="3976" spans="5:5" x14ac:dyDescent="0.2">
      <c r="E3976" s="332"/>
    </row>
    <row r="3977" spans="5:5" x14ac:dyDescent="0.2">
      <c r="E3977" s="332"/>
    </row>
    <row r="3978" spans="5:5" x14ac:dyDescent="0.2">
      <c r="E3978" s="332"/>
    </row>
    <row r="3979" spans="5:5" x14ac:dyDescent="0.2">
      <c r="E3979" s="332"/>
    </row>
    <row r="3980" spans="5:5" x14ac:dyDescent="0.2">
      <c r="E3980" s="332"/>
    </row>
    <row r="3981" spans="5:5" x14ac:dyDescent="0.2">
      <c r="E3981" s="332"/>
    </row>
    <row r="3982" spans="5:5" x14ac:dyDescent="0.2">
      <c r="E3982" s="332"/>
    </row>
    <row r="3983" spans="5:5" x14ac:dyDescent="0.2">
      <c r="E3983" s="332"/>
    </row>
    <row r="3984" spans="5:5" x14ac:dyDescent="0.2">
      <c r="E3984" s="332"/>
    </row>
    <row r="3985" spans="5:5" x14ac:dyDescent="0.2">
      <c r="E3985" s="332"/>
    </row>
    <row r="3986" spans="5:5" x14ac:dyDescent="0.2">
      <c r="E3986" s="332"/>
    </row>
    <row r="3987" spans="5:5" x14ac:dyDescent="0.2">
      <c r="E3987" s="332"/>
    </row>
    <row r="3988" spans="5:5" x14ac:dyDescent="0.2">
      <c r="E3988" s="332"/>
    </row>
    <row r="3989" spans="5:5" x14ac:dyDescent="0.2">
      <c r="E3989" s="332"/>
    </row>
    <row r="3990" spans="5:5" x14ac:dyDescent="0.2">
      <c r="E3990" s="332"/>
    </row>
    <row r="3991" spans="5:5" x14ac:dyDescent="0.2">
      <c r="E3991" s="332"/>
    </row>
    <row r="3992" spans="5:5" x14ac:dyDescent="0.2">
      <c r="E3992" s="332"/>
    </row>
    <row r="3993" spans="5:5" x14ac:dyDescent="0.2">
      <c r="E3993" s="332"/>
    </row>
    <row r="3994" spans="5:5" x14ac:dyDescent="0.2">
      <c r="E3994" s="332"/>
    </row>
    <row r="3995" spans="5:5" x14ac:dyDescent="0.2">
      <c r="E3995" s="332"/>
    </row>
    <row r="3996" spans="5:5" x14ac:dyDescent="0.2">
      <c r="E3996" s="332"/>
    </row>
    <row r="3997" spans="5:5" x14ac:dyDescent="0.2">
      <c r="E3997" s="332"/>
    </row>
    <row r="3998" spans="5:5" x14ac:dyDescent="0.2">
      <c r="E3998" s="332"/>
    </row>
    <row r="3999" spans="5:5" x14ac:dyDescent="0.2">
      <c r="E3999" s="332"/>
    </row>
    <row r="4000" spans="5:5" x14ac:dyDescent="0.2">
      <c r="E4000" s="332"/>
    </row>
    <row r="4001" spans="5:5" x14ac:dyDescent="0.2">
      <c r="E4001" s="332"/>
    </row>
    <row r="4002" spans="5:5" x14ac:dyDescent="0.2">
      <c r="E4002" s="332"/>
    </row>
    <row r="4003" spans="5:5" x14ac:dyDescent="0.2">
      <c r="E4003" s="332"/>
    </row>
    <row r="4004" spans="5:5" x14ac:dyDescent="0.2">
      <c r="E4004" s="332"/>
    </row>
    <row r="4005" spans="5:5" x14ac:dyDescent="0.2">
      <c r="E4005" s="332"/>
    </row>
    <row r="4006" spans="5:5" x14ac:dyDescent="0.2">
      <c r="E4006" s="332"/>
    </row>
    <row r="4007" spans="5:5" x14ac:dyDescent="0.2">
      <c r="E4007" s="332"/>
    </row>
    <row r="4008" spans="5:5" x14ac:dyDescent="0.2">
      <c r="E4008" s="332"/>
    </row>
    <row r="4009" spans="5:5" x14ac:dyDescent="0.2">
      <c r="E4009" s="332"/>
    </row>
    <row r="4010" spans="5:5" x14ac:dyDescent="0.2">
      <c r="E4010" s="332"/>
    </row>
    <row r="4011" spans="5:5" x14ac:dyDescent="0.2">
      <c r="E4011" s="332"/>
    </row>
    <row r="4012" spans="5:5" x14ac:dyDescent="0.2">
      <c r="E4012" s="332"/>
    </row>
    <row r="4013" spans="5:5" x14ac:dyDescent="0.2">
      <c r="E4013" s="332"/>
    </row>
    <row r="4014" spans="5:5" x14ac:dyDescent="0.2">
      <c r="E4014" s="332"/>
    </row>
    <row r="4015" spans="5:5" x14ac:dyDescent="0.2">
      <c r="E4015" s="332"/>
    </row>
    <row r="4016" spans="5:5" x14ac:dyDescent="0.2">
      <c r="E4016" s="332"/>
    </row>
    <row r="4017" spans="5:5" x14ac:dyDescent="0.2">
      <c r="E4017" s="332"/>
    </row>
    <row r="4018" spans="5:5" x14ac:dyDescent="0.2">
      <c r="E4018" s="332"/>
    </row>
    <row r="4019" spans="5:5" x14ac:dyDescent="0.2">
      <c r="E4019" s="332"/>
    </row>
    <row r="4020" spans="5:5" x14ac:dyDescent="0.2">
      <c r="E4020" s="332"/>
    </row>
    <row r="4021" spans="5:5" x14ac:dyDescent="0.2">
      <c r="E4021" s="332"/>
    </row>
    <row r="4022" spans="5:5" x14ac:dyDescent="0.2">
      <c r="E4022" s="332"/>
    </row>
    <row r="4023" spans="5:5" x14ac:dyDescent="0.2">
      <c r="E4023" s="332"/>
    </row>
    <row r="4024" spans="5:5" x14ac:dyDescent="0.2">
      <c r="E4024" s="332"/>
    </row>
    <row r="4025" spans="5:5" x14ac:dyDescent="0.2">
      <c r="E4025" s="332"/>
    </row>
    <row r="4026" spans="5:5" x14ac:dyDescent="0.2">
      <c r="E4026" s="332"/>
    </row>
    <row r="4027" spans="5:5" x14ac:dyDescent="0.2">
      <c r="E4027" s="332"/>
    </row>
    <row r="4028" spans="5:5" x14ac:dyDescent="0.2">
      <c r="E4028" s="332"/>
    </row>
    <row r="4029" spans="5:5" x14ac:dyDescent="0.2">
      <c r="E4029" s="332"/>
    </row>
    <row r="4030" spans="5:5" x14ac:dyDescent="0.2">
      <c r="E4030" s="332"/>
    </row>
    <row r="4031" spans="5:5" x14ac:dyDescent="0.2">
      <c r="E4031" s="332"/>
    </row>
    <row r="4032" spans="5:5" x14ac:dyDescent="0.2">
      <c r="E4032" s="332"/>
    </row>
    <row r="4033" spans="5:5" x14ac:dyDescent="0.2">
      <c r="E4033" s="332"/>
    </row>
    <row r="4034" spans="5:5" x14ac:dyDescent="0.2">
      <c r="E4034" s="332"/>
    </row>
    <row r="4035" spans="5:5" x14ac:dyDescent="0.2">
      <c r="E4035" s="332"/>
    </row>
    <row r="4036" spans="5:5" x14ac:dyDescent="0.2">
      <c r="E4036" s="332"/>
    </row>
    <row r="4037" spans="5:5" x14ac:dyDescent="0.2">
      <c r="E4037" s="332"/>
    </row>
    <row r="4038" spans="5:5" x14ac:dyDescent="0.2">
      <c r="E4038" s="332"/>
    </row>
    <row r="4039" spans="5:5" x14ac:dyDescent="0.2">
      <c r="E4039" s="332"/>
    </row>
    <row r="4040" spans="5:5" x14ac:dyDescent="0.2">
      <c r="E4040" s="332"/>
    </row>
    <row r="4041" spans="5:5" x14ac:dyDescent="0.2">
      <c r="E4041" s="332"/>
    </row>
    <row r="4042" spans="5:5" x14ac:dyDescent="0.2">
      <c r="E4042" s="332"/>
    </row>
    <row r="4043" spans="5:5" x14ac:dyDescent="0.2">
      <c r="E4043" s="332"/>
    </row>
    <row r="4044" spans="5:5" x14ac:dyDescent="0.2">
      <c r="E4044" s="332"/>
    </row>
    <row r="4045" spans="5:5" x14ac:dyDescent="0.2">
      <c r="E4045" s="332"/>
    </row>
    <row r="4046" spans="5:5" x14ac:dyDescent="0.2">
      <c r="E4046" s="332"/>
    </row>
    <row r="4047" spans="5:5" x14ac:dyDescent="0.2">
      <c r="E4047" s="332"/>
    </row>
    <row r="4048" spans="5:5" x14ac:dyDescent="0.2">
      <c r="E4048" s="332"/>
    </row>
    <row r="4049" spans="5:5" x14ac:dyDescent="0.2">
      <c r="E4049" s="332"/>
    </row>
    <row r="4050" spans="5:5" x14ac:dyDescent="0.2">
      <c r="E4050" s="332"/>
    </row>
    <row r="4051" spans="5:5" x14ac:dyDescent="0.2">
      <c r="E4051" s="332"/>
    </row>
    <row r="4052" spans="5:5" x14ac:dyDescent="0.2">
      <c r="E4052" s="332"/>
    </row>
    <row r="4053" spans="5:5" x14ac:dyDescent="0.2">
      <c r="E4053" s="332"/>
    </row>
    <row r="4054" spans="5:5" x14ac:dyDescent="0.2">
      <c r="E4054" s="332"/>
    </row>
    <row r="4055" spans="5:5" x14ac:dyDescent="0.2">
      <c r="E4055" s="332"/>
    </row>
    <row r="4056" spans="5:5" x14ac:dyDescent="0.2">
      <c r="E4056" s="332"/>
    </row>
    <row r="4057" spans="5:5" x14ac:dyDescent="0.2">
      <c r="E4057" s="332"/>
    </row>
    <row r="4058" spans="5:5" x14ac:dyDescent="0.2">
      <c r="E4058" s="332"/>
    </row>
    <row r="4059" spans="5:5" x14ac:dyDescent="0.2">
      <c r="E4059" s="332"/>
    </row>
    <row r="4060" spans="5:5" x14ac:dyDescent="0.2">
      <c r="E4060" s="332"/>
    </row>
    <row r="4061" spans="5:5" x14ac:dyDescent="0.2">
      <c r="E4061" s="332"/>
    </row>
    <row r="4062" spans="5:5" x14ac:dyDescent="0.2">
      <c r="E4062" s="332"/>
    </row>
    <row r="4063" spans="5:5" x14ac:dyDescent="0.2">
      <c r="E4063" s="332"/>
    </row>
    <row r="4064" spans="5:5" x14ac:dyDescent="0.2">
      <c r="E4064" s="332"/>
    </row>
    <row r="4065" spans="5:5" x14ac:dyDescent="0.2">
      <c r="E4065" s="332"/>
    </row>
    <row r="4066" spans="5:5" x14ac:dyDescent="0.2">
      <c r="E4066" s="332"/>
    </row>
    <row r="4067" spans="5:5" x14ac:dyDescent="0.2">
      <c r="E4067" s="332"/>
    </row>
    <row r="4068" spans="5:5" x14ac:dyDescent="0.2">
      <c r="E4068" s="332"/>
    </row>
    <row r="4069" spans="5:5" x14ac:dyDescent="0.2">
      <c r="E4069" s="332"/>
    </row>
    <row r="4070" spans="5:5" x14ac:dyDescent="0.2">
      <c r="E4070" s="332"/>
    </row>
    <row r="4071" spans="5:5" x14ac:dyDescent="0.2">
      <c r="E4071" s="332"/>
    </row>
    <row r="4072" spans="5:5" x14ac:dyDescent="0.2">
      <c r="E4072" s="332"/>
    </row>
    <row r="4073" spans="5:5" x14ac:dyDescent="0.2">
      <c r="E4073" s="332"/>
    </row>
    <row r="4074" spans="5:5" x14ac:dyDescent="0.2">
      <c r="E4074" s="332"/>
    </row>
    <row r="4075" spans="5:5" x14ac:dyDescent="0.2">
      <c r="E4075" s="332"/>
    </row>
    <row r="4076" spans="5:5" x14ac:dyDescent="0.2">
      <c r="E4076" s="332"/>
    </row>
    <row r="4077" spans="5:5" x14ac:dyDescent="0.2">
      <c r="E4077" s="332"/>
    </row>
    <row r="4078" spans="5:5" x14ac:dyDescent="0.2">
      <c r="E4078" s="332"/>
    </row>
    <row r="4079" spans="5:5" x14ac:dyDescent="0.2">
      <c r="E4079" s="332"/>
    </row>
    <row r="4080" spans="5:5" x14ac:dyDescent="0.2">
      <c r="E4080" s="332"/>
    </row>
    <row r="4081" spans="5:5" x14ac:dyDescent="0.2">
      <c r="E4081" s="332"/>
    </row>
    <row r="4082" spans="5:5" x14ac:dyDescent="0.2">
      <c r="E4082" s="332"/>
    </row>
    <row r="4083" spans="5:5" x14ac:dyDescent="0.2">
      <c r="E4083" s="332"/>
    </row>
    <row r="4084" spans="5:5" x14ac:dyDescent="0.2">
      <c r="E4084" s="332"/>
    </row>
    <row r="4085" spans="5:5" x14ac:dyDescent="0.2">
      <c r="E4085" s="332"/>
    </row>
    <row r="4086" spans="5:5" x14ac:dyDescent="0.2">
      <c r="E4086" s="332"/>
    </row>
    <row r="4087" spans="5:5" x14ac:dyDescent="0.2">
      <c r="E4087" s="332"/>
    </row>
    <row r="4088" spans="5:5" x14ac:dyDescent="0.2">
      <c r="E4088" s="332"/>
    </row>
    <row r="4089" spans="5:5" x14ac:dyDescent="0.2">
      <c r="E4089" s="332"/>
    </row>
    <row r="4090" spans="5:5" x14ac:dyDescent="0.2">
      <c r="E4090" s="332"/>
    </row>
    <row r="4091" spans="5:5" x14ac:dyDescent="0.2">
      <c r="E4091" s="332"/>
    </row>
    <row r="4092" spans="5:5" x14ac:dyDescent="0.2">
      <c r="E4092" s="332"/>
    </row>
    <row r="4093" spans="5:5" x14ac:dyDescent="0.2">
      <c r="E4093" s="332"/>
    </row>
    <row r="4094" spans="5:5" x14ac:dyDescent="0.2">
      <c r="E4094" s="332"/>
    </row>
    <row r="4095" spans="5:5" x14ac:dyDescent="0.2">
      <c r="E4095" s="332"/>
    </row>
    <row r="4096" spans="5:5" x14ac:dyDescent="0.2">
      <c r="E4096" s="332"/>
    </row>
    <row r="4097" spans="5:5" x14ac:dyDescent="0.2">
      <c r="E4097" s="332"/>
    </row>
    <row r="4098" spans="5:5" x14ac:dyDescent="0.2">
      <c r="E4098" s="332"/>
    </row>
    <row r="4099" spans="5:5" x14ac:dyDescent="0.2">
      <c r="E4099" s="332"/>
    </row>
    <row r="4100" spans="5:5" x14ac:dyDescent="0.2">
      <c r="E4100" s="332"/>
    </row>
    <row r="4101" spans="5:5" x14ac:dyDescent="0.2">
      <c r="E4101" s="332"/>
    </row>
    <row r="4102" spans="5:5" x14ac:dyDescent="0.2">
      <c r="E4102" s="332"/>
    </row>
    <row r="4103" spans="5:5" x14ac:dyDescent="0.2">
      <c r="E4103" s="332"/>
    </row>
    <row r="4104" spans="5:5" x14ac:dyDescent="0.2">
      <c r="E4104" s="332"/>
    </row>
    <row r="4105" spans="5:5" x14ac:dyDescent="0.2">
      <c r="E4105" s="332"/>
    </row>
    <row r="4106" spans="5:5" x14ac:dyDescent="0.2">
      <c r="E4106" s="332"/>
    </row>
    <row r="4107" spans="5:5" x14ac:dyDescent="0.2">
      <c r="E4107" s="332"/>
    </row>
    <row r="4108" spans="5:5" x14ac:dyDescent="0.2">
      <c r="E4108" s="332"/>
    </row>
    <row r="4109" spans="5:5" x14ac:dyDescent="0.2">
      <c r="E4109" s="332"/>
    </row>
    <row r="4110" spans="5:5" x14ac:dyDescent="0.2">
      <c r="E4110" s="332"/>
    </row>
    <row r="4111" spans="5:5" x14ac:dyDescent="0.2">
      <c r="E4111" s="332"/>
    </row>
    <row r="4112" spans="5:5" x14ac:dyDescent="0.2">
      <c r="E4112" s="332"/>
    </row>
    <row r="4113" spans="5:5" x14ac:dyDescent="0.2">
      <c r="E4113" s="332"/>
    </row>
    <row r="4114" spans="5:5" x14ac:dyDescent="0.2">
      <c r="E4114" s="332"/>
    </row>
    <row r="4115" spans="5:5" x14ac:dyDescent="0.2">
      <c r="E4115" s="332"/>
    </row>
    <row r="4116" spans="5:5" x14ac:dyDescent="0.2">
      <c r="E4116" s="332"/>
    </row>
    <row r="4117" spans="5:5" x14ac:dyDescent="0.2">
      <c r="E4117" s="332"/>
    </row>
    <row r="4118" spans="5:5" x14ac:dyDescent="0.2">
      <c r="E4118" s="332"/>
    </row>
    <row r="4119" spans="5:5" x14ac:dyDescent="0.2">
      <c r="E4119" s="332"/>
    </row>
    <row r="4120" spans="5:5" x14ac:dyDescent="0.2">
      <c r="E4120" s="332"/>
    </row>
    <row r="4121" spans="5:5" x14ac:dyDescent="0.2">
      <c r="E4121" s="332"/>
    </row>
    <row r="4122" spans="5:5" x14ac:dyDescent="0.2">
      <c r="E4122" s="332"/>
    </row>
    <row r="4123" spans="5:5" x14ac:dyDescent="0.2">
      <c r="E4123" s="332"/>
    </row>
    <row r="4124" spans="5:5" x14ac:dyDescent="0.2">
      <c r="E4124" s="332"/>
    </row>
    <row r="4125" spans="5:5" x14ac:dyDescent="0.2">
      <c r="E4125" s="332"/>
    </row>
    <row r="4126" spans="5:5" x14ac:dyDescent="0.2">
      <c r="E4126" s="332"/>
    </row>
    <row r="4127" spans="5:5" x14ac:dyDescent="0.2">
      <c r="E4127" s="332"/>
    </row>
    <row r="4128" spans="5:5" x14ac:dyDescent="0.2">
      <c r="E4128" s="332"/>
    </row>
    <row r="4129" spans="5:5" x14ac:dyDescent="0.2">
      <c r="E4129" s="332"/>
    </row>
    <row r="4130" spans="5:5" x14ac:dyDescent="0.2">
      <c r="E4130" s="332"/>
    </row>
    <row r="4131" spans="5:5" x14ac:dyDescent="0.2">
      <c r="E4131" s="332"/>
    </row>
    <row r="4132" spans="5:5" x14ac:dyDescent="0.2">
      <c r="E4132" s="332"/>
    </row>
    <row r="4133" spans="5:5" x14ac:dyDescent="0.2">
      <c r="E4133" s="332"/>
    </row>
    <row r="4134" spans="5:5" x14ac:dyDescent="0.2">
      <c r="E4134" s="332"/>
    </row>
    <row r="4135" spans="5:5" x14ac:dyDescent="0.2">
      <c r="E4135" s="332"/>
    </row>
    <row r="4136" spans="5:5" x14ac:dyDescent="0.2">
      <c r="E4136" s="332"/>
    </row>
    <row r="4137" spans="5:5" x14ac:dyDescent="0.2">
      <c r="E4137" s="332"/>
    </row>
    <row r="4138" spans="5:5" x14ac:dyDescent="0.2">
      <c r="E4138" s="332"/>
    </row>
    <row r="4139" spans="5:5" x14ac:dyDescent="0.2">
      <c r="E4139" s="332"/>
    </row>
    <row r="4140" spans="5:5" x14ac:dyDescent="0.2">
      <c r="E4140" s="332"/>
    </row>
    <row r="4141" spans="5:5" x14ac:dyDescent="0.2">
      <c r="E4141" s="332"/>
    </row>
    <row r="4142" spans="5:5" x14ac:dyDescent="0.2">
      <c r="E4142" s="332"/>
    </row>
    <row r="4143" spans="5:5" x14ac:dyDescent="0.2">
      <c r="E4143" s="332"/>
    </row>
    <row r="4144" spans="5:5" x14ac:dyDescent="0.2">
      <c r="E4144" s="332"/>
    </row>
    <row r="4145" spans="5:5" x14ac:dyDescent="0.2">
      <c r="E4145" s="332"/>
    </row>
    <row r="4146" spans="5:5" x14ac:dyDescent="0.2">
      <c r="E4146" s="332"/>
    </row>
    <row r="4147" spans="5:5" x14ac:dyDescent="0.2">
      <c r="E4147" s="332"/>
    </row>
    <row r="4148" spans="5:5" x14ac:dyDescent="0.2">
      <c r="E4148" s="332"/>
    </row>
    <row r="4149" spans="5:5" x14ac:dyDescent="0.2">
      <c r="E4149" s="332"/>
    </row>
    <row r="4150" spans="5:5" x14ac:dyDescent="0.2">
      <c r="E4150" s="332"/>
    </row>
    <row r="4151" spans="5:5" x14ac:dyDescent="0.2">
      <c r="E4151" s="332"/>
    </row>
    <row r="4152" spans="5:5" x14ac:dyDescent="0.2">
      <c r="E4152" s="332"/>
    </row>
    <row r="4153" spans="5:5" x14ac:dyDescent="0.2">
      <c r="E4153" s="332"/>
    </row>
    <row r="4154" spans="5:5" x14ac:dyDescent="0.2">
      <c r="E4154" s="332"/>
    </row>
    <row r="4155" spans="5:5" x14ac:dyDescent="0.2">
      <c r="E4155" s="332"/>
    </row>
    <row r="4156" spans="5:5" x14ac:dyDescent="0.2">
      <c r="E4156" s="332"/>
    </row>
    <row r="4157" spans="5:5" x14ac:dyDescent="0.2">
      <c r="E4157" s="332"/>
    </row>
    <row r="4158" spans="5:5" x14ac:dyDescent="0.2">
      <c r="E4158" s="332"/>
    </row>
    <row r="4159" spans="5:5" x14ac:dyDescent="0.2">
      <c r="E4159" s="332"/>
    </row>
    <row r="4160" spans="5:5" x14ac:dyDescent="0.2">
      <c r="E4160" s="332"/>
    </row>
    <row r="4161" spans="5:5" x14ac:dyDescent="0.2">
      <c r="E4161" s="332"/>
    </row>
    <row r="4162" spans="5:5" x14ac:dyDescent="0.2">
      <c r="E4162" s="332"/>
    </row>
    <row r="4163" spans="5:5" x14ac:dyDescent="0.2">
      <c r="E4163" s="332"/>
    </row>
    <row r="4164" spans="5:5" x14ac:dyDescent="0.2">
      <c r="E4164" s="332"/>
    </row>
    <row r="4165" spans="5:5" x14ac:dyDescent="0.2">
      <c r="E4165" s="332"/>
    </row>
    <row r="4166" spans="5:5" x14ac:dyDescent="0.2">
      <c r="E4166" s="332"/>
    </row>
    <row r="4167" spans="5:5" x14ac:dyDescent="0.2">
      <c r="E4167" s="332"/>
    </row>
    <row r="4168" spans="5:5" x14ac:dyDescent="0.2">
      <c r="E4168" s="332"/>
    </row>
    <row r="4169" spans="5:5" x14ac:dyDescent="0.2">
      <c r="E4169" s="332"/>
    </row>
    <row r="4170" spans="5:5" x14ac:dyDescent="0.2">
      <c r="E4170" s="332"/>
    </row>
    <row r="4171" spans="5:5" x14ac:dyDescent="0.2">
      <c r="E4171" s="332"/>
    </row>
    <row r="4172" spans="5:5" x14ac:dyDescent="0.2">
      <c r="E4172" s="332"/>
    </row>
    <row r="4173" spans="5:5" x14ac:dyDescent="0.2">
      <c r="E4173" s="332"/>
    </row>
    <row r="4174" spans="5:5" x14ac:dyDescent="0.2">
      <c r="E4174" s="332"/>
    </row>
    <row r="4175" spans="5:5" x14ac:dyDescent="0.2">
      <c r="E4175" s="332"/>
    </row>
    <row r="4176" spans="5:5" x14ac:dyDescent="0.2">
      <c r="E4176" s="332"/>
    </row>
    <row r="4177" spans="5:5" x14ac:dyDescent="0.2">
      <c r="E4177" s="332"/>
    </row>
    <row r="4178" spans="5:5" x14ac:dyDescent="0.2">
      <c r="E4178" s="332"/>
    </row>
    <row r="4179" spans="5:5" x14ac:dyDescent="0.2">
      <c r="E4179" s="332"/>
    </row>
    <row r="4180" spans="5:5" x14ac:dyDescent="0.2">
      <c r="E4180" s="332"/>
    </row>
    <row r="4181" spans="5:5" x14ac:dyDescent="0.2">
      <c r="E4181" s="332"/>
    </row>
    <row r="4182" spans="5:5" x14ac:dyDescent="0.2">
      <c r="E4182" s="332"/>
    </row>
    <row r="4183" spans="5:5" x14ac:dyDescent="0.2">
      <c r="E4183" s="332"/>
    </row>
    <row r="4184" spans="5:5" x14ac:dyDescent="0.2">
      <c r="E4184" s="332"/>
    </row>
    <row r="4185" spans="5:5" x14ac:dyDescent="0.2">
      <c r="E4185" s="332"/>
    </row>
    <row r="4186" spans="5:5" x14ac:dyDescent="0.2">
      <c r="E4186" s="332"/>
    </row>
    <row r="4187" spans="5:5" x14ac:dyDescent="0.2">
      <c r="E4187" s="332"/>
    </row>
    <row r="4188" spans="5:5" x14ac:dyDescent="0.2">
      <c r="E4188" s="332"/>
    </row>
    <row r="4189" spans="5:5" x14ac:dyDescent="0.2">
      <c r="E4189" s="332"/>
    </row>
    <row r="4190" spans="5:5" x14ac:dyDescent="0.2">
      <c r="E4190" s="332"/>
    </row>
    <row r="4191" spans="5:5" x14ac:dyDescent="0.2">
      <c r="E4191" s="332"/>
    </row>
    <row r="4192" spans="5:5" x14ac:dyDescent="0.2">
      <c r="E4192" s="332"/>
    </row>
    <row r="4193" spans="5:5" x14ac:dyDescent="0.2">
      <c r="E4193" s="332"/>
    </row>
    <row r="4194" spans="5:5" x14ac:dyDescent="0.2">
      <c r="E4194" s="332"/>
    </row>
    <row r="4195" spans="5:5" x14ac:dyDescent="0.2">
      <c r="E4195" s="332"/>
    </row>
    <row r="4196" spans="5:5" x14ac:dyDescent="0.2">
      <c r="E4196" s="332"/>
    </row>
    <row r="4197" spans="5:5" x14ac:dyDescent="0.2">
      <c r="E4197" s="332"/>
    </row>
    <row r="4198" spans="5:5" x14ac:dyDescent="0.2">
      <c r="E4198" s="332"/>
    </row>
    <row r="4199" spans="5:5" x14ac:dyDescent="0.2">
      <c r="E4199" s="332"/>
    </row>
    <row r="4200" spans="5:5" x14ac:dyDescent="0.2">
      <c r="E4200" s="332"/>
    </row>
    <row r="4201" spans="5:5" x14ac:dyDescent="0.2">
      <c r="E4201" s="332"/>
    </row>
    <row r="4202" spans="5:5" x14ac:dyDescent="0.2">
      <c r="E4202" s="332"/>
    </row>
    <row r="4203" spans="5:5" x14ac:dyDescent="0.2">
      <c r="E4203" s="332"/>
    </row>
    <row r="4204" spans="5:5" x14ac:dyDescent="0.2">
      <c r="E4204" s="332"/>
    </row>
    <row r="4205" spans="5:5" x14ac:dyDescent="0.2">
      <c r="E4205" s="332"/>
    </row>
    <row r="4206" spans="5:5" x14ac:dyDescent="0.2">
      <c r="E4206" s="332"/>
    </row>
    <row r="4207" spans="5:5" x14ac:dyDescent="0.2">
      <c r="E4207" s="332"/>
    </row>
    <row r="4208" spans="5:5" x14ac:dyDescent="0.2">
      <c r="E4208" s="332"/>
    </row>
    <row r="4209" spans="5:5" x14ac:dyDescent="0.2">
      <c r="E4209" s="332"/>
    </row>
    <row r="4210" spans="5:5" x14ac:dyDescent="0.2">
      <c r="E4210" s="332"/>
    </row>
    <row r="4211" spans="5:5" x14ac:dyDescent="0.2">
      <c r="E4211" s="332"/>
    </row>
    <row r="4212" spans="5:5" x14ac:dyDescent="0.2">
      <c r="E4212" s="332"/>
    </row>
    <row r="4213" spans="5:5" x14ac:dyDescent="0.2">
      <c r="E4213" s="332"/>
    </row>
    <row r="4214" spans="5:5" x14ac:dyDescent="0.2">
      <c r="E4214" s="332"/>
    </row>
    <row r="4215" spans="5:5" x14ac:dyDescent="0.2">
      <c r="E4215" s="332"/>
    </row>
    <row r="4216" spans="5:5" x14ac:dyDescent="0.2">
      <c r="E4216" s="332"/>
    </row>
    <row r="4217" spans="5:5" x14ac:dyDescent="0.2">
      <c r="E4217" s="332"/>
    </row>
    <row r="4218" spans="5:5" x14ac:dyDescent="0.2">
      <c r="E4218" s="332"/>
    </row>
    <row r="4219" spans="5:5" x14ac:dyDescent="0.2">
      <c r="E4219" s="332"/>
    </row>
    <row r="4220" spans="5:5" x14ac:dyDescent="0.2">
      <c r="E4220" s="332"/>
    </row>
    <row r="4221" spans="5:5" x14ac:dyDescent="0.2">
      <c r="E4221" s="332"/>
    </row>
    <row r="4222" spans="5:5" x14ac:dyDescent="0.2">
      <c r="E4222" s="332"/>
    </row>
    <row r="4223" spans="5:5" x14ac:dyDescent="0.2">
      <c r="E4223" s="332"/>
    </row>
    <row r="4224" spans="5:5" x14ac:dyDescent="0.2">
      <c r="E4224" s="332"/>
    </row>
    <row r="4225" spans="5:5" x14ac:dyDescent="0.2">
      <c r="E4225" s="332"/>
    </row>
    <row r="4226" spans="5:5" x14ac:dyDescent="0.2">
      <c r="E4226" s="332"/>
    </row>
    <row r="4227" spans="5:5" x14ac:dyDescent="0.2">
      <c r="E4227" s="332"/>
    </row>
    <row r="4228" spans="5:5" x14ac:dyDescent="0.2">
      <c r="E4228" s="332"/>
    </row>
    <row r="4229" spans="5:5" x14ac:dyDescent="0.2">
      <c r="E4229" s="332"/>
    </row>
    <row r="4230" spans="5:5" x14ac:dyDescent="0.2">
      <c r="E4230" s="332"/>
    </row>
    <row r="4231" spans="5:5" x14ac:dyDescent="0.2">
      <c r="E4231" s="332"/>
    </row>
    <row r="4232" spans="5:5" x14ac:dyDescent="0.2">
      <c r="E4232" s="332"/>
    </row>
    <row r="4233" spans="5:5" x14ac:dyDescent="0.2">
      <c r="E4233" s="332"/>
    </row>
    <row r="4234" spans="5:5" x14ac:dyDescent="0.2">
      <c r="E4234" s="332"/>
    </row>
    <row r="4235" spans="5:5" x14ac:dyDescent="0.2">
      <c r="E4235" s="332"/>
    </row>
    <row r="4236" spans="5:5" x14ac:dyDescent="0.2">
      <c r="E4236" s="332"/>
    </row>
    <row r="4237" spans="5:5" x14ac:dyDescent="0.2">
      <c r="E4237" s="332"/>
    </row>
    <row r="4238" spans="5:5" x14ac:dyDescent="0.2">
      <c r="E4238" s="332"/>
    </row>
    <row r="4239" spans="5:5" x14ac:dyDescent="0.2">
      <c r="E4239" s="332"/>
    </row>
    <row r="4240" spans="5:5" x14ac:dyDescent="0.2">
      <c r="E4240" s="332"/>
    </row>
    <row r="4241" spans="5:5" x14ac:dyDescent="0.2">
      <c r="E4241" s="332"/>
    </row>
    <row r="4242" spans="5:5" x14ac:dyDescent="0.2">
      <c r="E4242" s="332"/>
    </row>
    <row r="4243" spans="5:5" x14ac:dyDescent="0.2">
      <c r="E4243" s="332"/>
    </row>
    <row r="4244" spans="5:5" x14ac:dyDescent="0.2">
      <c r="E4244" s="332"/>
    </row>
    <row r="4245" spans="5:5" x14ac:dyDescent="0.2">
      <c r="E4245" s="332"/>
    </row>
    <row r="4246" spans="5:5" x14ac:dyDescent="0.2">
      <c r="E4246" s="332"/>
    </row>
    <row r="4247" spans="5:5" x14ac:dyDescent="0.2">
      <c r="E4247" s="332"/>
    </row>
    <row r="4248" spans="5:5" x14ac:dyDescent="0.2">
      <c r="E4248" s="332"/>
    </row>
    <row r="4249" spans="5:5" x14ac:dyDescent="0.2">
      <c r="E4249" s="332"/>
    </row>
    <row r="4250" spans="5:5" x14ac:dyDescent="0.2">
      <c r="E4250" s="332"/>
    </row>
    <row r="4251" spans="5:5" x14ac:dyDescent="0.2">
      <c r="E4251" s="332"/>
    </row>
    <row r="4252" spans="5:5" x14ac:dyDescent="0.2">
      <c r="E4252" s="332"/>
    </row>
    <row r="4253" spans="5:5" x14ac:dyDescent="0.2">
      <c r="E4253" s="332"/>
    </row>
    <row r="4254" spans="5:5" x14ac:dyDescent="0.2">
      <c r="E4254" s="332"/>
    </row>
    <row r="4255" spans="5:5" x14ac:dyDescent="0.2">
      <c r="E4255" s="332"/>
    </row>
    <row r="4256" spans="5:5" x14ac:dyDescent="0.2">
      <c r="E4256" s="332"/>
    </row>
    <row r="4257" spans="5:5" x14ac:dyDescent="0.2">
      <c r="E4257" s="332"/>
    </row>
    <row r="4258" spans="5:5" x14ac:dyDescent="0.2">
      <c r="E4258" s="332"/>
    </row>
    <row r="4259" spans="5:5" x14ac:dyDescent="0.2">
      <c r="E4259" s="332"/>
    </row>
    <row r="4260" spans="5:5" x14ac:dyDescent="0.2">
      <c r="E4260" s="332"/>
    </row>
    <row r="4261" spans="5:5" x14ac:dyDescent="0.2">
      <c r="E4261" s="332"/>
    </row>
    <row r="4262" spans="5:5" x14ac:dyDescent="0.2">
      <c r="E4262" s="332"/>
    </row>
    <row r="4263" spans="5:5" x14ac:dyDescent="0.2">
      <c r="E4263" s="332"/>
    </row>
    <row r="4264" spans="5:5" x14ac:dyDescent="0.2">
      <c r="E4264" s="332"/>
    </row>
    <row r="4265" spans="5:5" x14ac:dyDescent="0.2">
      <c r="E4265" s="332"/>
    </row>
    <row r="4266" spans="5:5" x14ac:dyDescent="0.2">
      <c r="E4266" s="332"/>
    </row>
    <row r="4267" spans="5:5" x14ac:dyDescent="0.2">
      <c r="E4267" s="332"/>
    </row>
    <row r="4268" spans="5:5" x14ac:dyDescent="0.2">
      <c r="E4268" s="332"/>
    </row>
    <row r="4269" spans="5:5" x14ac:dyDescent="0.2">
      <c r="E4269" s="332"/>
    </row>
    <row r="4270" spans="5:5" x14ac:dyDescent="0.2">
      <c r="E4270" s="332"/>
    </row>
    <row r="4271" spans="5:5" x14ac:dyDescent="0.2">
      <c r="E4271" s="332"/>
    </row>
    <row r="4272" spans="5:5" x14ac:dyDescent="0.2">
      <c r="E4272" s="332"/>
    </row>
    <row r="4273" spans="5:5" x14ac:dyDescent="0.2">
      <c r="E4273" s="332"/>
    </row>
    <row r="4274" spans="5:5" x14ac:dyDescent="0.2">
      <c r="E4274" s="332"/>
    </row>
    <row r="4275" spans="5:5" x14ac:dyDescent="0.2">
      <c r="E4275" s="332"/>
    </row>
    <row r="4276" spans="5:5" x14ac:dyDescent="0.2">
      <c r="E4276" s="332"/>
    </row>
    <row r="4277" spans="5:5" x14ac:dyDescent="0.2">
      <c r="E4277" s="332"/>
    </row>
    <row r="4278" spans="5:5" x14ac:dyDescent="0.2">
      <c r="E4278" s="332"/>
    </row>
    <row r="4279" spans="5:5" x14ac:dyDescent="0.2">
      <c r="E4279" s="332"/>
    </row>
    <row r="4280" spans="5:5" x14ac:dyDescent="0.2">
      <c r="E4280" s="332"/>
    </row>
    <row r="4281" spans="5:5" x14ac:dyDescent="0.2">
      <c r="E4281" s="332"/>
    </row>
    <row r="4282" spans="5:5" x14ac:dyDescent="0.2">
      <c r="E4282" s="332"/>
    </row>
    <row r="4283" spans="5:5" x14ac:dyDescent="0.2">
      <c r="E4283" s="332"/>
    </row>
    <row r="4284" spans="5:5" x14ac:dyDescent="0.2">
      <c r="E4284" s="332"/>
    </row>
    <row r="4285" spans="5:5" x14ac:dyDescent="0.2">
      <c r="E4285" s="332"/>
    </row>
    <row r="4286" spans="5:5" x14ac:dyDescent="0.2">
      <c r="E4286" s="332"/>
    </row>
    <row r="4287" spans="5:5" x14ac:dyDescent="0.2">
      <c r="E4287" s="332"/>
    </row>
    <row r="4288" spans="5:5" x14ac:dyDescent="0.2">
      <c r="E4288" s="332"/>
    </row>
    <row r="4289" spans="5:5" x14ac:dyDescent="0.2">
      <c r="E4289" s="332"/>
    </row>
    <row r="4290" spans="5:5" x14ac:dyDescent="0.2">
      <c r="E4290" s="332"/>
    </row>
    <row r="4291" spans="5:5" x14ac:dyDescent="0.2">
      <c r="E4291" s="332"/>
    </row>
    <row r="4292" spans="5:5" x14ac:dyDescent="0.2">
      <c r="E4292" s="332"/>
    </row>
    <row r="4293" spans="5:5" x14ac:dyDescent="0.2">
      <c r="E4293" s="332"/>
    </row>
    <row r="4294" spans="5:5" x14ac:dyDescent="0.2">
      <c r="E4294" s="332"/>
    </row>
    <row r="4295" spans="5:5" x14ac:dyDescent="0.2">
      <c r="E4295" s="332"/>
    </row>
    <row r="4296" spans="5:5" x14ac:dyDescent="0.2">
      <c r="E4296" s="332"/>
    </row>
    <row r="4297" spans="5:5" x14ac:dyDescent="0.2">
      <c r="E4297" s="332"/>
    </row>
    <row r="4298" spans="5:5" x14ac:dyDescent="0.2">
      <c r="E4298" s="332"/>
    </row>
    <row r="4299" spans="5:5" x14ac:dyDescent="0.2">
      <c r="E4299" s="332"/>
    </row>
    <row r="4300" spans="5:5" x14ac:dyDescent="0.2">
      <c r="E4300" s="332"/>
    </row>
    <row r="4301" spans="5:5" x14ac:dyDescent="0.2">
      <c r="E4301" s="332"/>
    </row>
    <row r="4302" spans="5:5" x14ac:dyDescent="0.2">
      <c r="E4302" s="332"/>
    </row>
    <row r="4303" spans="5:5" x14ac:dyDescent="0.2">
      <c r="E4303" s="332"/>
    </row>
    <row r="4304" spans="5:5" x14ac:dyDescent="0.2">
      <c r="E4304" s="332"/>
    </row>
    <row r="4305" spans="5:5" x14ac:dyDescent="0.2">
      <c r="E4305" s="332"/>
    </row>
    <row r="4306" spans="5:5" x14ac:dyDescent="0.2">
      <c r="E4306" s="332"/>
    </row>
    <row r="4307" spans="5:5" x14ac:dyDescent="0.2">
      <c r="E4307" s="332"/>
    </row>
    <row r="4308" spans="5:5" x14ac:dyDescent="0.2">
      <c r="E4308" s="332"/>
    </row>
    <row r="4309" spans="5:5" x14ac:dyDescent="0.2">
      <c r="E4309" s="332"/>
    </row>
    <row r="4310" spans="5:5" x14ac:dyDescent="0.2">
      <c r="E4310" s="332"/>
    </row>
    <row r="4311" spans="5:5" x14ac:dyDescent="0.2">
      <c r="E4311" s="332"/>
    </row>
    <row r="4312" spans="5:5" x14ac:dyDescent="0.2">
      <c r="E4312" s="332"/>
    </row>
    <row r="4313" spans="5:5" x14ac:dyDescent="0.2">
      <c r="E4313" s="332"/>
    </row>
    <row r="4314" spans="5:5" x14ac:dyDescent="0.2">
      <c r="E4314" s="332"/>
    </row>
    <row r="4315" spans="5:5" x14ac:dyDescent="0.2">
      <c r="E4315" s="332"/>
    </row>
    <row r="4316" spans="5:5" x14ac:dyDescent="0.2">
      <c r="E4316" s="332"/>
    </row>
    <row r="4317" spans="5:5" x14ac:dyDescent="0.2">
      <c r="E4317" s="332"/>
    </row>
    <row r="4318" spans="5:5" x14ac:dyDescent="0.2">
      <c r="E4318" s="332"/>
    </row>
    <row r="4319" spans="5:5" x14ac:dyDescent="0.2">
      <c r="E4319" s="332"/>
    </row>
    <row r="4320" spans="5:5" x14ac:dyDescent="0.2">
      <c r="E4320" s="332"/>
    </row>
    <row r="4321" spans="5:5" x14ac:dyDescent="0.2">
      <c r="E4321" s="332"/>
    </row>
    <row r="4322" spans="5:5" x14ac:dyDescent="0.2">
      <c r="E4322" s="332"/>
    </row>
    <row r="4323" spans="5:5" x14ac:dyDescent="0.2">
      <c r="E4323" s="332"/>
    </row>
    <row r="4324" spans="5:5" x14ac:dyDescent="0.2">
      <c r="E4324" s="332"/>
    </row>
    <row r="4325" spans="5:5" x14ac:dyDescent="0.2">
      <c r="E4325" s="332"/>
    </row>
    <row r="4326" spans="5:5" x14ac:dyDescent="0.2">
      <c r="E4326" s="332"/>
    </row>
    <row r="4327" spans="5:5" x14ac:dyDescent="0.2">
      <c r="E4327" s="332"/>
    </row>
    <row r="4328" spans="5:5" x14ac:dyDescent="0.2">
      <c r="E4328" s="332"/>
    </row>
    <row r="4329" spans="5:5" x14ac:dyDescent="0.2">
      <c r="E4329" s="332"/>
    </row>
    <row r="4330" spans="5:5" x14ac:dyDescent="0.2">
      <c r="E4330" s="332"/>
    </row>
    <row r="4331" spans="5:5" x14ac:dyDescent="0.2">
      <c r="E4331" s="332"/>
    </row>
    <row r="4332" spans="5:5" x14ac:dyDescent="0.2">
      <c r="E4332" s="332"/>
    </row>
    <row r="4333" spans="5:5" x14ac:dyDescent="0.2">
      <c r="E4333" s="332"/>
    </row>
    <row r="4334" spans="5:5" x14ac:dyDescent="0.2">
      <c r="E4334" s="332"/>
    </row>
    <row r="4335" spans="5:5" x14ac:dyDescent="0.2">
      <c r="E4335" s="332"/>
    </row>
    <row r="4336" spans="5:5" x14ac:dyDescent="0.2">
      <c r="E4336" s="332"/>
    </row>
    <row r="4337" spans="5:5" x14ac:dyDescent="0.2">
      <c r="E4337" s="332"/>
    </row>
    <row r="4338" spans="5:5" x14ac:dyDescent="0.2">
      <c r="E4338" s="332"/>
    </row>
    <row r="4339" spans="5:5" x14ac:dyDescent="0.2">
      <c r="E4339" s="332"/>
    </row>
    <row r="4340" spans="5:5" x14ac:dyDescent="0.2">
      <c r="E4340" s="332"/>
    </row>
    <row r="4341" spans="5:5" x14ac:dyDescent="0.2">
      <c r="E4341" s="332"/>
    </row>
    <row r="4342" spans="5:5" x14ac:dyDescent="0.2">
      <c r="E4342" s="332"/>
    </row>
    <row r="4343" spans="5:5" x14ac:dyDescent="0.2">
      <c r="E4343" s="332"/>
    </row>
    <row r="4344" spans="5:5" x14ac:dyDescent="0.2">
      <c r="E4344" s="332"/>
    </row>
    <row r="4345" spans="5:5" x14ac:dyDescent="0.2">
      <c r="E4345" s="332"/>
    </row>
    <row r="4346" spans="5:5" x14ac:dyDescent="0.2">
      <c r="E4346" s="332"/>
    </row>
    <row r="4347" spans="5:5" x14ac:dyDescent="0.2">
      <c r="E4347" s="332"/>
    </row>
    <row r="4348" spans="5:5" x14ac:dyDescent="0.2">
      <c r="E4348" s="332"/>
    </row>
    <row r="4349" spans="5:5" x14ac:dyDescent="0.2">
      <c r="E4349" s="332"/>
    </row>
    <row r="4350" spans="5:5" x14ac:dyDescent="0.2">
      <c r="E4350" s="332"/>
    </row>
    <row r="4351" spans="5:5" x14ac:dyDescent="0.2">
      <c r="E4351" s="332"/>
    </row>
    <row r="4352" spans="5:5" x14ac:dyDescent="0.2">
      <c r="E4352" s="332"/>
    </row>
    <row r="4353" spans="5:5" x14ac:dyDescent="0.2">
      <c r="E4353" s="332"/>
    </row>
    <row r="4354" spans="5:5" x14ac:dyDescent="0.2">
      <c r="E4354" s="332"/>
    </row>
    <row r="4355" spans="5:5" x14ac:dyDescent="0.2">
      <c r="E4355" s="332"/>
    </row>
    <row r="4356" spans="5:5" x14ac:dyDescent="0.2">
      <c r="E4356" s="332"/>
    </row>
    <row r="4357" spans="5:5" x14ac:dyDescent="0.2">
      <c r="E4357" s="332"/>
    </row>
    <row r="4358" spans="5:5" x14ac:dyDescent="0.2">
      <c r="E4358" s="332"/>
    </row>
    <row r="4359" spans="5:5" x14ac:dyDescent="0.2">
      <c r="E4359" s="332"/>
    </row>
    <row r="4360" spans="5:5" x14ac:dyDescent="0.2">
      <c r="E4360" s="332"/>
    </row>
    <row r="4361" spans="5:5" x14ac:dyDescent="0.2">
      <c r="E4361" s="332"/>
    </row>
    <row r="4362" spans="5:5" x14ac:dyDescent="0.2">
      <c r="E4362" s="332"/>
    </row>
    <row r="4363" spans="5:5" x14ac:dyDescent="0.2">
      <c r="E4363" s="332"/>
    </row>
    <row r="4364" spans="5:5" x14ac:dyDescent="0.2">
      <c r="E4364" s="332"/>
    </row>
    <row r="4365" spans="5:5" x14ac:dyDescent="0.2">
      <c r="E4365" s="332"/>
    </row>
    <row r="4366" spans="5:5" x14ac:dyDescent="0.2">
      <c r="E4366" s="332"/>
    </row>
    <row r="4367" spans="5:5" x14ac:dyDescent="0.2">
      <c r="E4367" s="332"/>
    </row>
    <row r="4368" spans="5:5" x14ac:dyDescent="0.2">
      <c r="E4368" s="332"/>
    </row>
    <row r="4369" spans="5:5" x14ac:dyDescent="0.2">
      <c r="E4369" s="332"/>
    </row>
    <row r="4370" spans="5:5" x14ac:dyDescent="0.2">
      <c r="E4370" s="332"/>
    </row>
    <row r="4371" spans="5:5" x14ac:dyDescent="0.2">
      <c r="E4371" s="332"/>
    </row>
    <row r="4372" spans="5:5" x14ac:dyDescent="0.2">
      <c r="E4372" s="332"/>
    </row>
    <row r="4373" spans="5:5" x14ac:dyDescent="0.2">
      <c r="E4373" s="332"/>
    </row>
    <row r="4374" spans="5:5" x14ac:dyDescent="0.2">
      <c r="E4374" s="332"/>
    </row>
    <row r="4375" spans="5:5" x14ac:dyDescent="0.2">
      <c r="E4375" s="332"/>
    </row>
    <row r="4376" spans="5:5" x14ac:dyDescent="0.2">
      <c r="E4376" s="332"/>
    </row>
    <row r="4377" spans="5:5" x14ac:dyDescent="0.2">
      <c r="E4377" s="332"/>
    </row>
    <row r="4378" spans="5:5" x14ac:dyDescent="0.2">
      <c r="E4378" s="332"/>
    </row>
    <row r="4379" spans="5:5" x14ac:dyDescent="0.2">
      <c r="E4379" s="332"/>
    </row>
    <row r="4380" spans="5:5" x14ac:dyDescent="0.2">
      <c r="E4380" s="332"/>
    </row>
    <row r="4381" spans="5:5" x14ac:dyDescent="0.2">
      <c r="E4381" s="332"/>
    </row>
    <row r="4382" spans="5:5" x14ac:dyDescent="0.2">
      <c r="E4382" s="332"/>
    </row>
    <row r="4383" spans="5:5" x14ac:dyDescent="0.2">
      <c r="E4383" s="332"/>
    </row>
    <row r="4384" spans="5:5" x14ac:dyDescent="0.2">
      <c r="E4384" s="332"/>
    </row>
    <row r="4385" spans="5:5" x14ac:dyDescent="0.2">
      <c r="E4385" s="332"/>
    </row>
    <row r="4386" spans="5:5" x14ac:dyDescent="0.2">
      <c r="E4386" s="332"/>
    </row>
    <row r="4387" spans="5:5" x14ac:dyDescent="0.2">
      <c r="E4387" s="332"/>
    </row>
    <row r="4388" spans="5:5" x14ac:dyDescent="0.2">
      <c r="E4388" s="332"/>
    </row>
    <row r="4389" spans="5:5" x14ac:dyDescent="0.2">
      <c r="E4389" s="332"/>
    </row>
    <row r="4390" spans="5:5" x14ac:dyDescent="0.2">
      <c r="E4390" s="332"/>
    </row>
    <row r="4391" spans="5:5" x14ac:dyDescent="0.2">
      <c r="E4391" s="332"/>
    </row>
    <row r="4392" spans="5:5" x14ac:dyDescent="0.2">
      <c r="E4392" s="332"/>
    </row>
    <row r="4393" spans="5:5" x14ac:dyDescent="0.2">
      <c r="E4393" s="332"/>
    </row>
    <row r="4394" spans="5:5" x14ac:dyDescent="0.2">
      <c r="E4394" s="332"/>
    </row>
    <row r="4395" spans="5:5" x14ac:dyDescent="0.2">
      <c r="E4395" s="332"/>
    </row>
    <row r="4396" spans="5:5" x14ac:dyDescent="0.2">
      <c r="E4396" s="332"/>
    </row>
    <row r="4397" spans="5:5" x14ac:dyDescent="0.2">
      <c r="E4397" s="332"/>
    </row>
    <row r="4398" spans="5:5" x14ac:dyDescent="0.2">
      <c r="E4398" s="332"/>
    </row>
    <row r="4399" spans="5:5" x14ac:dyDescent="0.2">
      <c r="E4399" s="332"/>
    </row>
    <row r="4400" spans="5:5" x14ac:dyDescent="0.2">
      <c r="E4400" s="332"/>
    </row>
    <row r="4401" spans="5:5" x14ac:dyDescent="0.2">
      <c r="E4401" s="332"/>
    </row>
    <row r="4402" spans="5:5" x14ac:dyDescent="0.2">
      <c r="E4402" s="332"/>
    </row>
    <row r="4403" spans="5:5" x14ac:dyDescent="0.2">
      <c r="E4403" s="332"/>
    </row>
    <row r="4404" spans="5:5" x14ac:dyDescent="0.2">
      <c r="E4404" s="332"/>
    </row>
    <row r="4405" spans="5:5" x14ac:dyDescent="0.2">
      <c r="E4405" s="332"/>
    </row>
    <row r="4406" spans="5:5" x14ac:dyDescent="0.2">
      <c r="E4406" s="332"/>
    </row>
    <row r="4407" spans="5:5" x14ac:dyDescent="0.2">
      <c r="E4407" s="332"/>
    </row>
    <row r="4408" spans="5:5" x14ac:dyDescent="0.2">
      <c r="E4408" s="332"/>
    </row>
    <row r="4409" spans="5:5" x14ac:dyDescent="0.2">
      <c r="E4409" s="332"/>
    </row>
    <row r="4410" spans="5:5" x14ac:dyDescent="0.2">
      <c r="E4410" s="332"/>
    </row>
    <row r="4411" spans="5:5" x14ac:dyDescent="0.2">
      <c r="E4411" s="332"/>
    </row>
    <row r="4412" spans="5:5" x14ac:dyDescent="0.2">
      <c r="E4412" s="332"/>
    </row>
    <row r="4413" spans="5:5" x14ac:dyDescent="0.2">
      <c r="E4413" s="332"/>
    </row>
    <row r="4414" spans="5:5" x14ac:dyDescent="0.2">
      <c r="E4414" s="332"/>
    </row>
    <row r="4415" spans="5:5" x14ac:dyDescent="0.2">
      <c r="E4415" s="332"/>
    </row>
    <row r="4416" spans="5:5" x14ac:dyDescent="0.2">
      <c r="E4416" s="332"/>
    </row>
    <row r="4417" spans="5:5" x14ac:dyDescent="0.2">
      <c r="E4417" s="332"/>
    </row>
    <row r="4418" spans="5:5" x14ac:dyDescent="0.2">
      <c r="E4418" s="332"/>
    </row>
    <row r="4419" spans="5:5" x14ac:dyDescent="0.2">
      <c r="E4419" s="332"/>
    </row>
    <row r="4420" spans="5:5" x14ac:dyDescent="0.2">
      <c r="E4420" s="332"/>
    </row>
    <row r="4421" spans="5:5" x14ac:dyDescent="0.2">
      <c r="E4421" s="332"/>
    </row>
    <row r="4422" spans="5:5" x14ac:dyDescent="0.2">
      <c r="E4422" s="332"/>
    </row>
    <row r="4423" spans="5:5" x14ac:dyDescent="0.2">
      <c r="E4423" s="332"/>
    </row>
    <row r="4424" spans="5:5" x14ac:dyDescent="0.2">
      <c r="E4424" s="332"/>
    </row>
    <row r="4425" spans="5:5" x14ac:dyDescent="0.2">
      <c r="E4425" s="332"/>
    </row>
    <row r="4426" spans="5:5" x14ac:dyDescent="0.2">
      <c r="E4426" s="332"/>
    </row>
    <row r="4427" spans="5:5" x14ac:dyDescent="0.2">
      <c r="E4427" s="332"/>
    </row>
    <row r="4428" spans="5:5" x14ac:dyDescent="0.2">
      <c r="E4428" s="332"/>
    </row>
    <row r="4429" spans="5:5" x14ac:dyDescent="0.2">
      <c r="E4429" s="332"/>
    </row>
    <row r="4430" spans="5:5" x14ac:dyDescent="0.2">
      <c r="E4430" s="332"/>
    </row>
    <row r="4431" spans="5:5" x14ac:dyDescent="0.2">
      <c r="E4431" s="332"/>
    </row>
    <row r="4432" spans="5:5" x14ac:dyDescent="0.2">
      <c r="E4432" s="332"/>
    </row>
    <row r="4433" spans="5:5" x14ac:dyDescent="0.2">
      <c r="E4433" s="332"/>
    </row>
    <row r="4434" spans="5:5" x14ac:dyDescent="0.2">
      <c r="E4434" s="332"/>
    </row>
    <row r="4435" spans="5:5" x14ac:dyDescent="0.2">
      <c r="E4435" s="332"/>
    </row>
    <row r="4436" spans="5:5" x14ac:dyDescent="0.2">
      <c r="E4436" s="332"/>
    </row>
    <row r="4437" spans="5:5" x14ac:dyDescent="0.2">
      <c r="E4437" s="332"/>
    </row>
    <row r="4438" spans="5:5" x14ac:dyDescent="0.2">
      <c r="E4438" s="332"/>
    </row>
    <row r="4439" spans="5:5" x14ac:dyDescent="0.2">
      <c r="E4439" s="332"/>
    </row>
    <row r="4440" spans="5:5" x14ac:dyDescent="0.2">
      <c r="E4440" s="332"/>
    </row>
    <row r="4441" spans="5:5" x14ac:dyDescent="0.2">
      <c r="E4441" s="332"/>
    </row>
    <row r="4442" spans="5:5" x14ac:dyDescent="0.2">
      <c r="E4442" s="332"/>
    </row>
    <row r="4443" spans="5:5" x14ac:dyDescent="0.2">
      <c r="E4443" s="332"/>
    </row>
    <row r="4444" spans="5:5" x14ac:dyDescent="0.2">
      <c r="E4444" s="332"/>
    </row>
    <row r="4445" spans="5:5" x14ac:dyDescent="0.2">
      <c r="E4445" s="332"/>
    </row>
    <row r="4446" spans="5:5" x14ac:dyDescent="0.2">
      <c r="E4446" s="332"/>
    </row>
    <row r="4447" spans="5:5" x14ac:dyDescent="0.2">
      <c r="E4447" s="332"/>
    </row>
    <row r="4448" spans="5:5" x14ac:dyDescent="0.2">
      <c r="E4448" s="332"/>
    </row>
    <row r="4449" spans="5:5" x14ac:dyDescent="0.2">
      <c r="E4449" s="332"/>
    </row>
    <row r="4450" spans="5:5" x14ac:dyDescent="0.2">
      <c r="E4450" s="332"/>
    </row>
    <row r="4451" spans="5:5" x14ac:dyDescent="0.2">
      <c r="E4451" s="332"/>
    </row>
    <row r="4452" spans="5:5" x14ac:dyDescent="0.2">
      <c r="E4452" s="332"/>
    </row>
    <row r="4453" spans="5:5" x14ac:dyDescent="0.2">
      <c r="E4453" s="332"/>
    </row>
    <row r="4454" spans="5:5" x14ac:dyDescent="0.2">
      <c r="E4454" s="332"/>
    </row>
    <row r="4455" spans="5:5" x14ac:dyDescent="0.2">
      <c r="E4455" s="332"/>
    </row>
    <row r="4456" spans="5:5" x14ac:dyDescent="0.2">
      <c r="E4456" s="332"/>
    </row>
    <row r="4457" spans="5:5" x14ac:dyDescent="0.2">
      <c r="E4457" s="332"/>
    </row>
    <row r="4458" spans="5:5" x14ac:dyDescent="0.2">
      <c r="E4458" s="332"/>
    </row>
    <row r="4459" spans="5:5" x14ac:dyDescent="0.2">
      <c r="E4459" s="332"/>
    </row>
    <row r="4460" spans="5:5" x14ac:dyDescent="0.2">
      <c r="E4460" s="332"/>
    </row>
    <row r="4461" spans="5:5" x14ac:dyDescent="0.2">
      <c r="E4461" s="332"/>
    </row>
    <row r="4462" spans="5:5" x14ac:dyDescent="0.2">
      <c r="E4462" s="332"/>
    </row>
    <row r="4463" spans="5:5" x14ac:dyDescent="0.2">
      <c r="E4463" s="332"/>
    </row>
    <row r="4464" spans="5:5" x14ac:dyDescent="0.2">
      <c r="E4464" s="332"/>
    </row>
    <row r="4465" spans="5:5" x14ac:dyDescent="0.2">
      <c r="E4465" s="332"/>
    </row>
    <row r="4466" spans="5:5" x14ac:dyDescent="0.2">
      <c r="E4466" s="332"/>
    </row>
    <row r="4467" spans="5:5" x14ac:dyDescent="0.2">
      <c r="E4467" s="332"/>
    </row>
    <row r="4468" spans="5:5" x14ac:dyDescent="0.2">
      <c r="E4468" s="332"/>
    </row>
    <row r="4469" spans="5:5" x14ac:dyDescent="0.2">
      <c r="E4469" s="332"/>
    </row>
    <row r="4470" spans="5:5" x14ac:dyDescent="0.2">
      <c r="E4470" s="332"/>
    </row>
    <row r="4471" spans="5:5" x14ac:dyDescent="0.2">
      <c r="E4471" s="332"/>
    </row>
    <row r="4472" spans="5:5" x14ac:dyDescent="0.2">
      <c r="E4472" s="332"/>
    </row>
    <row r="4473" spans="5:5" x14ac:dyDescent="0.2">
      <c r="E4473" s="332"/>
    </row>
    <row r="4474" spans="5:5" x14ac:dyDescent="0.2">
      <c r="E4474" s="332"/>
    </row>
    <row r="4475" spans="5:5" x14ac:dyDescent="0.2">
      <c r="E4475" s="332"/>
    </row>
    <row r="4476" spans="5:5" x14ac:dyDescent="0.2">
      <c r="E4476" s="332"/>
    </row>
    <row r="4477" spans="5:5" x14ac:dyDescent="0.2">
      <c r="E4477" s="332"/>
    </row>
    <row r="4478" spans="5:5" x14ac:dyDescent="0.2">
      <c r="E4478" s="332"/>
    </row>
    <row r="4479" spans="5:5" x14ac:dyDescent="0.2">
      <c r="E4479" s="332"/>
    </row>
    <row r="4480" spans="5:5" x14ac:dyDescent="0.2">
      <c r="E4480" s="332"/>
    </row>
    <row r="4481" spans="5:5" x14ac:dyDescent="0.2">
      <c r="E4481" s="332"/>
    </row>
    <row r="4482" spans="5:5" x14ac:dyDescent="0.2">
      <c r="E4482" s="332"/>
    </row>
    <row r="4483" spans="5:5" x14ac:dyDescent="0.2">
      <c r="E4483" s="332"/>
    </row>
    <row r="4484" spans="5:5" x14ac:dyDescent="0.2">
      <c r="E4484" s="332"/>
    </row>
    <row r="4485" spans="5:5" x14ac:dyDescent="0.2">
      <c r="E4485" s="332"/>
    </row>
    <row r="4486" spans="5:5" x14ac:dyDescent="0.2">
      <c r="E4486" s="332"/>
    </row>
    <row r="4487" spans="5:5" x14ac:dyDescent="0.2">
      <c r="E4487" s="332"/>
    </row>
    <row r="4488" spans="5:5" x14ac:dyDescent="0.2">
      <c r="E4488" s="332"/>
    </row>
    <row r="4489" spans="5:5" x14ac:dyDescent="0.2">
      <c r="E4489" s="332"/>
    </row>
    <row r="4490" spans="5:5" x14ac:dyDescent="0.2">
      <c r="E4490" s="332"/>
    </row>
    <row r="4491" spans="5:5" x14ac:dyDescent="0.2">
      <c r="E4491" s="332"/>
    </row>
    <row r="4492" spans="5:5" x14ac:dyDescent="0.2">
      <c r="E4492" s="332"/>
    </row>
    <row r="4493" spans="5:5" x14ac:dyDescent="0.2">
      <c r="E4493" s="332"/>
    </row>
    <row r="4494" spans="5:5" x14ac:dyDescent="0.2">
      <c r="E4494" s="332"/>
    </row>
    <row r="4495" spans="5:5" x14ac:dyDescent="0.2">
      <c r="E4495" s="332"/>
    </row>
    <row r="4496" spans="5:5" x14ac:dyDescent="0.2">
      <c r="E4496" s="332"/>
    </row>
    <row r="4497" spans="5:5" x14ac:dyDescent="0.2">
      <c r="E4497" s="332"/>
    </row>
    <row r="4498" spans="5:5" x14ac:dyDescent="0.2">
      <c r="E4498" s="332"/>
    </row>
    <row r="4499" spans="5:5" x14ac:dyDescent="0.2">
      <c r="E4499" s="332"/>
    </row>
    <row r="4500" spans="5:5" x14ac:dyDescent="0.2">
      <c r="E4500" s="332"/>
    </row>
    <row r="4501" spans="5:5" x14ac:dyDescent="0.2">
      <c r="E4501" s="332"/>
    </row>
    <row r="4502" spans="5:5" x14ac:dyDescent="0.2">
      <c r="E4502" s="332"/>
    </row>
    <row r="4503" spans="5:5" x14ac:dyDescent="0.2">
      <c r="E4503" s="332"/>
    </row>
    <row r="4504" spans="5:5" x14ac:dyDescent="0.2">
      <c r="E4504" s="332"/>
    </row>
    <row r="4505" spans="5:5" x14ac:dyDescent="0.2">
      <c r="E4505" s="332"/>
    </row>
    <row r="4506" spans="5:5" x14ac:dyDescent="0.2">
      <c r="E4506" s="332"/>
    </row>
    <row r="4507" spans="5:5" x14ac:dyDescent="0.2">
      <c r="E4507" s="332"/>
    </row>
    <row r="4508" spans="5:5" x14ac:dyDescent="0.2">
      <c r="E4508" s="332"/>
    </row>
    <row r="4509" spans="5:5" x14ac:dyDescent="0.2">
      <c r="E4509" s="332"/>
    </row>
    <row r="4510" spans="5:5" x14ac:dyDescent="0.2">
      <c r="E4510" s="332"/>
    </row>
    <row r="4511" spans="5:5" x14ac:dyDescent="0.2">
      <c r="E4511" s="332"/>
    </row>
    <row r="4512" spans="5:5" x14ac:dyDescent="0.2">
      <c r="E4512" s="332"/>
    </row>
    <row r="4513" spans="5:5" x14ac:dyDescent="0.2">
      <c r="E4513" s="332"/>
    </row>
    <row r="4514" spans="5:5" x14ac:dyDescent="0.2">
      <c r="E4514" s="332"/>
    </row>
    <row r="4515" spans="5:5" x14ac:dyDescent="0.2">
      <c r="E4515" s="332"/>
    </row>
    <row r="4516" spans="5:5" x14ac:dyDescent="0.2">
      <c r="E4516" s="332"/>
    </row>
    <row r="4517" spans="5:5" x14ac:dyDescent="0.2">
      <c r="E4517" s="332"/>
    </row>
    <row r="4518" spans="5:5" x14ac:dyDescent="0.2">
      <c r="E4518" s="332"/>
    </row>
    <row r="4519" spans="5:5" x14ac:dyDescent="0.2">
      <c r="E4519" s="332"/>
    </row>
    <row r="4520" spans="5:5" x14ac:dyDescent="0.2">
      <c r="E4520" s="332"/>
    </row>
    <row r="4521" spans="5:5" x14ac:dyDescent="0.2">
      <c r="E4521" s="332"/>
    </row>
    <row r="4522" spans="5:5" x14ac:dyDescent="0.2">
      <c r="E4522" s="332"/>
    </row>
    <row r="4523" spans="5:5" x14ac:dyDescent="0.2">
      <c r="E4523" s="332"/>
    </row>
    <row r="4524" spans="5:5" x14ac:dyDescent="0.2">
      <c r="E4524" s="332"/>
    </row>
    <row r="4525" spans="5:5" x14ac:dyDescent="0.2">
      <c r="E4525" s="332"/>
    </row>
    <row r="4526" spans="5:5" x14ac:dyDescent="0.2">
      <c r="E4526" s="332"/>
    </row>
    <row r="4527" spans="5:5" x14ac:dyDescent="0.2">
      <c r="E4527" s="332"/>
    </row>
    <row r="4528" spans="5:5" x14ac:dyDescent="0.2">
      <c r="E4528" s="332"/>
    </row>
    <row r="4529" spans="5:5" x14ac:dyDescent="0.2">
      <c r="E4529" s="332"/>
    </row>
    <row r="4530" spans="5:5" x14ac:dyDescent="0.2">
      <c r="E4530" s="332"/>
    </row>
    <row r="4531" spans="5:5" x14ac:dyDescent="0.2">
      <c r="E4531" s="332"/>
    </row>
    <row r="4532" spans="5:5" x14ac:dyDescent="0.2">
      <c r="E4532" s="332"/>
    </row>
    <row r="4533" spans="5:5" x14ac:dyDescent="0.2">
      <c r="E4533" s="332"/>
    </row>
    <row r="4534" spans="5:5" x14ac:dyDescent="0.2">
      <c r="E4534" s="332"/>
    </row>
    <row r="4535" spans="5:5" x14ac:dyDescent="0.2">
      <c r="E4535" s="332"/>
    </row>
    <row r="4536" spans="5:5" x14ac:dyDescent="0.2">
      <c r="E4536" s="332"/>
    </row>
    <row r="4537" spans="5:5" x14ac:dyDescent="0.2">
      <c r="E4537" s="332"/>
    </row>
    <row r="4538" spans="5:5" x14ac:dyDescent="0.2">
      <c r="E4538" s="332"/>
    </row>
    <row r="4539" spans="5:5" x14ac:dyDescent="0.2">
      <c r="E4539" s="332"/>
    </row>
    <row r="4540" spans="5:5" x14ac:dyDescent="0.2">
      <c r="E4540" s="332"/>
    </row>
    <row r="4541" spans="5:5" x14ac:dyDescent="0.2">
      <c r="E4541" s="332"/>
    </row>
    <row r="4542" spans="5:5" x14ac:dyDescent="0.2">
      <c r="E4542" s="332"/>
    </row>
    <row r="4543" spans="5:5" x14ac:dyDescent="0.2">
      <c r="E4543" s="332"/>
    </row>
    <row r="4544" spans="5:5" x14ac:dyDescent="0.2">
      <c r="E4544" s="332"/>
    </row>
    <row r="4545" spans="5:5" x14ac:dyDescent="0.2">
      <c r="E4545" s="332"/>
    </row>
    <row r="4546" spans="5:5" x14ac:dyDescent="0.2">
      <c r="E4546" s="332"/>
    </row>
    <row r="4547" spans="5:5" x14ac:dyDescent="0.2">
      <c r="E4547" s="332"/>
    </row>
    <row r="4548" spans="5:5" x14ac:dyDescent="0.2">
      <c r="E4548" s="332"/>
    </row>
    <row r="4549" spans="5:5" x14ac:dyDescent="0.2">
      <c r="E4549" s="332"/>
    </row>
    <row r="4550" spans="5:5" x14ac:dyDescent="0.2">
      <c r="E4550" s="332"/>
    </row>
    <row r="4551" spans="5:5" x14ac:dyDescent="0.2">
      <c r="E4551" s="332"/>
    </row>
    <row r="4552" spans="5:5" x14ac:dyDescent="0.2">
      <c r="E4552" s="332"/>
    </row>
    <row r="4553" spans="5:5" x14ac:dyDescent="0.2">
      <c r="E4553" s="332"/>
    </row>
    <row r="4554" spans="5:5" x14ac:dyDescent="0.2">
      <c r="E4554" s="332"/>
    </row>
    <row r="4555" spans="5:5" x14ac:dyDescent="0.2">
      <c r="E4555" s="332"/>
    </row>
    <row r="4556" spans="5:5" x14ac:dyDescent="0.2">
      <c r="E4556" s="332"/>
    </row>
    <row r="4557" spans="5:5" x14ac:dyDescent="0.2">
      <c r="E4557" s="332"/>
    </row>
    <row r="4558" spans="5:5" x14ac:dyDescent="0.2">
      <c r="E4558" s="332"/>
    </row>
    <row r="4559" spans="5:5" x14ac:dyDescent="0.2">
      <c r="E4559" s="332"/>
    </row>
    <row r="4560" spans="5:5" x14ac:dyDescent="0.2">
      <c r="E4560" s="332"/>
    </row>
    <row r="4561" spans="5:5" x14ac:dyDescent="0.2">
      <c r="E4561" s="332"/>
    </row>
    <row r="4562" spans="5:5" x14ac:dyDescent="0.2">
      <c r="E4562" s="332"/>
    </row>
    <row r="4563" spans="5:5" x14ac:dyDescent="0.2">
      <c r="E4563" s="332"/>
    </row>
    <row r="4564" spans="5:5" x14ac:dyDescent="0.2">
      <c r="E4564" s="332"/>
    </row>
    <row r="4565" spans="5:5" x14ac:dyDescent="0.2">
      <c r="E4565" s="332"/>
    </row>
    <row r="4566" spans="5:5" x14ac:dyDescent="0.2">
      <c r="E4566" s="332"/>
    </row>
    <row r="4567" spans="5:5" x14ac:dyDescent="0.2">
      <c r="E4567" s="332"/>
    </row>
    <row r="4568" spans="5:5" x14ac:dyDescent="0.2">
      <c r="E4568" s="332"/>
    </row>
    <row r="4569" spans="5:5" x14ac:dyDescent="0.2">
      <c r="E4569" s="332"/>
    </row>
    <row r="4570" spans="5:5" x14ac:dyDescent="0.2">
      <c r="E4570" s="332"/>
    </row>
    <row r="4571" spans="5:5" x14ac:dyDescent="0.2">
      <c r="E4571" s="332"/>
    </row>
    <row r="4572" spans="5:5" x14ac:dyDescent="0.2">
      <c r="E4572" s="332"/>
    </row>
    <row r="4573" spans="5:5" x14ac:dyDescent="0.2">
      <c r="E4573" s="332"/>
    </row>
    <row r="4574" spans="5:5" x14ac:dyDescent="0.2">
      <c r="E4574" s="332"/>
    </row>
    <row r="4575" spans="5:5" x14ac:dyDescent="0.2">
      <c r="E4575" s="332"/>
    </row>
    <row r="4576" spans="5:5" x14ac:dyDescent="0.2">
      <c r="E4576" s="332"/>
    </row>
    <row r="4577" spans="5:5" x14ac:dyDescent="0.2">
      <c r="E4577" s="332"/>
    </row>
    <row r="4578" spans="5:5" x14ac:dyDescent="0.2">
      <c r="E4578" s="332"/>
    </row>
    <row r="4579" spans="5:5" x14ac:dyDescent="0.2">
      <c r="E4579" s="332"/>
    </row>
    <row r="4580" spans="5:5" x14ac:dyDescent="0.2">
      <c r="E4580" s="332"/>
    </row>
    <row r="4581" spans="5:5" x14ac:dyDescent="0.2">
      <c r="E4581" s="332"/>
    </row>
    <row r="4582" spans="5:5" x14ac:dyDescent="0.2">
      <c r="E4582" s="332"/>
    </row>
    <row r="4583" spans="5:5" x14ac:dyDescent="0.2">
      <c r="E4583" s="332"/>
    </row>
    <row r="4584" spans="5:5" x14ac:dyDescent="0.2">
      <c r="E4584" s="332"/>
    </row>
    <row r="4585" spans="5:5" x14ac:dyDescent="0.2">
      <c r="E4585" s="332"/>
    </row>
    <row r="4586" spans="5:5" x14ac:dyDescent="0.2">
      <c r="E4586" s="332"/>
    </row>
    <row r="4587" spans="5:5" x14ac:dyDescent="0.2">
      <c r="E4587" s="332"/>
    </row>
    <row r="4588" spans="5:5" x14ac:dyDescent="0.2">
      <c r="E4588" s="332"/>
    </row>
    <row r="4589" spans="5:5" x14ac:dyDescent="0.2">
      <c r="E4589" s="332"/>
    </row>
    <row r="4590" spans="5:5" x14ac:dyDescent="0.2">
      <c r="E4590" s="332"/>
    </row>
    <row r="4591" spans="5:5" x14ac:dyDescent="0.2">
      <c r="E4591" s="332"/>
    </row>
    <row r="4592" spans="5:5" x14ac:dyDescent="0.2">
      <c r="E4592" s="332"/>
    </row>
    <row r="4593" spans="5:5" x14ac:dyDescent="0.2">
      <c r="E4593" s="332"/>
    </row>
    <row r="4594" spans="5:5" x14ac:dyDescent="0.2">
      <c r="E4594" s="332"/>
    </row>
    <row r="4595" spans="5:5" x14ac:dyDescent="0.2">
      <c r="E4595" s="332"/>
    </row>
    <row r="4596" spans="5:5" x14ac:dyDescent="0.2">
      <c r="E4596" s="332"/>
    </row>
    <row r="4597" spans="5:5" x14ac:dyDescent="0.2">
      <c r="E4597" s="332"/>
    </row>
    <row r="4598" spans="5:5" x14ac:dyDescent="0.2">
      <c r="E4598" s="332"/>
    </row>
    <row r="4599" spans="5:5" x14ac:dyDescent="0.2">
      <c r="E4599" s="332"/>
    </row>
    <row r="4600" spans="5:5" x14ac:dyDescent="0.2">
      <c r="E4600" s="332"/>
    </row>
    <row r="4601" spans="5:5" x14ac:dyDescent="0.2">
      <c r="E4601" s="332"/>
    </row>
    <row r="4602" spans="5:5" x14ac:dyDescent="0.2">
      <c r="E4602" s="332"/>
    </row>
    <row r="4603" spans="5:5" x14ac:dyDescent="0.2">
      <c r="E4603" s="332"/>
    </row>
    <row r="4604" spans="5:5" x14ac:dyDescent="0.2">
      <c r="E4604" s="332"/>
    </row>
    <row r="4605" spans="5:5" x14ac:dyDescent="0.2">
      <c r="E4605" s="332"/>
    </row>
    <row r="4606" spans="5:5" x14ac:dyDescent="0.2">
      <c r="E4606" s="332"/>
    </row>
    <row r="4607" spans="5:5" x14ac:dyDescent="0.2">
      <c r="E4607" s="332"/>
    </row>
    <row r="4608" spans="5:5" x14ac:dyDescent="0.2">
      <c r="E4608" s="332"/>
    </row>
    <row r="4609" spans="5:5" x14ac:dyDescent="0.2">
      <c r="E4609" s="332"/>
    </row>
    <row r="4610" spans="5:5" x14ac:dyDescent="0.2">
      <c r="E4610" s="332"/>
    </row>
    <row r="4611" spans="5:5" x14ac:dyDescent="0.2">
      <c r="E4611" s="332"/>
    </row>
    <row r="4612" spans="5:5" x14ac:dyDescent="0.2">
      <c r="E4612" s="332"/>
    </row>
    <row r="4613" spans="5:5" x14ac:dyDescent="0.2">
      <c r="E4613" s="332"/>
    </row>
    <row r="4614" spans="5:5" x14ac:dyDescent="0.2">
      <c r="E4614" s="332"/>
    </row>
    <row r="4615" spans="5:5" x14ac:dyDescent="0.2">
      <c r="E4615" s="332"/>
    </row>
    <row r="4616" spans="5:5" x14ac:dyDescent="0.2">
      <c r="E4616" s="332"/>
    </row>
    <row r="4617" spans="5:5" x14ac:dyDescent="0.2">
      <c r="E4617" s="332"/>
    </row>
    <row r="4618" spans="5:5" x14ac:dyDescent="0.2">
      <c r="E4618" s="332"/>
    </row>
    <row r="4619" spans="5:5" x14ac:dyDescent="0.2">
      <c r="E4619" s="332"/>
    </row>
    <row r="4620" spans="5:5" x14ac:dyDescent="0.2">
      <c r="E4620" s="332"/>
    </row>
    <row r="4621" spans="5:5" x14ac:dyDescent="0.2">
      <c r="E4621" s="332"/>
    </row>
    <row r="4622" spans="5:5" x14ac:dyDescent="0.2">
      <c r="E4622" s="332"/>
    </row>
    <row r="4623" spans="5:5" x14ac:dyDescent="0.2">
      <c r="E4623" s="332"/>
    </row>
    <row r="4624" spans="5:5" x14ac:dyDescent="0.2">
      <c r="E4624" s="332"/>
    </row>
    <row r="4625" spans="5:5" x14ac:dyDescent="0.2">
      <c r="E4625" s="332"/>
    </row>
    <row r="4626" spans="5:5" x14ac:dyDescent="0.2">
      <c r="E4626" s="332"/>
    </row>
    <row r="4627" spans="5:5" x14ac:dyDescent="0.2">
      <c r="E4627" s="332"/>
    </row>
    <row r="4628" spans="5:5" x14ac:dyDescent="0.2">
      <c r="E4628" s="332"/>
    </row>
    <row r="4629" spans="5:5" x14ac:dyDescent="0.2">
      <c r="E4629" s="332"/>
    </row>
    <row r="4630" spans="5:5" x14ac:dyDescent="0.2">
      <c r="E4630" s="332"/>
    </row>
    <row r="4631" spans="5:5" x14ac:dyDescent="0.2">
      <c r="E4631" s="332"/>
    </row>
    <row r="4632" spans="5:5" x14ac:dyDescent="0.2">
      <c r="E4632" s="332"/>
    </row>
    <row r="4633" spans="5:5" x14ac:dyDescent="0.2">
      <c r="E4633" s="332"/>
    </row>
    <row r="4634" spans="5:5" x14ac:dyDescent="0.2">
      <c r="E4634" s="332"/>
    </row>
    <row r="4635" spans="5:5" x14ac:dyDescent="0.2">
      <c r="E4635" s="332"/>
    </row>
    <row r="4636" spans="5:5" x14ac:dyDescent="0.2">
      <c r="E4636" s="332"/>
    </row>
    <row r="4637" spans="5:5" x14ac:dyDescent="0.2">
      <c r="E4637" s="332"/>
    </row>
    <row r="4638" spans="5:5" x14ac:dyDescent="0.2">
      <c r="E4638" s="332"/>
    </row>
    <row r="4639" spans="5:5" x14ac:dyDescent="0.2">
      <c r="E4639" s="332"/>
    </row>
    <row r="4640" spans="5:5" x14ac:dyDescent="0.2">
      <c r="E4640" s="332"/>
    </row>
    <row r="4641" spans="5:5" x14ac:dyDescent="0.2">
      <c r="E4641" s="332"/>
    </row>
    <row r="4642" spans="5:5" x14ac:dyDescent="0.2">
      <c r="E4642" s="332"/>
    </row>
    <row r="4643" spans="5:5" x14ac:dyDescent="0.2">
      <c r="E4643" s="332"/>
    </row>
    <row r="4644" spans="5:5" x14ac:dyDescent="0.2">
      <c r="E4644" s="332"/>
    </row>
    <row r="4645" spans="5:5" x14ac:dyDescent="0.2">
      <c r="E4645" s="332"/>
    </row>
    <row r="4646" spans="5:5" x14ac:dyDescent="0.2">
      <c r="E4646" s="332"/>
    </row>
    <row r="4647" spans="5:5" x14ac:dyDescent="0.2">
      <c r="E4647" s="332"/>
    </row>
    <row r="4648" spans="5:5" x14ac:dyDescent="0.2">
      <c r="E4648" s="332"/>
    </row>
    <row r="4649" spans="5:5" x14ac:dyDescent="0.2">
      <c r="E4649" s="332"/>
    </row>
    <row r="4650" spans="5:5" x14ac:dyDescent="0.2">
      <c r="E4650" s="332"/>
    </row>
    <row r="4651" spans="5:5" x14ac:dyDescent="0.2">
      <c r="E4651" s="332"/>
    </row>
    <row r="4652" spans="5:5" x14ac:dyDescent="0.2">
      <c r="E4652" s="332"/>
    </row>
    <row r="4653" spans="5:5" x14ac:dyDescent="0.2">
      <c r="E4653" s="332"/>
    </row>
    <row r="4654" spans="5:5" x14ac:dyDescent="0.2">
      <c r="E4654" s="332"/>
    </row>
    <row r="4655" spans="5:5" x14ac:dyDescent="0.2">
      <c r="E4655" s="332"/>
    </row>
    <row r="4656" spans="5:5" x14ac:dyDescent="0.2">
      <c r="E4656" s="332"/>
    </row>
    <row r="4657" spans="5:5" x14ac:dyDescent="0.2">
      <c r="E4657" s="332"/>
    </row>
    <row r="4658" spans="5:5" x14ac:dyDescent="0.2">
      <c r="E4658" s="332"/>
    </row>
    <row r="4659" spans="5:5" x14ac:dyDescent="0.2">
      <c r="E4659" s="332"/>
    </row>
    <row r="4660" spans="5:5" x14ac:dyDescent="0.2">
      <c r="E4660" s="332"/>
    </row>
    <row r="4661" spans="5:5" x14ac:dyDescent="0.2">
      <c r="E4661" s="332"/>
    </row>
    <row r="4662" spans="5:5" x14ac:dyDescent="0.2">
      <c r="E4662" s="332"/>
    </row>
    <row r="4663" spans="5:5" x14ac:dyDescent="0.2">
      <c r="E4663" s="332"/>
    </row>
    <row r="4664" spans="5:5" x14ac:dyDescent="0.2">
      <c r="E4664" s="332"/>
    </row>
    <row r="4665" spans="5:5" x14ac:dyDescent="0.2">
      <c r="E4665" s="332"/>
    </row>
    <row r="4666" spans="5:5" x14ac:dyDescent="0.2">
      <c r="E4666" s="332"/>
    </row>
    <row r="4667" spans="5:5" x14ac:dyDescent="0.2">
      <c r="E4667" s="332"/>
    </row>
    <row r="4668" spans="5:5" x14ac:dyDescent="0.2">
      <c r="E4668" s="332"/>
    </row>
    <row r="4669" spans="5:5" x14ac:dyDescent="0.2">
      <c r="E4669" s="332"/>
    </row>
    <row r="4670" spans="5:5" x14ac:dyDescent="0.2">
      <c r="E4670" s="332"/>
    </row>
    <row r="4671" spans="5:5" x14ac:dyDescent="0.2">
      <c r="E4671" s="332"/>
    </row>
    <row r="4672" spans="5:5" x14ac:dyDescent="0.2">
      <c r="E4672" s="332"/>
    </row>
    <row r="4673" spans="5:5" x14ac:dyDescent="0.2">
      <c r="E4673" s="332"/>
    </row>
    <row r="4674" spans="5:5" x14ac:dyDescent="0.2">
      <c r="E4674" s="332"/>
    </row>
    <row r="4675" spans="5:5" x14ac:dyDescent="0.2">
      <c r="E4675" s="332"/>
    </row>
    <row r="4676" spans="5:5" x14ac:dyDescent="0.2">
      <c r="E4676" s="332"/>
    </row>
    <row r="4677" spans="5:5" x14ac:dyDescent="0.2">
      <c r="E4677" s="332"/>
    </row>
    <row r="4678" spans="5:5" x14ac:dyDescent="0.2">
      <c r="E4678" s="332"/>
    </row>
    <row r="4679" spans="5:5" x14ac:dyDescent="0.2">
      <c r="E4679" s="332"/>
    </row>
    <row r="4680" spans="5:5" x14ac:dyDescent="0.2">
      <c r="E4680" s="332"/>
    </row>
    <row r="4681" spans="5:5" x14ac:dyDescent="0.2">
      <c r="E4681" s="332"/>
    </row>
    <row r="4682" spans="5:5" x14ac:dyDescent="0.2">
      <c r="E4682" s="332"/>
    </row>
    <row r="4683" spans="5:5" x14ac:dyDescent="0.2">
      <c r="E4683" s="332"/>
    </row>
    <row r="4684" spans="5:5" x14ac:dyDescent="0.2">
      <c r="E4684" s="332"/>
    </row>
    <row r="4685" spans="5:5" x14ac:dyDescent="0.2">
      <c r="E4685" s="332"/>
    </row>
    <row r="4686" spans="5:5" x14ac:dyDescent="0.2">
      <c r="E4686" s="332"/>
    </row>
    <row r="4687" spans="5:5" x14ac:dyDescent="0.2">
      <c r="E4687" s="332"/>
    </row>
    <row r="4688" spans="5:5" x14ac:dyDescent="0.2">
      <c r="E4688" s="332"/>
    </row>
    <row r="4689" spans="5:5" x14ac:dyDescent="0.2">
      <c r="E4689" s="332"/>
    </row>
    <row r="4690" spans="5:5" x14ac:dyDescent="0.2">
      <c r="E4690" s="332"/>
    </row>
    <row r="4691" spans="5:5" x14ac:dyDescent="0.2">
      <c r="E4691" s="332"/>
    </row>
    <row r="4692" spans="5:5" x14ac:dyDescent="0.2">
      <c r="E4692" s="332"/>
    </row>
    <row r="4693" spans="5:5" x14ac:dyDescent="0.2">
      <c r="E4693" s="332"/>
    </row>
    <row r="4694" spans="5:5" x14ac:dyDescent="0.2">
      <c r="E4694" s="332"/>
    </row>
    <row r="4695" spans="5:5" x14ac:dyDescent="0.2">
      <c r="E4695" s="332"/>
    </row>
    <row r="4696" spans="5:5" x14ac:dyDescent="0.2">
      <c r="E4696" s="332"/>
    </row>
    <row r="4697" spans="5:5" x14ac:dyDescent="0.2">
      <c r="E4697" s="332"/>
    </row>
    <row r="4698" spans="5:5" x14ac:dyDescent="0.2">
      <c r="E4698" s="332"/>
    </row>
    <row r="4699" spans="5:5" x14ac:dyDescent="0.2">
      <c r="E4699" s="332"/>
    </row>
    <row r="4700" spans="5:5" x14ac:dyDescent="0.2">
      <c r="E4700" s="332"/>
    </row>
    <row r="4701" spans="5:5" x14ac:dyDescent="0.2">
      <c r="E4701" s="332"/>
    </row>
    <row r="4702" spans="5:5" x14ac:dyDescent="0.2">
      <c r="E4702" s="332"/>
    </row>
    <row r="4703" spans="5:5" x14ac:dyDescent="0.2">
      <c r="E4703" s="332"/>
    </row>
    <row r="4704" spans="5:5" x14ac:dyDescent="0.2">
      <c r="E4704" s="332"/>
    </row>
    <row r="4705" spans="5:5" x14ac:dyDescent="0.2">
      <c r="E4705" s="332"/>
    </row>
    <row r="4706" spans="5:5" x14ac:dyDescent="0.2">
      <c r="E4706" s="332"/>
    </row>
    <row r="4707" spans="5:5" x14ac:dyDescent="0.2">
      <c r="E4707" s="332"/>
    </row>
    <row r="4708" spans="5:5" x14ac:dyDescent="0.2">
      <c r="E4708" s="332"/>
    </row>
    <row r="4709" spans="5:5" x14ac:dyDescent="0.2">
      <c r="E4709" s="332"/>
    </row>
    <row r="4710" spans="5:5" x14ac:dyDescent="0.2">
      <c r="E4710" s="332"/>
    </row>
    <row r="4711" spans="5:5" x14ac:dyDescent="0.2">
      <c r="E4711" s="332"/>
    </row>
    <row r="4712" spans="5:5" x14ac:dyDescent="0.2">
      <c r="E4712" s="332"/>
    </row>
    <row r="4713" spans="5:5" x14ac:dyDescent="0.2">
      <c r="E4713" s="332"/>
    </row>
    <row r="4714" spans="5:5" x14ac:dyDescent="0.2">
      <c r="E4714" s="332"/>
    </row>
    <row r="4715" spans="5:5" x14ac:dyDescent="0.2">
      <c r="E4715" s="332"/>
    </row>
    <row r="4716" spans="5:5" x14ac:dyDescent="0.2">
      <c r="E4716" s="332"/>
    </row>
    <row r="4717" spans="5:5" x14ac:dyDescent="0.2">
      <c r="E4717" s="332"/>
    </row>
    <row r="4718" spans="5:5" x14ac:dyDescent="0.2">
      <c r="E4718" s="332"/>
    </row>
    <row r="4719" spans="5:5" x14ac:dyDescent="0.2">
      <c r="E4719" s="332"/>
    </row>
    <row r="4720" spans="5:5" x14ac:dyDescent="0.2">
      <c r="E4720" s="332"/>
    </row>
    <row r="4721" spans="5:5" x14ac:dyDescent="0.2">
      <c r="E4721" s="332"/>
    </row>
    <row r="4722" spans="5:5" x14ac:dyDescent="0.2">
      <c r="E4722" s="332"/>
    </row>
    <row r="4723" spans="5:5" x14ac:dyDescent="0.2">
      <c r="E4723" s="332"/>
    </row>
    <row r="4724" spans="5:5" x14ac:dyDescent="0.2">
      <c r="E4724" s="332"/>
    </row>
    <row r="4725" spans="5:5" x14ac:dyDescent="0.2">
      <c r="E4725" s="332"/>
    </row>
    <row r="4726" spans="5:5" x14ac:dyDescent="0.2">
      <c r="E4726" s="332"/>
    </row>
    <row r="4727" spans="5:5" x14ac:dyDescent="0.2">
      <c r="E4727" s="332"/>
    </row>
    <row r="4728" spans="5:5" x14ac:dyDescent="0.2">
      <c r="E4728" s="332"/>
    </row>
    <row r="4729" spans="5:5" x14ac:dyDescent="0.2">
      <c r="E4729" s="332"/>
    </row>
    <row r="4730" spans="5:5" x14ac:dyDescent="0.2">
      <c r="E4730" s="332"/>
    </row>
    <row r="4731" spans="5:5" x14ac:dyDescent="0.2">
      <c r="E4731" s="332"/>
    </row>
    <row r="4732" spans="5:5" x14ac:dyDescent="0.2">
      <c r="E4732" s="332"/>
    </row>
    <row r="4733" spans="5:5" x14ac:dyDescent="0.2">
      <c r="E4733" s="332"/>
    </row>
    <row r="4734" spans="5:5" x14ac:dyDescent="0.2">
      <c r="E4734" s="332"/>
    </row>
    <row r="4735" spans="5:5" x14ac:dyDescent="0.2">
      <c r="E4735" s="332"/>
    </row>
    <row r="4736" spans="5:5" x14ac:dyDescent="0.2">
      <c r="E4736" s="332"/>
    </row>
    <row r="4737" spans="5:5" x14ac:dyDescent="0.2">
      <c r="E4737" s="332"/>
    </row>
    <row r="4738" spans="5:5" x14ac:dyDescent="0.2">
      <c r="E4738" s="332"/>
    </row>
    <row r="4739" spans="5:5" x14ac:dyDescent="0.2">
      <c r="E4739" s="332"/>
    </row>
    <row r="4740" spans="5:5" x14ac:dyDescent="0.2">
      <c r="E4740" s="332"/>
    </row>
    <row r="4741" spans="5:5" x14ac:dyDescent="0.2">
      <c r="E4741" s="332"/>
    </row>
    <row r="4742" spans="5:5" x14ac:dyDescent="0.2">
      <c r="E4742" s="332"/>
    </row>
    <row r="4743" spans="5:5" x14ac:dyDescent="0.2">
      <c r="E4743" s="332"/>
    </row>
    <row r="4744" spans="5:5" x14ac:dyDescent="0.2">
      <c r="E4744" s="332"/>
    </row>
    <row r="4745" spans="5:5" x14ac:dyDescent="0.2">
      <c r="E4745" s="332"/>
    </row>
    <row r="4746" spans="5:5" x14ac:dyDescent="0.2">
      <c r="E4746" s="332"/>
    </row>
    <row r="4747" spans="5:5" x14ac:dyDescent="0.2">
      <c r="E4747" s="332"/>
    </row>
    <row r="4748" spans="5:5" x14ac:dyDescent="0.2">
      <c r="E4748" s="332"/>
    </row>
    <row r="4749" spans="5:5" x14ac:dyDescent="0.2">
      <c r="E4749" s="332"/>
    </row>
    <row r="4750" spans="5:5" x14ac:dyDescent="0.2">
      <c r="E4750" s="332"/>
    </row>
    <row r="4751" spans="5:5" x14ac:dyDescent="0.2">
      <c r="E4751" s="332"/>
    </row>
    <row r="4752" spans="5:5" x14ac:dyDescent="0.2">
      <c r="E4752" s="332"/>
    </row>
    <row r="4753" spans="5:5" x14ac:dyDescent="0.2">
      <c r="E4753" s="332"/>
    </row>
    <row r="4754" spans="5:5" x14ac:dyDescent="0.2">
      <c r="E4754" s="332"/>
    </row>
    <row r="4755" spans="5:5" x14ac:dyDescent="0.2">
      <c r="E4755" s="332"/>
    </row>
    <row r="4756" spans="5:5" x14ac:dyDescent="0.2">
      <c r="E4756" s="332"/>
    </row>
    <row r="4757" spans="5:5" x14ac:dyDescent="0.2">
      <c r="E4757" s="332"/>
    </row>
    <row r="4758" spans="5:5" x14ac:dyDescent="0.2">
      <c r="E4758" s="332"/>
    </row>
    <row r="4759" spans="5:5" x14ac:dyDescent="0.2">
      <c r="E4759" s="332"/>
    </row>
    <row r="4760" spans="5:5" x14ac:dyDescent="0.2">
      <c r="E4760" s="332"/>
    </row>
    <row r="4761" spans="5:5" x14ac:dyDescent="0.2">
      <c r="E4761" s="332"/>
    </row>
    <row r="4762" spans="5:5" x14ac:dyDescent="0.2">
      <c r="E4762" s="332"/>
    </row>
    <row r="4763" spans="5:5" x14ac:dyDescent="0.2">
      <c r="E4763" s="332"/>
    </row>
    <row r="4764" spans="5:5" x14ac:dyDescent="0.2">
      <c r="E4764" s="332"/>
    </row>
    <row r="4765" spans="5:5" x14ac:dyDescent="0.2">
      <c r="E4765" s="332"/>
    </row>
    <row r="4766" spans="5:5" x14ac:dyDescent="0.2">
      <c r="E4766" s="332"/>
    </row>
    <row r="4767" spans="5:5" x14ac:dyDescent="0.2">
      <c r="E4767" s="332"/>
    </row>
    <row r="4768" spans="5:5" x14ac:dyDescent="0.2">
      <c r="E4768" s="332"/>
    </row>
    <row r="4769" spans="5:5" x14ac:dyDescent="0.2">
      <c r="E4769" s="332"/>
    </row>
    <row r="4770" spans="5:5" x14ac:dyDescent="0.2">
      <c r="E4770" s="332"/>
    </row>
    <row r="4771" spans="5:5" x14ac:dyDescent="0.2">
      <c r="E4771" s="332"/>
    </row>
    <row r="4772" spans="5:5" x14ac:dyDescent="0.2">
      <c r="E4772" s="332"/>
    </row>
    <row r="4773" spans="5:5" x14ac:dyDescent="0.2">
      <c r="E4773" s="332"/>
    </row>
    <row r="4774" spans="5:5" x14ac:dyDescent="0.2">
      <c r="E4774" s="332"/>
    </row>
    <row r="4775" spans="5:5" x14ac:dyDescent="0.2">
      <c r="E4775" s="332"/>
    </row>
    <row r="4776" spans="5:5" x14ac:dyDescent="0.2">
      <c r="E4776" s="332"/>
    </row>
    <row r="4777" spans="5:5" x14ac:dyDescent="0.2">
      <c r="E4777" s="332"/>
    </row>
    <row r="4778" spans="5:5" x14ac:dyDescent="0.2">
      <c r="E4778" s="332"/>
    </row>
    <row r="4779" spans="5:5" x14ac:dyDescent="0.2">
      <c r="E4779" s="332"/>
    </row>
    <row r="4780" spans="5:5" x14ac:dyDescent="0.2">
      <c r="E4780" s="332"/>
    </row>
    <row r="4781" spans="5:5" x14ac:dyDescent="0.2">
      <c r="E4781" s="332"/>
    </row>
    <row r="4782" spans="5:5" x14ac:dyDescent="0.2">
      <c r="E4782" s="332"/>
    </row>
    <row r="4783" spans="5:5" x14ac:dyDescent="0.2">
      <c r="E4783" s="332"/>
    </row>
    <row r="4784" spans="5:5" x14ac:dyDescent="0.2">
      <c r="E4784" s="332"/>
    </row>
    <row r="4785" spans="5:5" x14ac:dyDescent="0.2">
      <c r="E4785" s="332"/>
    </row>
    <row r="4786" spans="5:5" x14ac:dyDescent="0.2">
      <c r="E4786" s="332"/>
    </row>
    <row r="4787" spans="5:5" x14ac:dyDescent="0.2">
      <c r="E4787" s="332"/>
    </row>
    <row r="4788" spans="5:5" x14ac:dyDescent="0.2">
      <c r="E4788" s="332"/>
    </row>
    <row r="4789" spans="5:5" x14ac:dyDescent="0.2">
      <c r="E4789" s="332"/>
    </row>
    <row r="4790" spans="5:5" x14ac:dyDescent="0.2">
      <c r="E4790" s="332"/>
    </row>
    <row r="4791" spans="5:5" x14ac:dyDescent="0.2">
      <c r="E4791" s="332"/>
    </row>
    <row r="4792" spans="5:5" x14ac:dyDescent="0.2">
      <c r="E4792" s="332"/>
    </row>
    <row r="4793" spans="5:5" x14ac:dyDescent="0.2">
      <c r="E4793" s="332"/>
    </row>
    <row r="4794" spans="5:5" x14ac:dyDescent="0.2">
      <c r="E4794" s="332"/>
    </row>
    <row r="4795" spans="5:5" x14ac:dyDescent="0.2">
      <c r="E4795" s="332"/>
    </row>
    <row r="4796" spans="5:5" x14ac:dyDescent="0.2">
      <c r="E4796" s="332"/>
    </row>
    <row r="4797" spans="5:5" x14ac:dyDescent="0.2">
      <c r="E4797" s="332"/>
    </row>
    <row r="4798" spans="5:5" x14ac:dyDescent="0.2">
      <c r="E4798" s="332"/>
    </row>
    <row r="4799" spans="5:5" x14ac:dyDescent="0.2">
      <c r="E4799" s="332"/>
    </row>
    <row r="4800" spans="5:5" x14ac:dyDescent="0.2">
      <c r="E4800" s="332"/>
    </row>
    <row r="4801" spans="5:5" x14ac:dyDescent="0.2">
      <c r="E4801" s="332"/>
    </row>
    <row r="4802" spans="5:5" x14ac:dyDescent="0.2">
      <c r="E4802" s="332"/>
    </row>
    <row r="4803" spans="5:5" x14ac:dyDescent="0.2">
      <c r="E4803" s="332"/>
    </row>
    <row r="4804" spans="5:5" x14ac:dyDescent="0.2">
      <c r="E4804" s="332"/>
    </row>
    <row r="4805" spans="5:5" x14ac:dyDescent="0.2">
      <c r="E4805" s="332"/>
    </row>
    <row r="4806" spans="5:5" x14ac:dyDescent="0.2">
      <c r="E4806" s="332"/>
    </row>
    <row r="4807" spans="5:5" x14ac:dyDescent="0.2">
      <c r="E4807" s="332"/>
    </row>
    <row r="4808" spans="5:5" x14ac:dyDescent="0.2">
      <c r="E4808" s="332"/>
    </row>
    <row r="4809" spans="5:5" x14ac:dyDescent="0.2">
      <c r="E4809" s="332"/>
    </row>
    <row r="4810" spans="5:5" x14ac:dyDescent="0.2">
      <c r="E4810" s="332"/>
    </row>
    <row r="4811" spans="5:5" x14ac:dyDescent="0.2">
      <c r="E4811" s="332"/>
    </row>
    <row r="4812" spans="5:5" x14ac:dyDescent="0.2">
      <c r="E4812" s="332"/>
    </row>
    <row r="4813" spans="5:5" x14ac:dyDescent="0.2">
      <c r="E4813" s="332"/>
    </row>
    <row r="4814" spans="5:5" x14ac:dyDescent="0.2">
      <c r="E4814" s="332"/>
    </row>
    <row r="4815" spans="5:5" x14ac:dyDescent="0.2">
      <c r="E4815" s="332"/>
    </row>
    <row r="4816" spans="5:5" x14ac:dyDescent="0.2">
      <c r="E4816" s="332"/>
    </row>
    <row r="4817" spans="5:5" x14ac:dyDescent="0.2">
      <c r="E4817" s="332"/>
    </row>
    <row r="4818" spans="5:5" x14ac:dyDescent="0.2">
      <c r="E4818" s="332"/>
    </row>
    <row r="4819" spans="5:5" x14ac:dyDescent="0.2">
      <c r="E4819" s="332"/>
    </row>
    <row r="4820" spans="5:5" x14ac:dyDescent="0.2">
      <c r="E4820" s="332"/>
    </row>
    <row r="4821" spans="5:5" x14ac:dyDescent="0.2">
      <c r="E4821" s="332"/>
    </row>
    <row r="4822" spans="5:5" x14ac:dyDescent="0.2">
      <c r="E4822" s="332"/>
    </row>
    <row r="4823" spans="5:5" x14ac:dyDescent="0.2">
      <c r="E4823" s="332"/>
    </row>
    <row r="4824" spans="5:5" x14ac:dyDescent="0.2">
      <c r="E4824" s="332"/>
    </row>
    <row r="4825" spans="5:5" x14ac:dyDescent="0.2">
      <c r="E4825" s="332"/>
    </row>
    <row r="4826" spans="5:5" x14ac:dyDescent="0.2">
      <c r="E4826" s="332"/>
    </row>
    <row r="4827" spans="5:5" x14ac:dyDescent="0.2">
      <c r="E4827" s="332"/>
    </row>
    <row r="4828" spans="5:5" x14ac:dyDescent="0.2">
      <c r="E4828" s="332"/>
    </row>
    <row r="4829" spans="5:5" x14ac:dyDescent="0.2">
      <c r="E4829" s="332"/>
    </row>
    <row r="4830" spans="5:5" x14ac:dyDescent="0.2">
      <c r="E4830" s="332"/>
    </row>
    <row r="4831" spans="5:5" x14ac:dyDescent="0.2">
      <c r="E4831" s="332"/>
    </row>
    <row r="4832" spans="5:5" x14ac:dyDescent="0.2">
      <c r="E4832" s="332"/>
    </row>
    <row r="4833" spans="5:5" x14ac:dyDescent="0.2">
      <c r="E4833" s="332"/>
    </row>
    <row r="4834" spans="5:5" x14ac:dyDescent="0.2">
      <c r="E4834" s="332"/>
    </row>
    <row r="4835" spans="5:5" x14ac:dyDescent="0.2">
      <c r="E4835" s="332"/>
    </row>
    <row r="4836" spans="5:5" x14ac:dyDescent="0.2">
      <c r="E4836" s="332"/>
    </row>
    <row r="4837" spans="5:5" x14ac:dyDescent="0.2">
      <c r="E4837" s="332"/>
    </row>
    <row r="4838" spans="5:5" x14ac:dyDescent="0.2">
      <c r="E4838" s="332"/>
    </row>
    <row r="4839" spans="5:5" x14ac:dyDescent="0.2">
      <c r="E4839" s="332"/>
    </row>
    <row r="4840" spans="5:5" x14ac:dyDescent="0.2">
      <c r="E4840" s="332"/>
    </row>
    <row r="4841" spans="5:5" x14ac:dyDescent="0.2">
      <c r="E4841" s="332"/>
    </row>
    <row r="4842" spans="5:5" x14ac:dyDescent="0.2">
      <c r="E4842" s="332"/>
    </row>
    <row r="4843" spans="5:5" x14ac:dyDescent="0.2">
      <c r="E4843" s="332"/>
    </row>
    <row r="4844" spans="5:5" x14ac:dyDescent="0.2">
      <c r="E4844" s="332"/>
    </row>
    <row r="4845" spans="5:5" x14ac:dyDescent="0.2">
      <c r="E4845" s="332"/>
    </row>
    <row r="4846" spans="5:5" x14ac:dyDescent="0.2">
      <c r="E4846" s="332"/>
    </row>
    <row r="4847" spans="5:5" x14ac:dyDescent="0.2">
      <c r="E4847" s="332"/>
    </row>
    <row r="4848" spans="5:5" x14ac:dyDescent="0.2">
      <c r="E4848" s="332"/>
    </row>
    <row r="4849" spans="5:5" x14ac:dyDescent="0.2">
      <c r="E4849" s="332"/>
    </row>
    <row r="4850" spans="5:5" x14ac:dyDescent="0.2">
      <c r="E4850" s="332"/>
    </row>
    <row r="4851" spans="5:5" x14ac:dyDescent="0.2">
      <c r="E4851" s="332"/>
    </row>
    <row r="4852" spans="5:5" x14ac:dyDescent="0.2">
      <c r="E4852" s="332"/>
    </row>
    <row r="4853" spans="5:5" x14ac:dyDescent="0.2">
      <c r="E4853" s="332"/>
    </row>
    <row r="4854" spans="5:5" x14ac:dyDescent="0.2">
      <c r="E4854" s="332"/>
    </row>
    <row r="4855" spans="5:5" x14ac:dyDescent="0.2">
      <c r="E4855" s="332"/>
    </row>
    <row r="4856" spans="5:5" x14ac:dyDescent="0.2">
      <c r="E4856" s="332"/>
    </row>
    <row r="4857" spans="5:5" x14ac:dyDescent="0.2">
      <c r="E4857" s="332"/>
    </row>
    <row r="4858" spans="5:5" x14ac:dyDescent="0.2">
      <c r="E4858" s="332"/>
    </row>
    <row r="4859" spans="5:5" x14ac:dyDescent="0.2">
      <c r="E4859" s="332"/>
    </row>
    <row r="4860" spans="5:5" x14ac:dyDescent="0.2">
      <c r="E4860" s="332"/>
    </row>
    <row r="4861" spans="5:5" x14ac:dyDescent="0.2">
      <c r="E4861" s="332"/>
    </row>
    <row r="4862" spans="5:5" x14ac:dyDescent="0.2">
      <c r="E4862" s="332"/>
    </row>
    <row r="4863" spans="5:5" x14ac:dyDescent="0.2">
      <c r="E4863" s="332"/>
    </row>
    <row r="4864" spans="5:5" x14ac:dyDescent="0.2">
      <c r="E4864" s="332"/>
    </row>
    <row r="4865" spans="5:5" x14ac:dyDescent="0.2">
      <c r="E4865" s="332"/>
    </row>
    <row r="4866" spans="5:5" x14ac:dyDescent="0.2">
      <c r="E4866" s="332"/>
    </row>
    <row r="4867" spans="5:5" x14ac:dyDescent="0.2">
      <c r="E4867" s="332"/>
    </row>
    <row r="4868" spans="5:5" x14ac:dyDescent="0.2">
      <c r="E4868" s="332"/>
    </row>
    <row r="4869" spans="5:5" x14ac:dyDescent="0.2">
      <c r="E4869" s="332"/>
    </row>
    <row r="4870" spans="5:5" x14ac:dyDescent="0.2">
      <c r="E4870" s="332"/>
    </row>
    <row r="4871" spans="5:5" x14ac:dyDescent="0.2">
      <c r="E4871" s="332"/>
    </row>
    <row r="4872" spans="5:5" x14ac:dyDescent="0.2">
      <c r="E4872" s="332"/>
    </row>
    <row r="4873" spans="5:5" x14ac:dyDescent="0.2">
      <c r="E4873" s="332"/>
    </row>
    <row r="4874" spans="5:5" x14ac:dyDescent="0.2">
      <c r="E4874" s="332"/>
    </row>
    <row r="4875" spans="5:5" x14ac:dyDescent="0.2">
      <c r="E4875" s="332"/>
    </row>
    <row r="4876" spans="5:5" x14ac:dyDescent="0.2">
      <c r="E4876" s="332"/>
    </row>
    <row r="4877" spans="5:5" x14ac:dyDescent="0.2">
      <c r="E4877" s="332"/>
    </row>
    <row r="4878" spans="5:5" x14ac:dyDescent="0.2">
      <c r="E4878" s="332"/>
    </row>
    <row r="4879" spans="5:5" x14ac:dyDescent="0.2">
      <c r="E4879" s="332"/>
    </row>
    <row r="4880" spans="5:5" x14ac:dyDescent="0.2">
      <c r="E4880" s="332"/>
    </row>
    <row r="4881" spans="5:5" x14ac:dyDescent="0.2">
      <c r="E4881" s="332"/>
    </row>
    <row r="4882" spans="5:5" x14ac:dyDescent="0.2">
      <c r="E4882" s="332"/>
    </row>
    <row r="4883" spans="5:5" x14ac:dyDescent="0.2">
      <c r="E4883" s="332"/>
    </row>
    <row r="4884" spans="5:5" x14ac:dyDescent="0.2">
      <c r="E4884" s="332"/>
    </row>
    <row r="4885" spans="5:5" x14ac:dyDescent="0.2">
      <c r="E4885" s="332"/>
    </row>
    <row r="4886" spans="5:5" x14ac:dyDescent="0.2">
      <c r="E4886" s="332"/>
    </row>
    <row r="4887" spans="5:5" x14ac:dyDescent="0.2">
      <c r="E4887" s="332"/>
    </row>
    <row r="4888" spans="5:5" x14ac:dyDescent="0.2">
      <c r="E4888" s="332"/>
    </row>
    <row r="4889" spans="5:5" x14ac:dyDescent="0.2">
      <c r="E4889" s="332"/>
    </row>
    <row r="4890" spans="5:5" x14ac:dyDescent="0.2">
      <c r="E4890" s="332"/>
    </row>
    <row r="4891" spans="5:5" x14ac:dyDescent="0.2">
      <c r="E4891" s="332"/>
    </row>
    <row r="4892" spans="5:5" x14ac:dyDescent="0.2">
      <c r="E4892" s="332"/>
    </row>
    <row r="4893" spans="5:5" x14ac:dyDescent="0.2">
      <c r="E4893" s="332"/>
    </row>
    <row r="4894" spans="5:5" x14ac:dyDescent="0.2">
      <c r="E4894" s="332"/>
    </row>
    <row r="4895" spans="5:5" x14ac:dyDescent="0.2">
      <c r="E4895" s="332"/>
    </row>
    <row r="4896" spans="5:5" x14ac:dyDescent="0.2">
      <c r="E4896" s="332"/>
    </row>
    <row r="4897" spans="5:5" x14ac:dyDescent="0.2">
      <c r="E4897" s="332"/>
    </row>
    <row r="4898" spans="5:5" x14ac:dyDescent="0.2">
      <c r="E4898" s="332"/>
    </row>
    <row r="4899" spans="5:5" x14ac:dyDescent="0.2">
      <c r="E4899" s="332"/>
    </row>
    <row r="4900" spans="5:5" x14ac:dyDescent="0.2">
      <c r="E4900" s="332"/>
    </row>
    <row r="4901" spans="5:5" x14ac:dyDescent="0.2">
      <c r="E4901" s="332"/>
    </row>
    <row r="4902" spans="5:5" x14ac:dyDescent="0.2">
      <c r="E4902" s="332"/>
    </row>
    <row r="4903" spans="5:5" x14ac:dyDescent="0.2">
      <c r="E4903" s="332"/>
    </row>
    <row r="4904" spans="5:5" x14ac:dyDescent="0.2">
      <c r="E4904" s="332"/>
    </row>
    <row r="4905" spans="5:5" x14ac:dyDescent="0.2">
      <c r="E4905" s="332"/>
    </row>
    <row r="4906" spans="5:5" x14ac:dyDescent="0.2">
      <c r="E4906" s="332"/>
    </row>
    <row r="4907" spans="5:5" x14ac:dyDescent="0.2">
      <c r="E4907" s="332"/>
    </row>
    <row r="4908" spans="5:5" x14ac:dyDescent="0.2">
      <c r="E4908" s="332"/>
    </row>
    <row r="4909" spans="5:5" x14ac:dyDescent="0.2">
      <c r="E4909" s="332"/>
    </row>
    <row r="4910" spans="5:5" x14ac:dyDescent="0.2">
      <c r="E4910" s="332"/>
    </row>
    <row r="4911" spans="5:5" x14ac:dyDescent="0.2">
      <c r="E4911" s="332"/>
    </row>
    <row r="4912" spans="5:5" x14ac:dyDescent="0.2">
      <c r="E4912" s="332"/>
    </row>
    <row r="4913" spans="5:5" x14ac:dyDescent="0.2">
      <c r="E4913" s="332"/>
    </row>
    <row r="4914" spans="5:5" x14ac:dyDescent="0.2">
      <c r="E4914" s="332"/>
    </row>
    <row r="4915" spans="5:5" x14ac:dyDescent="0.2">
      <c r="E4915" s="332"/>
    </row>
    <row r="4916" spans="5:5" x14ac:dyDescent="0.2">
      <c r="E4916" s="332"/>
    </row>
    <row r="4917" spans="5:5" x14ac:dyDescent="0.2">
      <c r="E4917" s="332"/>
    </row>
    <row r="4918" spans="5:5" x14ac:dyDescent="0.2">
      <c r="E4918" s="332"/>
    </row>
    <row r="4919" spans="5:5" x14ac:dyDescent="0.2">
      <c r="E4919" s="332"/>
    </row>
    <row r="4920" spans="5:5" x14ac:dyDescent="0.2">
      <c r="E4920" s="332"/>
    </row>
    <row r="4921" spans="5:5" x14ac:dyDescent="0.2">
      <c r="E4921" s="332"/>
    </row>
    <row r="4922" spans="5:5" x14ac:dyDescent="0.2">
      <c r="E4922" s="332"/>
    </row>
    <row r="4923" spans="5:5" x14ac:dyDescent="0.2">
      <c r="E4923" s="332"/>
    </row>
    <row r="4924" spans="5:5" x14ac:dyDescent="0.2">
      <c r="E4924" s="332"/>
    </row>
    <row r="4925" spans="5:5" x14ac:dyDescent="0.2">
      <c r="E4925" s="332"/>
    </row>
    <row r="4926" spans="5:5" x14ac:dyDescent="0.2">
      <c r="E4926" s="332"/>
    </row>
    <row r="4927" spans="5:5" x14ac:dyDescent="0.2">
      <c r="E4927" s="332"/>
    </row>
    <row r="4928" spans="5:5" x14ac:dyDescent="0.2">
      <c r="E4928" s="332"/>
    </row>
    <row r="4929" spans="5:5" x14ac:dyDescent="0.2">
      <c r="E4929" s="332"/>
    </row>
    <row r="4930" spans="5:5" x14ac:dyDescent="0.2">
      <c r="E4930" s="332"/>
    </row>
    <row r="4931" spans="5:5" x14ac:dyDescent="0.2">
      <c r="E4931" s="332"/>
    </row>
    <row r="4932" spans="5:5" x14ac:dyDescent="0.2">
      <c r="E4932" s="332"/>
    </row>
    <row r="4933" spans="5:5" x14ac:dyDescent="0.2">
      <c r="E4933" s="332"/>
    </row>
    <row r="4934" spans="5:5" x14ac:dyDescent="0.2">
      <c r="E4934" s="332"/>
    </row>
    <row r="4935" spans="5:5" x14ac:dyDescent="0.2">
      <c r="E4935" s="332"/>
    </row>
    <row r="4936" spans="5:5" x14ac:dyDescent="0.2">
      <c r="E4936" s="332"/>
    </row>
    <row r="4937" spans="5:5" x14ac:dyDescent="0.2">
      <c r="E4937" s="332"/>
    </row>
    <row r="4938" spans="5:5" x14ac:dyDescent="0.2">
      <c r="E4938" s="332"/>
    </row>
    <row r="4939" spans="5:5" x14ac:dyDescent="0.2">
      <c r="E4939" s="332"/>
    </row>
    <row r="4940" spans="5:5" x14ac:dyDescent="0.2">
      <c r="E4940" s="332"/>
    </row>
    <row r="4941" spans="5:5" x14ac:dyDescent="0.2">
      <c r="E4941" s="332"/>
    </row>
    <row r="4942" spans="5:5" x14ac:dyDescent="0.2">
      <c r="E4942" s="332"/>
    </row>
    <row r="4943" spans="5:5" x14ac:dyDescent="0.2">
      <c r="E4943" s="332"/>
    </row>
    <row r="4944" spans="5:5" x14ac:dyDescent="0.2">
      <c r="E4944" s="332"/>
    </row>
    <row r="4945" spans="5:5" x14ac:dyDescent="0.2">
      <c r="E4945" s="332"/>
    </row>
    <row r="4946" spans="5:5" x14ac:dyDescent="0.2">
      <c r="E4946" s="332"/>
    </row>
    <row r="4947" spans="5:5" x14ac:dyDescent="0.2">
      <c r="E4947" s="332"/>
    </row>
    <row r="4948" spans="5:5" x14ac:dyDescent="0.2">
      <c r="E4948" s="332"/>
    </row>
    <row r="4949" spans="5:5" x14ac:dyDescent="0.2">
      <c r="E4949" s="332"/>
    </row>
    <row r="4950" spans="5:5" x14ac:dyDescent="0.2">
      <c r="E4950" s="332"/>
    </row>
    <row r="4951" spans="5:5" x14ac:dyDescent="0.2">
      <c r="E4951" s="332"/>
    </row>
    <row r="4952" spans="5:5" x14ac:dyDescent="0.2">
      <c r="E4952" s="332"/>
    </row>
    <row r="4953" spans="5:5" x14ac:dyDescent="0.2">
      <c r="E4953" s="332"/>
    </row>
    <row r="4954" spans="5:5" x14ac:dyDescent="0.2">
      <c r="E4954" s="332"/>
    </row>
    <row r="4955" spans="5:5" x14ac:dyDescent="0.2">
      <c r="E4955" s="332"/>
    </row>
    <row r="4956" spans="5:5" x14ac:dyDescent="0.2">
      <c r="E4956" s="332"/>
    </row>
    <row r="4957" spans="5:5" x14ac:dyDescent="0.2">
      <c r="E4957" s="332"/>
    </row>
    <row r="4958" spans="5:5" x14ac:dyDescent="0.2">
      <c r="E4958" s="332"/>
    </row>
    <row r="4959" spans="5:5" x14ac:dyDescent="0.2">
      <c r="E4959" s="332"/>
    </row>
    <row r="4960" spans="5:5" x14ac:dyDescent="0.2">
      <c r="E4960" s="332"/>
    </row>
    <row r="4961" spans="5:5" x14ac:dyDescent="0.2">
      <c r="E4961" s="332"/>
    </row>
    <row r="4962" spans="5:5" x14ac:dyDescent="0.2">
      <c r="E4962" s="332"/>
    </row>
    <row r="4963" spans="5:5" x14ac:dyDescent="0.2">
      <c r="E4963" s="332"/>
    </row>
    <row r="4964" spans="5:5" x14ac:dyDescent="0.2">
      <c r="E4964" s="332"/>
    </row>
    <row r="4965" spans="5:5" x14ac:dyDescent="0.2">
      <c r="E4965" s="332"/>
    </row>
    <row r="4966" spans="5:5" x14ac:dyDescent="0.2">
      <c r="E4966" s="332"/>
    </row>
    <row r="4967" spans="5:5" x14ac:dyDescent="0.2">
      <c r="E4967" s="332"/>
    </row>
    <row r="4968" spans="5:5" x14ac:dyDescent="0.2">
      <c r="E4968" s="332"/>
    </row>
    <row r="4969" spans="5:5" x14ac:dyDescent="0.2">
      <c r="E4969" s="332"/>
    </row>
    <row r="4970" spans="5:5" x14ac:dyDescent="0.2">
      <c r="E4970" s="332"/>
    </row>
    <row r="4971" spans="5:5" x14ac:dyDescent="0.2">
      <c r="E4971" s="332"/>
    </row>
    <row r="4972" spans="5:5" x14ac:dyDescent="0.2">
      <c r="E4972" s="332"/>
    </row>
    <row r="4973" spans="5:5" x14ac:dyDescent="0.2">
      <c r="E4973" s="332"/>
    </row>
    <row r="4974" spans="5:5" x14ac:dyDescent="0.2">
      <c r="E4974" s="332"/>
    </row>
    <row r="4975" spans="5:5" x14ac:dyDescent="0.2">
      <c r="E4975" s="332"/>
    </row>
    <row r="4976" spans="5:5" x14ac:dyDescent="0.2">
      <c r="E4976" s="332"/>
    </row>
    <row r="4977" spans="5:5" x14ac:dyDescent="0.2">
      <c r="E4977" s="332"/>
    </row>
    <row r="4978" spans="5:5" x14ac:dyDescent="0.2">
      <c r="E4978" s="332"/>
    </row>
    <row r="4979" spans="5:5" x14ac:dyDescent="0.2">
      <c r="E4979" s="332"/>
    </row>
    <row r="4980" spans="5:5" x14ac:dyDescent="0.2">
      <c r="E4980" s="332"/>
    </row>
    <row r="4981" spans="5:5" x14ac:dyDescent="0.2">
      <c r="E4981" s="332"/>
    </row>
    <row r="4982" spans="5:5" x14ac:dyDescent="0.2">
      <c r="E4982" s="332"/>
    </row>
    <row r="4983" spans="5:5" x14ac:dyDescent="0.2">
      <c r="E4983" s="332"/>
    </row>
    <row r="4984" spans="5:5" x14ac:dyDescent="0.2">
      <c r="E4984" s="332"/>
    </row>
    <row r="4985" spans="5:5" x14ac:dyDescent="0.2">
      <c r="E4985" s="332"/>
    </row>
    <row r="4986" spans="5:5" x14ac:dyDescent="0.2">
      <c r="E4986" s="332"/>
    </row>
    <row r="4987" spans="5:5" x14ac:dyDescent="0.2">
      <c r="E4987" s="332"/>
    </row>
    <row r="4988" spans="5:5" x14ac:dyDescent="0.2">
      <c r="E4988" s="332"/>
    </row>
    <row r="4989" spans="5:5" x14ac:dyDescent="0.2">
      <c r="E4989" s="332"/>
    </row>
    <row r="4990" spans="5:5" x14ac:dyDescent="0.2">
      <c r="E4990" s="332"/>
    </row>
    <row r="4991" spans="5:5" x14ac:dyDescent="0.2">
      <c r="E4991" s="332"/>
    </row>
    <row r="4992" spans="5:5" x14ac:dyDescent="0.2">
      <c r="E4992" s="332"/>
    </row>
    <row r="4993" spans="5:5" x14ac:dyDescent="0.2">
      <c r="E4993" s="332"/>
    </row>
    <row r="4994" spans="5:5" x14ac:dyDescent="0.2">
      <c r="E4994" s="332"/>
    </row>
    <row r="4995" spans="5:5" x14ac:dyDescent="0.2">
      <c r="E4995" s="332"/>
    </row>
    <row r="4996" spans="5:5" x14ac:dyDescent="0.2">
      <c r="E4996" s="332"/>
    </row>
    <row r="4997" spans="5:5" x14ac:dyDescent="0.2">
      <c r="E4997" s="332"/>
    </row>
    <row r="4998" spans="5:5" x14ac:dyDescent="0.2">
      <c r="E4998" s="332"/>
    </row>
    <row r="4999" spans="5:5" x14ac:dyDescent="0.2">
      <c r="E4999" s="332"/>
    </row>
    <row r="5000" spans="5:5" x14ac:dyDescent="0.2">
      <c r="E5000" s="332"/>
    </row>
    <row r="5001" spans="5:5" x14ac:dyDescent="0.2">
      <c r="E5001" s="332"/>
    </row>
    <row r="5002" spans="5:5" x14ac:dyDescent="0.2">
      <c r="E5002" s="332"/>
    </row>
    <row r="5003" spans="5:5" x14ac:dyDescent="0.2">
      <c r="E5003" s="332"/>
    </row>
    <row r="5004" spans="5:5" x14ac:dyDescent="0.2">
      <c r="E5004" s="332"/>
    </row>
    <row r="5005" spans="5:5" x14ac:dyDescent="0.2">
      <c r="E5005" s="332"/>
    </row>
    <row r="5006" spans="5:5" x14ac:dyDescent="0.2">
      <c r="E5006" s="332"/>
    </row>
    <row r="5007" spans="5:5" x14ac:dyDescent="0.2">
      <c r="E5007" s="332"/>
    </row>
    <row r="5008" spans="5:5" x14ac:dyDescent="0.2">
      <c r="E5008" s="332"/>
    </row>
    <row r="5009" spans="5:5" x14ac:dyDescent="0.2">
      <c r="E5009" s="332"/>
    </row>
    <row r="5010" spans="5:5" x14ac:dyDescent="0.2">
      <c r="E5010" s="332"/>
    </row>
    <row r="5011" spans="5:5" x14ac:dyDescent="0.2">
      <c r="E5011" s="332"/>
    </row>
    <row r="5012" spans="5:5" x14ac:dyDescent="0.2">
      <c r="E5012" s="332"/>
    </row>
    <row r="5013" spans="5:5" x14ac:dyDescent="0.2">
      <c r="E5013" s="332"/>
    </row>
    <row r="5014" spans="5:5" x14ac:dyDescent="0.2">
      <c r="E5014" s="332"/>
    </row>
    <row r="5015" spans="5:5" x14ac:dyDescent="0.2">
      <c r="E5015" s="332"/>
    </row>
    <row r="5016" spans="5:5" x14ac:dyDescent="0.2">
      <c r="E5016" s="332"/>
    </row>
    <row r="5017" spans="5:5" x14ac:dyDescent="0.2">
      <c r="E5017" s="332"/>
    </row>
    <row r="5018" spans="5:5" x14ac:dyDescent="0.2">
      <c r="E5018" s="332"/>
    </row>
    <row r="5019" spans="5:5" x14ac:dyDescent="0.2">
      <c r="E5019" s="332"/>
    </row>
    <row r="5020" spans="5:5" x14ac:dyDescent="0.2">
      <c r="E5020" s="332"/>
    </row>
    <row r="5021" spans="5:5" x14ac:dyDescent="0.2">
      <c r="E5021" s="332"/>
    </row>
    <row r="5022" spans="5:5" x14ac:dyDescent="0.2">
      <c r="E5022" s="332"/>
    </row>
    <row r="5023" spans="5:5" x14ac:dyDescent="0.2">
      <c r="E5023" s="332"/>
    </row>
    <row r="5024" spans="5:5" x14ac:dyDescent="0.2">
      <c r="E5024" s="332"/>
    </row>
    <row r="5025" spans="5:5" x14ac:dyDescent="0.2">
      <c r="E5025" s="332"/>
    </row>
    <row r="5026" spans="5:5" x14ac:dyDescent="0.2">
      <c r="E5026" s="332"/>
    </row>
    <row r="5027" spans="5:5" x14ac:dyDescent="0.2">
      <c r="E5027" s="332"/>
    </row>
    <row r="5028" spans="5:5" x14ac:dyDescent="0.2">
      <c r="E5028" s="332"/>
    </row>
    <row r="5029" spans="5:5" x14ac:dyDescent="0.2">
      <c r="E5029" s="332"/>
    </row>
    <row r="5030" spans="5:5" x14ac:dyDescent="0.2">
      <c r="E5030" s="332"/>
    </row>
    <row r="5031" spans="5:5" x14ac:dyDescent="0.2">
      <c r="E5031" s="332"/>
    </row>
    <row r="5032" spans="5:5" x14ac:dyDescent="0.2">
      <c r="E5032" s="332"/>
    </row>
    <row r="5033" spans="5:5" x14ac:dyDescent="0.2">
      <c r="E5033" s="332"/>
    </row>
    <row r="5034" spans="5:5" x14ac:dyDescent="0.2">
      <c r="E5034" s="332"/>
    </row>
    <row r="5035" spans="5:5" x14ac:dyDescent="0.2">
      <c r="E5035" s="332"/>
    </row>
    <row r="5036" spans="5:5" x14ac:dyDescent="0.2">
      <c r="E5036" s="332"/>
    </row>
    <row r="5037" spans="5:5" x14ac:dyDescent="0.2">
      <c r="E5037" s="332"/>
    </row>
    <row r="5038" spans="5:5" x14ac:dyDescent="0.2">
      <c r="E5038" s="332"/>
    </row>
    <row r="5039" spans="5:5" x14ac:dyDescent="0.2">
      <c r="E5039" s="332"/>
    </row>
    <row r="5040" spans="5:5" x14ac:dyDescent="0.2">
      <c r="E5040" s="332"/>
    </row>
    <row r="5041" spans="5:5" x14ac:dyDescent="0.2">
      <c r="E5041" s="332"/>
    </row>
    <row r="5042" spans="5:5" x14ac:dyDescent="0.2">
      <c r="E5042" s="332"/>
    </row>
    <row r="5043" spans="5:5" x14ac:dyDescent="0.2">
      <c r="E5043" s="332"/>
    </row>
    <row r="5044" spans="5:5" x14ac:dyDescent="0.2">
      <c r="E5044" s="332"/>
    </row>
    <row r="5045" spans="5:5" x14ac:dyDescent="0.2">
      <c r="E5045" s="332"/>
    </row>
    <row r="5046" spans="5:5" x14ac:dyDescent="0.2">
      <c r="E5046" s="332"/>
    </row>
    <row r="5047" spans="5:5" x14ac:dyDescent="0.2">
      <c r="E5047" s="332"/>
    </row>
    <row r="5048" spans="5:5" x14ac:dyDescent="0.2">
      <c r="E5048" s="332"/>
    </row>
    <row r="5049" spans="5:5" x14ac:dyDescent="0.2">
      <c r="E5049" s="332"/>
    </row>
    <row r="5050" spans="5:5" x14ac:dyDescent="0.2">
      <c r="E5050" s="332"/>
    </row>
    <row r="5051" spans="5:5" x14ac:dyDescent="0.2">
      <c r="E5051" s="332"/>
    </row>
    <row r="5052" spans="5:5" x14ac:dyDescent="0.2">
      <c r="E5052" s="332"/>
    </row>
    <row r="5053" spans="5:5" x14ac:dyDescent="0.2">
      <c r="E5053" s="332"/>
    </row>
    <row r="5054" spans="5:5" x14ac:dyDescent="0.2">
      <c r="E5054" s="332"/>
    </row>
    <row r="5055" spans="5:5" x14ac:dyDescent="0.2">
      <c r="E5055" s="332"/>
    </row>
    <row r="5056" spans="5:5" x14ac:dyDescent="0.2">
      <c r="E5056" s="332"/>
    </row>
    <row r="5057" spans="5:5" x14ac:dyDescent="0.2">
      <c r="E5057" s="332"/>
    </row>
    <row r="5058" spans="5:5" x14ac:dyDescent="0.2">
      <c r="E5058" s="332"/>
    </row>
    <row r="5059" spans="5:5" x14ac:dyDescent="0.2">
      <c r="E5059" s="332"/>
    </row>
    <row r="5060" spans="5:5" x14ac:dyDescent="0.2">
      <c r="E5060" s="332"/>
    </row>
    <row r="5061" spans="5:5" x14ac:dyDescent="0.2">
      <c r="E5061" s="332"/>
    </row>
    <row r="5062" spans="5:5" x14ac:dyDescent="0.2">
      <c r="E5062" s="332"/>
    </row>
    <row r="5063" spans="5:5" x14ac:dyDescent="0.2">
      <c r="E5063" s="332"/>
    </row>
    <row r="5064" spans="5:5" x14ac:dyDescent="0.2">
      <c r="E5064" s="332"/>
    </row>
    <row r="5065" spans="5:5" x14ac:dyDescent="0.2">
      <c r="E5065" s="332"/>
    </row>
    <row r="5066" spans="5:5" x14ac:dyDescent="0.2">
      <c r="E5066" s="332"/>
    </row>
    <row r="5067" spans="5:5" x14ac:dyDescent="0.2">
      <c r="E5067" s="332"/>
    </row>
    <row r="5068" spans="5:5" x14ac:dyDescent="0.2">
      <c r="E5068" s="332"/>
    </row>
    <row r="5069" spans="5:5" x14ac:dyDescent="0.2">
      <c r="E5069" s="332"/>
    </row>
    <row r="5070" spans="5:5" x14ac:dyDescent="0.2">
      <c r="E5070" s="332"/>
    </row>
    <row r="5071" spans="5:5" x14ac:dyDescent="0.2">
      <c r="E5071" s="332"/>
    </row>
    <row r="5072" spans="5:5" x14ac:dyDescent="0.2">
      <c r="E5072" s="332"/>
    </row>
    <row r="5073" spans="5:5" x14ac:dyDescent="0.2">
      <c r="E5073" s="332"/>
    </row>
    <row r="5074" spans="5:5" x14ac:dyDescent="0.2">
      <c r="E5074" s="332"/>
    </row>
    <row r="5075" spans="5:5" x14ac:dyDescent="0.2">
      <c r="E5075" s="332"/>
    </row>
    <row r="5076" spans="5:5" x14ac:dyDescent="0.2">
      <c r="E5076" s="332"/>
    </row>
    <row r="5077" spans="5:5" x14ac:dyDescent="0.2">
      <c r="E5077" s="332"/>
    </row>
    <row r="5078" spans="5:5" x14ac:dyDescent="0.2">
      <c r="E5078" s="332"/>
    </row>
    <row r="5079" spans="5:5" x14ac:dyDescent="0.2">
      <c r="E5079" s="332"/>
    </row>
    <row r="5080" spans="5:5" x14ac:dyDescent="0.2">
      <c r="E5080" s="332"/>
    </row>
    <row r="5081" spans="5:5" x14ac:dyDescent="0.2">
      <c r="E5081" s="332"/>
    </row>
    <row r="5082" spans="5:5" x14ac:dyDescent="0.2">
      <c r="E5082" s="332"/>
    </row>
    <row r="5083" spans="5:5" x14ac:dyDescent="0.2">
      <c r="E5083" s="332"/>
    </row>
    <row r="5084" spans="5:5" x14ac:dyDescent="0.2">
      <c r="E5084" s="332"/>
    </row>
    <row r="5085" spans="5:5" x14ac:dyDescent="0.2">
      <c r="E5085" s="332"/>
    </row>
    <row r="5086" spans="5:5" x14ac:dyDescent="0.2">
      <c r="E5086" s="332"/>
    </row>
    <row r="5087" spans="5:5" x14ac:dyDescent="0.2">
      <c r="E5087" s="332"/>
    </row>
    <row r="5088" spans="5:5" x14ac:dyDescent="0.2">
      <c r="E5088" s="332"/>
    </row>
    <row r="5089" spans="5:5" x14ac:dyDescent="0.2">
      <c r="E5089" s="332"/>
    </row>
    <row r="5090" spans="5:5" x14ac:dyDescent="0.2">
      <c r="E5090" s="332"/>
    </row>
    <row r="5091" spans="5:5" x14ac:dyDescent="0.2">
      <c r="E5091" s="332"/>
    </row>
    <row r="5092" spans="5:5" x14ac:dyDescent="0.2">
      <c r="E5092" s="332"/>
    </row>
    <row r="5093" spans="5:5" x14ac:dyDescent="0.2">
      <c r="E5093" s="332"/>
    </row>
    <row r="5094" spans="5:5" x14ac:dyDescent="0.2">
      <c r="E5094" s="332"/>
    </row>
    <row r="5095" spans="5:5" x14ac:dyDescent="0.2">
      <c r="E5095" s="332"/>
    </row>
    <row r="5096" spans="5:5" x14ac:dyDescent="0.2">
      <c r="E5096" s="332"/>
    </row>
    <row r="5097" spans="5:5" x14ac:dyDescent="0.2">
      <c r="E5097" s="332"/>
    </row>
    <row r="5098" spans="5:5" x14ac:dyDescent="0.2">
      <c r="E5098" s="332"/>
    </row>
    <row r="5099" spans="5:5" x14ac:dyDescent="0.2">
      <c r="E5099" s="332"/>
    </row>
    <row r="5100" spans="5:5" x14ac:dyDescent="0.2">
      <c r="E5100" s="332"/>
    </row>
    <row r="5101" spans="5:5" x14ac:dyDescent="0.2">
      <c r="E5101" s="332"/>
    </row>
    <row r="5102" spans="5:5" x14ac:dyDescent="0.2">
      <c r="E5102" s="332"/>
    </row>
    <row r="5103" spans="5:5" x14ac:dyDescent="0.2">
      <c r="E5103" s="332"/>
    </row>
    <row r="5104" spans="5:5" x14ac:dyDescent="0.2">
      <c r="E5104" s="332"/>
    </row>
    <row r="5105" spans="5:5" x14ac:dyDescent="0.2">
      <c r="E5105" s="332"/>
    </row>
    <row r="5106" spans="5:5" x14ac:dyDescent="0.2">
      <c r="E5106" s="332"/>
    </row>
    <row r="5107" spans="5:5" x14ac:dyDescent="0.2">
      <c r="E5107" s="332"/>
    </row>
    <row r="5108" spans="5:5" x14ac:dyDescent="0.2">
      <c r="E5108" s="332"/>
    </row>
    <row r="5109" spans="5:5" x14ac:dyDescent="0.2">
      <c r="E5109" s="332"/>
    </row>
    <row r="5110" spans="5:5" x14ac:dyDescent="0.2">
      <c r="E5110" s="332"/>
    </row>
    <row r="5111" spans="5:5" x14ac:dyDescent="0.2">
      <c r="E5111" s="332"/>
    </row>
    <row r="5112" spans="5:5" x14ac:dyDescent="0.2">
      <c r="E5112" s="332"/>
    </row>
    <row r="5113" spans="5:5" x14ac:dyDescent="0.2">
      <c r="E5113" s="332"/>
    </row>
    <row r="5114" spans="5:5" x14ac:dyDescent="0.2">
      <c r="E5114" s="332"/>
    </row>
    <row r="5115" spans="5:5" x14ac:dyDescent="0.2">
      <c r="E5115" s="332"/>
    </row>
    <row r="5116" spans="5:5" x14ac:dyDescent="0.2">
      <c r="E5116" s="332"/>
    </row>
    <row r="5117" spans="5:5" x14ac:dyDescent="0.2">
      <c r="E5117" s="332"/>
    </row>
    <row r="5118" spans="5:5" x14ac:dyDescent="0.2">
      <c r="E5118" s="332"/>
    </row>
    <row r="5119" spans="5:5" x14ac:dyDescent="0.2">
      <c r="E5119" s="332"/>
    </row>
    <row r="5120" spans="5:5" x14ac:dyDescent="0.2">
      <c r="E5120" s="332"/>
    </row>
    <row r="5121" spans="5:5" x14ac:dyDescent="0.2">
      <c r="E5121" s="332"/>
    </row>
    <row r="5122" spans="5:5" x14ac:dyDescent="0.2">
      <c r="E5122" s="332"/>
    </row>
    <row r="5123" spans="5:5" x14ac:dyDescent="0.2">
      <c r="E5123" s="332"/>
    </row>
    <row r="5124" spans="5:5" x14ac:dyDescent="0.2">
      <c r="E5124" s="332"/>
    </row>
    <row r="5125" spans="5:5" x14ac:dyDescent="0.2">
      <c r="E5125" s="332"/>
    </row>
    <row r="5126" spans="5:5" x14ac:dyDescent="0.2">
      <c r="E5126" s="332"/>
    </row>
    <row r="5127" spans="5:5" x14ac:dyDescent="0.2">
      <c r="E5127" s="332"/>
    </row>
    <row r="5128" spans="5:5" x14ac:dyDescent="0.2">
      <c r="E5128" s="332"/>
    </row>
    <row r="5129" spans="5:5" x14ac:dyDescent="0.2">
      <c r="E5129" s="332"/>
    </row>
    <row r="5130" spans="5:5" x14ac:dyDescent="0.2">
      <c r="E5130" s="332"/>
    </row>
    <row r="5131" spans="5:5" x14ac:dyDescent="0.2">
      <c r="E5131" s="332"/>
    </row>
    <row r="5132" spans="5:5" x14ac:dyDescent="0.2">
      <c r="E5132" s="332"/>
    </row>
    <row r="5133" spans="5:5" x14ac:dyDescent="0.2">
      <c r="E5133" s="332"/>
    </row>
    <row r="5134" spans="5:5" x14ac:dyDescent="0.2">
      <c r="E5134" s="332"/>
    </row>
    <row r="5135" spans="5:5" x14ac:dyDescent="0.2">
      <c r="E5135" s="332"/>
    </row>
    <row r="5136" spans="5:5" x14ac:dyDescent="0.2">
      <c r="E5136" s="332"/>
    </row>
    <row r="5137" spans="5:5" x14ac:dyDescent="0.2">
      <c r="E5137" s="332"/>
    </row>
    <row r="5138" spans="5:5" x14ac:dyDescent="0.2">
      <c r="E5138" s="332"/>
    </row>
    <row r="5139" spans="5:5" x14ac:dyDescent="0.2">
      <c r="E5139" s="332"/>
    </row>
    <row r="5140" spans="5:5" x14ac:dyDescent="0.2">
      <c r="E5140" s="332"/>
    </row>
    <row r="5141" spans="5:5" x14ac:dyDescent="0.2">
      <c r="E5141" s="332"/>
    </row>
    <row r="5142" spans="5:5" x14ac:dyDescent="0.2">
      <c r="E5142" s="332"/>
    </row>
    <row r="5143" spans="5:5" x14ac:dyDescent="0.2">
      <c r="E5143" s="332"/>
    </row>
    <row r="5144" spans="5:5" x14ac:dyDescent="0.2">
      <c r="E5144" s="332"/>
    </row>
    <row r="5145" spans="5:5" x14ac:dyDescent="0.2">
      <c r="E5145" s="332"/>
    </row>
    <row r="5146" spans="5:5" x14ac:dyDescent="0.2">
      <c r="E5146" s="332"/>
    </row>
    <row r="5147" spans="5:5" x14ac:dyDescent="0.2">
      <c r="E5147" s="332"/>
    </row>
    <row r="5148" spans="5:5" x14ac:dyDescent="0.2">
      <c r="E5148" s="332"/>
    </row>
    <row r="5149" spans="5:5" x14ac:dyDescent="0.2">
      <c r="E5149" s="332"/>
    </row>
    <row r="5150" spans="5:5" x14ac:dyDescent="0.2">
      <c r="E5150" s="332"/>
    </row>
    <row r="5151" spans="5:5" x14ac:dyDescent="0.2">
      <c r="E5151" s="332"/>
    </row>
    <row r="5152" spans="5:5" x14ac:dyDescent="0.2">
      <c r="E5152" s="332"/>
    </row>
    <row r="5153" spans="5:5" x14ac:dyDescent="0.2">
      <c r="E5153" s="332"/>
    </row>
    <row r="5154" spans="5:5" x14ac:dyDescent="0.2">
      <c r="E5154" s="332"/>
    </row>
    <row r="5155" spans="5:5" x14ac:dyDescent="0.2">
      <c r="E5155" s="332"/>
    </row>
    <row r="5156" spans="5:5" x14ac:dyDescent="0.2">
      <c r="E5156" s="332"/>
    </row>
    <row r="5157" spans="5:5" x14ac:dyDescent="0.2">
      <c r="E5157" s="332"/>
    </row>
    <row r="5158" spans="5:5" x14ac:dyDescent="0.2">
      <c r="E5158" s="332"/>
    </row>
    <row r="5159" spans="5:5" x14ac:dyDescent="0.2">
      <c r="E5159" s="332"/>
    </row>
    <row r="5160" spans="5:5" x14ac:dyDescent="0.2">
      <c r="E5160" s="332"/>
    </row>
    <row r="5161" spans="5:5" x14ac:dyDescent="0.2">
      <c r="E5161" s="332"/>
    </row>
    <row r="5162" spans="5:5" x14ac:dyDescent="0.2">
      <c r="E5162" s="332"/>
    </row>
    <row r="5163" spans="5:5" x14ac:dyDescent="0.2">
      <c r="E5163" s="332"/>
    </row>
    <row r="5164" spans="5:5" x14ac:dyDescent="0.2">
      <c r="E5164" s="332"/>
    </row>
    <row r="5165" spans="5:5" x14ac:dyDescent="0.2">
      <c r="E5165" s="332"/>
    </row>
    <row r="5166" spans="5:5" x14ac:dyDescent="0.2">
      <c r="E5166" s="332"/>
    </row>
    <row r="5167" spans="5:5" x14ac:dyDescent="0.2">
      <c r="E5167" s="332"/>
    </row>
    <row r="5168" spans="5:5" x14ac:dyDescent="0.2">
      <c r="E5168" s="332"/>
    </row>
    <row r="5169" spans="5:5" x14ac:dyDescent="0.2">
      <c r="E5169" s="332"/>
    </row>
    <row r="5170" spans="5:5" x14ac:dyDescent="0.2">
      <c r="E5170" s="332"/>
    </row>
    <row r="5171" spans="5:5" x14ac:dyDescent="0.2">
      <c r="E5171" s="332"/>
    </row>
    <row r="5172" spans="5:5" x14ac:dyDescent="0.2">
      <c r="E5172" s="332"/>
    </row>
    <row r="5173" spans="5:5" x14ac:dyDescent="0.2">
      <c r="E5173" s="332"/>
    </row>
    <row r="5174" spans="5:5" x14ac:dyDescent="0.2">
      <c r="E5174" s="332"/>
    </row>
    <row r="5175" spans="5:5" x14ac:dyDescent="0.2">
      <c r="E5175" s="332"/>
    </row>
    <row r="5176" spans="5:5" x14ac:dyDescent="0.2">
      <c r="E5176" s="332"/>
    </row>
    <row r="5177" spans="5:5" x14ac:dyDescent="0.2">
      <c r="E5177" s="332"/>
    </row>
    <row r="5178" spans="5:5" x14ac:dyDescent="0.2">
      <c r="E5178" s="332"/>
    </row>
    <row r="5179" spans="5:5" x14ac:dyDescent="0.2">
      <c r="E5179" s="332"/>
    </row>
    <row r="5180" spans="5:5" x14ac:dyDescent="0.2">
      <c r="E5180" s="332"/>
    </row>
    <row r="5181" spans="5:5" x14ac:dyDescent="0.2">
      <c r="E5181" s="332"/>
    </row>
    <row r="5182" spans="5:5" x14ac:dyDescent="0.2">
      <c r="E5182" s="332"/>
    </row>
    <row r="5183" spans="5:5" x14ac:dyDescent="0.2">
      <c r="E5183" s="332"/>
    </row>
    <row r="5184" spans="5:5" x14ac:dyDescent="0.2">
      <c r="E5184" s="332"/>
    </row>
    <row r="5185" spans="5:5" x14ac:dyDescent="0.2">
      <c r="E5185" s="332"/>
    </row>
    <row r="5186" spans="5:5" x14ac:dyDescent="0.2">
      <c r="E5186" s="332"/>
    </row>
    <row r="5187" spans="5:5" x14ac:dyDescent="0.2">
      <c r="E5187" s="332"/>
    </row>
    <row r="5188" spans="5:5" x14ac:dyDescent="0.2">
      <c r="E5188" s="332"/>
    </row>
    <row r="5189" spans="5:5" x14ac:dyDescent="0.2">
      <c r="E5189" s="332"/>
    </row>
    <row r="5190" spans="5:5" x14ac:dyDescent="0.2">
      <c r="E5190" s="332"/>
    </row>
    <row r="5191" spans="5:5" x14ac:dyDescent="0.2">
      <c r="E5191" s="332"/>
    </row>
    <row r="5192" spans="5:5" x14ac:dyDescent="0.2">
      <c r="E5192" s="332"/>
    </row>
    <row r="5193" spans="5:5" x14ac:dyDescent="0.2">
      <c r="E5193" s="332"/>
    </row>
    <row r="5194" spans="5:5" x14ac:dyDescent="0.2">
      <c r="E5194" s="332"/>
    </row>
    <row r="5195" spans="5:5" x14ac:dyDescent="0.2">
      <c r="E5195" s="332"/>
    </row>
    <row r="5196" spans="5:5" x14ac:dyDescent="0.2">
      <c r="E5196" s="332"/>
    </row>
    <row r="5197" spans="5:5" x14ac:dyDescent="0.2">
      <c r="E5197" s="332"/>
    </row>
    <row r="5198" spans="5:5" x14ac:dyDescent="0.2">
      <c r="E5198" s="332"/>
    </row>
    <row r="5199" spans="5:5" x14ac:dyDescent="0.2">
      <c r="E5199" s="332"/>
    </row>
    <row r="5200" spans="5:5" x14ac:dyDescent="0.2">
      <c r="E5200" s="332"/>
    </row>
    <row r="5201" spans="5:5" x14ac:dyDescent="0.2">
      <c r="E5201" s="332"/>
    </row>
    <row r="5202" spans="5:5" x14ac:dyDescent="0.2">
      <c r="E5202" s="332"/>
    </row>
    <row r="5203" spans="5:5" x14ac:dyDescent="0.2">
      <c r="E5203" s="332"/>
    </row>
    <row r="5204" spans="5:5" x14ac:dyDescent="0.2">
      <c r="E5204" s="332"/>
    </row>
    <row r="5205" spans="5:5" x14ac:dyDescent="0.2">
      <c r="E5205" s="332"/>
    </row>
    <row r="5206" spans="5:5" x14ac:dyDescent="0.2">
      <c r="E5206" s="332"/>
    </row>
    <row r="5207" spans="5:5" x14ac:dyDescent="0.2">
      <c r="E5207" s="332"/>
    </row>
    <row r="5208" spans="5:5" x14ac:dyDescent="0.2">
      <c r="E5208" s="332"/>
    </row>
    <row r="5209" spans="5:5" x14ac:dyDescent="0.2">
      <c r="E5209" s="332"/>
    </row>
    <row r="5210" spans="5:5" x14ac:dyDescent="0.2">
      <c r="E5210" s="332"/>
    </row>
    <row r="5211" spans="5:5" x14ac:dyDescent="0.2">
      <c r="E5211" s="332"/>
    </row>
    <row r="5212" spans="5:5" x14ac:dyDescent="0.2">
      <c r="E5212" s="332"/>
    </row>
    <row r="5213" spans="5:5" x14ac:dyDescent="0.2">
      <c r="E5213" s="332"/>
    </row>
    <row r="5214" spans="5:5" x14ac:dyDescent="0.2">
      <c r="E5214" s="332"/>
    </row>
    <row r="5215" spans="5:5" x14ac:dyDescent="0.2">
      <c r="E5215" s="332"/>
    </row>
    <row r="5216" spans="5:5" x14ac:dyDescent="0.2">
      <c r="E5216" s="332"/>
    </row>
    <row r="5217" spans="5:5" x14ac:dyDescent="0.2">
      <c r="E5217" s="332"/>
    </row>
    <row r="5218" spans="5:5" x14ac:dyDescent="0.2">
      <c r="E5218" s="332"/>
    </row>
    <row r="5219" spans="5:5" x14ac:dyDescent="0.2">
      <c r="E5219" s="332"/>
    </row>
    <row r="5220" spans="5:5" x14ac:dyDescent="0.2">
      <c r="E5220" s="332"/>
    </row>
    <row r="5221" spans="5:5" x14ac:dyDescent="0.2">
      <c r="E5221" s="332"/>
    </row>
    <row r="5222" spans="5:5" x14ac:dyDescent="0.2">
      <c r="E5222" s="332"/>
    </row>
    <row r="5223" spans="5:5" x14ac:dyDescent="0.2">
      <c r="E5223" s="332"/>
    </row>
    <row r="5224" spans="5:5" x14ac:dyDescent="0.2">
      <c r="E5224" s="332"/>
    </row>
    <row r="5225" spans="5:5" x14ac:dyDescent="0.2">
      <c r="E5225" s="332"/>
    </row>
    <row r="5226" spans="5:5" x14ac:dyDescent="0.2">
      <c r="E5226" s="332"/>
    </row>
    <row r="5227" spans="5:5" x14ac:dyDescent="0.2">
      <c r="E5227" s="332"/>
    </row>
    <row r="5228" spans="5:5" x14ac:dyDescent="0.2">
      <c r="E5228" s="332"/>
    </row>
    <row r="5229" spans="5:5" x14ac:dyDescent="0.2">
      <c r="E5229" s="332"/>
    </row>
    <row r="5230" spans="5:5" x14ac:dyDescent="0.2">
      <c r="E5230" s="332"/>
    </row>
    <row r="5231" spans="5:5" x14ac:dyDescent="0.2">
      <c r="E5231" s="332"/>
    </row>
    <row r="5232" spans="5:5" x14ac:dyDescent="0.2">
      <c r="E5232" s="332"/>
    </row>
    <row r="5233" spans="5:5" x14ac:dyDescent="0.2">
      <c r="E5233" s="332"/>
    </row>
    <row r="5234" spans="5:5" x14ac:dyDescent="0.2">
      <c r="E5234" s="332"/>
    </row>
    <row r="5235" spans="5:5" x14ac:dyDescent="0.2">
      <c r="E5235" s="332"/>
    </row>
    <row r="5236" spans="5:5" x14ac:dyDescent="0.2">
      <c r="E5236" s="332"/>
    </row>
    <row r="5237" spans="5:5" x14ac:dyDescent="0.2">
      <c r="E5237" s="332"/>
    </row>
    <row r="5238" spans="5:5" x14ac:dyDescent="0.2">
      <c r="E5238" s="332"/>
    </row>
    <row r="5239" spans="5:5" x14ac:dyDescent="0.2">
      <c r="E5239" s="332"/>
    </row>
    <row r="5240" spans="5:5" x14ac:dyDescent="0.2">
      <c r="E5240" s="332"/>
    </row>
    <row r="5241" spans="5:5" x14ac:dyDescent="0.2">
      <c r="E5241" s="332"/>
    </row>
    <row r="5242" spans="5:5" x14ac:dyDescent="0.2">
      <c r="E5242" s="332"/>
    </row>
    <row r="5243" spans="5:5" x14ac:dyDescent="0.2">
      <c r="E5243" s="332"/>
    </row>
    <row r="5244" spans="5:5" x14ac:dyDescent="0.2">
      <c r="E5244" s="332"/>
    </row>
    <row r="5245" spans="5:5" x14ac:dyDescent="0.2">
      <c r="E5245" s="332"/>
    </row>
    <row r="5246" spans="5:5" x14ac:dyDescent="0.2">
      <c r="E5246" s="332"/>
    </row>
    <row r="5247" spans="5:5" x14ac:dyDescent="0.2">
      <c r="E5247" s="332"/>
    </row>
    <row r="5248" spans="5:5" x14ac:dyDescent="0.2">
      <c r="E5248" s="332"/>
    </row>
    <row r="5249" spans="5:5" x14ac:dyDescent="0.2">
      <c r="E5249" s="332"/>
    </row>
    <row r="5250" spans="5:5" x14ac:dyDescent="0.2">
      <c r="E5250" s="332"/>
    </row>
    <row r="5251" spans="5:5" x14ac:dyDescent="0.2">
      <c r="E5251" s="332"/>
    </row>
    <row r="5252" spans="5:5" x14ac:dyDescent="0.2">
      <c r="E5252" s="332"/>
    </row>
    <row r="5253" spans="5:5" x14ac:dyDescent="0.2">
      <c r="E5253" s="332"/>
    </row>
    <row r="5254" spans="5:5" x14ac:dyDescent="0.2">
      <c r="E5254" s="332"/>
    </row>
    <row r="5255" spans="5:5" x14ac:dyDescent="0.2">
      <c r="E5255" s="332"/>
    </row>
    <row r="5256" spans="5:5" x14ac:dyDescent="0.2">
      <c r="E5256" s="332"/>
    </row>
    <row r="5257" spans="5:5" x14ac:dyDescent="0.2">
      <c r="E5257" s="332"/>
    </row>
    <row r="5258" spans="5:5" x14ac:dyDescent="0.2">
      <c r="E5258" s="332"/>
    </row>
    <row r="5259" spans="5:5" x14ac:dyDescent="0.2">
      <c r="E5259" s="332"/>
    </row>
    <row r="5260" spans="5:5" x14ac:dyDescent="0.2">
      <c r="E5260" s="332"/>
    </row>
    <row r="5261" spans="5:5" x14ac:dyDescent="0.2">
      <c r="E5261" s="332"/>
    </row>
    <row r="5262" spans="5:5" x14ac:dyDescent="0.2">
      <c r="E5262" s="332"/>
    </row>
    <row r="5263" spans="5:5" x14ac:dyDescent="0.2">
      <c r="E5263" s="332"/>
    </row>
    <row r="5264" spans="5:5" x14ac:dyDescent="0.2">
      <c r="E5264" s="332"/>
    </row>
    <row r="5265" spans="5:5" x14ac:dyDescent="0.2">
      <c r="E5265" s="332"/>
    </row>
    <row r="5266" spans="5:5" x14ac:dyDescent="0.2">
      <c r="E5266" s="332"/>
    </row>
    <row r="5267" spans="5:5" x14ac:dyDescent="0.2">
      <c r="E5267" s="332"/>
    </row>
    <row r="5268" spans="5:5" x14ac:dyDescent="0.2">
      <c r="E5268" s="332"/>
    </row>
    <row r="5269" spans="5:5" x14ac:dyDescent="0.2">
      <c r="E5269" s="332"/>
    </row>
    <row r="5270" spans="5:5" x14ac:dyDescent="0.2">
      <c r="E5270" s="332"/>
    </row>
    <row r="5271" spans="5:5" x14ac:dyDescent="0.2">
      <c r="E5271" s="332"/>
    </row>
    <row r="5272" spans="5:5" x14ac:dyDescent="0.2">
      <c r="E5272" s="332"/>
    </row>
    <row r="5273" spans="5:5" x14ac:dyDescent="0.2">
      <c r="E5273" s="332"/>
    </row>
    <row r="5274" spans="5:5" x14ac:dyDescent="0.2">
      <c r="E5274" s="332"/>
    </row>
    <row r="5275" spans="5:5" x14ac:dyDescent="0.2">
      <c r="E5275" s="332"/>
    </row>
    <row r="5276" spans="5:5" x14ac:dyDescent="0.2">
      <c r="E5276" s="332"/>
    </row>
    <row r="5277" spans="5:5" x14ac:dyDescent="0.2">
      <c r="E5277" s="332"/>
    </row>
    <row r="5278" spans="5:5" x14ac:dyDescent="0.2">
      <c r="E5278" s="332"/>
    </row>
    <row r="5279" spans="5:5" x14ac:dyDescent="0.2">
      <c r="E5279" s="332"/>
    </row>
    <row r="5280" spans="5:5" x14ac:dyDescent="0.2">
      <c r="E5280" s="332"/>
    </row>
    <row r="5281" spans="5:5" x14ac:dyDescent="0.2">
      <c r="E5281" s="332"/>
    </row>
    <row r="5282" spans="5:5" x14ac:dyDescent="0.2">
      <c r="E5282" s="332"/>
    </row>
    <row r="5283" spans="5:5" x14ac:dyDescent="0.2">
      <c r="E5283" s="332"/>
    </row>
    <row r="5284" spans="5:5" x14ac:dyDescent="0.2">
      <c r="E5284" s="332"/>
    </row>
    <row r="5285" spans="5:5" x14ac:dyDescent="0.2">
      <c r="E5285" s="332"/>
    </row>
    <row r="5286" spans="5:5" x14ac:dyDescent="0.2">
      <c r="E5286" s="332"/>
    </row>
    <row r="5287" spans="5:5" x14ac:dyDescent="0.2">
      <c r="E5287" s="332"/>
    </row>
    <row r="5288" spans="5:5" x14ac:dyDescent="0.2">
      <c r="E5288" s="332"/>
    </row>
    <row r="5289" spans="5:5" x14ac:dyDescent="0.2">
      <c r="E5289" s="332"/>
    </row>
    <row r="5290" spans="5:5" x14ac:dyDescent="0.2">
      <c r="E5290" s="332"/>
    </row>
    <row r="5291" spans="5:5" x14ac:dyDescent="0.2">
      <c r="E5291" s="332"/>
    </row>
    <row r="5292" spans="5:5" x14ac:dyDescent="0.2">
      <c r="E5292" s="332"/>
    </row>
    <row r="5293" spans="5:5" x14ac:dyDescent="0.2">
      <c r="E5293" s="332"/>
    </row>
    <row r="5294" spans="5:5" x14ac:dyDescent="0.2">
      <c r="E5294" s="332"/>
    </row>
    <row r="5295" spans="5:5" x14ac:dyDescent="0.2">
      <c r="E5295" s="332"/>
    </row>
    <row r="5296" spans="5:5" x14ac:dyDescent="0.2">
      <c r="E5296" s="332"/>
    </row>
    <row r="5297" spans="5:5" x14ac:dyDescent="0.2">
      <c r="E5297" s="332"/>
    </row>
    <row r="5298" spans="5:5" x14ac:dyDescent="0.2">
      <c r="E5298" s="332"/>
    </row>
    <row r="5299" spans="5:5" x14ac:dyDescent="0.2">
      <c r="E5299" s="332"/>
    </row>
    <row r="5300" spans="5:5" x14ac:dyDescent="0.2">
      <c r="E5300" s="332"/>
    </row>
    <row r="5301" spans="5:5" x14ac:dyDescent="0.2">
      <c r="E5301" s="332"/>
    </row>
    <row r="5302" spans="5:5" x14ac:dyDescent="0.2">
      <c r="E5302" s="332"/>
    </row>
    <row r="5303" spans="5:5" x14ac:dyDescent="0.2">
      <c r="E5303" s="332"/>
    </row>
    <row r="5304" spans="5:5" x14ac:dyDescent="0.2">
      <c r="E5304" s="332"/>
    </row>
    <row r="5305" spans="5:5" x14ac:dyDescent="0.2">
      <c r="E5305" s="332"/>
    </row>
    <row r="5306" spans="5:5" x14ac:dyDescent="0.2">
      <c r="E5306" s="332"/>
    </row>
    <row r="5307" spans="5:5" x14ac:dyDescent="0.2">
      <c r="E5307" s="332"/>
    </row>
    <row r="5308" spans="5:5" x14ac:dyDescent="0.2">
      <c r="E5308" s="332"/>
    </row>
    <row r="5309" spans="5:5" x14ac:dyDescent="0.2">
      <c r="E5309" s="332"/>
    </row>
    <row r="5310" spans="5:5" x14ac:dyDescent="0.2">
      <c r="E5310" s="332"/>
    </row>
    <row r="5311" spans="5:5" x14ac:dyDescent="0.2">
      <c r="E5311" s="332"/>
    </row>
    <row r="5312" spans="5:5" x14ac:dyDescent="0.2">
      <c r="E5312" s="332"/>
    </row>
    <row r="5313" spans="5:5" x14ac:dyDescent="0.2">
      <c r="E5313" s="332"/>
    </row>
    <row r="5314" spans="5:5" x14ac:dyDescent="0.2">
      <c r="E5314" s="332"/>
    </row>
    <row r="5315" spans="5:5" x14ac:dyDescent="0.2">
      <c r="E5315" s="332"/>
    </row>
    <row r="5316" spans="5:5" x14ac:dyDescent="0.2">
      <c r="E5316" s="332"/>
    </row>
    <row r="5317" spans="5:5" x14ac:dyDescent="0.2">
      <c r="E5317" s="332"/>
    </row>
    <row r="5318" spans="5:5" x14ac:dyDescent="0.2">
      <c r="E5318" s="332"/>
    </row>
    <row r="5319" spans="5:5" x14ac:dyDescent="0.2">
      <c r="E5319" s="332"/>
    </row>
    <row r="5320" spans="5:5" x14ac:dyDescent="0.2">
      <c r="E5320" s="332"/>
    </row>
    <row r="5321" spans="5:5" x14ac:dyDescent="0.2">
      <c r="E5321" s="332"/>
    </row>
    <row r="5322" spans="5:5" x14ac:dyDescent="0.2">
      <c r="E5322" s="332"/>
    </row>
    <row r="5323" spans="5:5" x14ac:dyDescent="0.2">
      <c r="E5323" s="332"/>
    </row>
    <row r="5324" spans="5:5" x14ac:dyDescent="0.2">
      <c r="E5324" s="332"/>
    </row>
    <row r="5325" spans="5:5" x14ac:dyDescent="0.2">
      <c r="E5325" s="332"/>
    </row>
    <row r="5326" spans="5:5" x14ac:dyDescent="0.2">
      <c r="E5326" s="332"/>
    </row>
    <row r="5327" spans="5:5" x14ac:dyDescent="0.2">
      <c r="E5327" s="332"/>
    </row>
    <row r="5328" spans="5:5" x14ac:dyDescent="0.2">
      <c r="E5328" s="332"/>
    </row>
    <row r="5329" spans="5:5" x14ac:dyDescent="0.2">
      <c r="E5329" s="332"/>
    </row>
    <row r="5330" spans="5:5" x14ac:dyDescent="0.2">
      <c r="E5330" s="332"/>
    </row>
    <row r="5331" spans="5:5" x14ac:dyDescent="0.2">
      <c r="E5331" s="332"/>
    </row>
    <row r="5332" spans="5:5" x14ac:dyDescent="0.2">
      <c r="E5332" s="332"/>
    </row>
    <row r="5333" spans="5:5" x14ac:dyDescent="0.2">
      <c r="E5333" s="332"/>
    </row>
    <row r="5334" spans="5:5" x14ac:dyDescent="0.2">
      <c r="E5334" s="332"/>
    </row>
    <row r="5335" spans="5:5" x14ac:dyDescent="0.2">
      <c r="E5335" s="332"/>
    </row>
    <row r="5336" spans="5:5" x14ac:dyDescent="0.2">
      <c r="E5336" s="332"/>
    </row>
    <row r="5337" spans="5:5" x14ac:dyDescent="0.2">
      <c r="E5337" s="332"/>
    </row>
    <row r="5338" spans="5:5" x14ac:dyDescent="0.2">
      <c r="E5338" s="332"/>
    </row>
    <row r="5339" spans="5:5" x14ac:dyDescent="0.2">
      <c r="E5339" s="332"/>
    </row>
    <row r="5340" spans="5:5" x14ac:dyDescent="0.2">
      <c r="E5340" s="332"/>
    </row>
    <row r="5341" spans="5:5" x14ac:dyDescent="0.2">
      <c r="E5341" s="332"/>
    </row>
    <row r="5342" spans="5:5" x14ac:dyDescent="0.2">
      <c r="E5342" s="332"/>
    </row>
    <row r="5343" spans="5:5" x14ac:dyDescent="0.2">
      <c r="E5343" s="332"/>
    </row>
    <row r="5344" spans="5:5" x14ac:dyDescent="0.2">
      <c r="E5344" s="332"/>
    </row>
    <row r="5345" spans="5:5" x14ac:dyDescent="0.2">
      <c r="E5345" s="332"/>
    </row>
    <row r="5346" spans="5:5" x14ac:dyDescent="0.2">
      <c r="E5346" s="332"/>
    </row>
    <row r="5347" spans="5:5" x14ac:dyDescent="0.2">
      <c r="E5347" s="332"/>
    </row>
    <row r="5348" spans="5:5" x14ac:dyDescent="0.2">
      <c r="E5348" s="332"/>
    </row>
    <row r="5349" spans="5:5" x14ac:dyDescent="0.2">
      <c r="E5349" s="332"/>
    </row>
    <row r="5350" spans="5:5" x14ac:dyDescent="0.2">
      <c r="E5350" s="332"/>
    </row>
    <row r="5351" spans="5:5" x14ac:dyDescent="0.2">
      <c r="E5351" s="332"/>
    </row>
    <row r="5352" spans="5:5" x14ac:dyDescent="0.2">
      <c r="E5352" s="332"/>
    </row>
    <row r="5353" spans="5:5" x14ac:dyDescent="0.2">
      <c r="E5353" s="332"/>
    </row>
    <row r="5354" spans="5:5" x14ac:dyDescent="0.2">
      <c r="E5354" s="332"/>
    </row>
    <row r="5355" spans="5:5" x14ac:dyDescent="0.2">
      <c r="E5355" s="332"/>
    </row>
    <row r="5356" spans="5:5" x14ac:dyDescent="0.2">
      <c r="E5356" s="332"/>
    </row>
    <row r="5357" spans="5:5" x14ac:dyDescent="0.2">
      <c r="E5357" s="332"/>
    </row>
    <row r="5358" spans="5:5" x14ac:dyDescent="0.2">
      <c r="E5358" s="332"/>
    </row>
    <row r="5359" spans="5:5" x14ac:dyDescent="0.2">
      <c r="E5359" s="332"/>
    </row>
    <row r="5360" spans="5:5" x14ac:dyDescent="0.2">
      <c r="E5360" s="332"/>
    </row>
    <row r="5361" spans="5:5" x14ac:dyDescent="0.2">
      <c r="E5361" s="332"/>
    </row>
    <row r="5362" spans="5:5" x14ac:dyDescent="0.2">
      <c r="E5362" s="332"/>
    </row>
    <row r="5363" spans="5:5" x14ac:dyDescent="0.2">
      <c r="E5363" s="332"/>
    </row>
    <row r="5364" spans="5:5" x14ac:dyDescent="0.2">
      <c r="E5364" s="332"/>
    </row>
    <row r="5365" spans="5:5" x14ac:dyDescent="0.2">
      <c r="E5365" s="332"/>
    </row>
    <row r="5366" spans="5:5" x14ac:dyDescent="0.2">
      <c r="E5366" s="332"/>
    </row>
    <row r="5367" spans="5:5" x14ac:dyDescent="0.2">
      <c r="E5367" s="332"/>
    </row>
    <row r="5368" spans="5:5" x14ac:dyDescent="0.2">
      <c r="E5368" s="332"/>
    </row>
    <row r="5369" spans="5:5" x14ac:dyDescent="0.2">
      <c r="E5369" s="332"/>
    </row>
    <row r="5370" spans="5:5" x14ac:dyDescent="0.2">
      <c r="E5370" s="332"/>
    </row>
    <row r="5371" spans="5:5" x14ac:dyDescent="0.2">
      <c r="E5371" s="332"/>
    </row>
    <row r="5372" spans="5:5" x14ac:dyDescent="0.2">
      <c r="E5372" s="332"/>
    </row>
    <row r="5373" spans="5:5" x14ac:dyDescent="0.2">
      <c r="E5373" s="332"/>
    </row>
    <row r="5374" spans="5:5" x14ac:dyDescent="0.2">
      <c r="E5374" s="332"/>
    </row>
    <row r="5375" spans="5:5" x14ac:dyDescent="0.2">
      <c r="E5375" s="332"/>
    </row>
    <row r="5376" spans="5:5" x14ac:dyDescent="0.2">
      <c r="E5376" s="332"/>
    </row>
    <row r="5377" spans="5:5" x14ac:dyDescent="0.2">
      <c r="E5377" s="332"/>
    </row>
    <row r="5378" spans="5:5" x14ac:dyDescent="0.2">
      <c r="E5378" s="332"/>
    </row>
    <row r="5379" spans="5:5" x14ac:dyDescent="0.2">
      <c r="E5379" s="332"/>
    </row>
    <row r="5380" spans="5:5" x14ac:dyDescent="0.2">
      <c r="E5380" s="332"/>
    </row>
    <row r="5381" spans="5:5" x14ac:dyDescent="0.2">
      <c r="E5381" s="332"/>
    </row>
    <row r="5382" spans="5:5" x14ac:dyDescent="0.2">
      <c r="E5382" s="332"/>
    </row>
    <row r="5383" spans="5:5" x14ac:dyDescent="0.2">
      <c r="E5383" s="332"/>
    </row>
    <row r="5384" spans="5:5" x14ac:dyDescent="0.2">
      <c r="E5384" s="332"/>
    </row>
    <row r="5385" spans="5:5" x14ac:dyDescent="0.2">
      <c r="E5385" s="332"/>
    </row>
    <row r="5386" spans="5:5" x14ac:dyDescent="0.2">
      <c r="E5386" s="332"/>
    </row>
    <row r="5387" spans="5:5" x14ac:dyDescent="0.2">
      <c r="E5387" s="332"/>
    </row>
    <row r="5388" spans="5:5" x14ac:dyDescent="0.2">
      <c r="E5388" s="332"/>
    </row>
    <row r="5389" spans="5:5" x14ac:dyDescent="0.2">
      <c r="E5389" s="332"/>
    </row>
    <row r="5390" spans="5:5" x14ac:dyDescent="0.2">
      <c r="E5390" s="332"/>
    </row>
    <row r="5391" spans="5:5" x14ac:dyDescent="0.2">
      <c r="E5391" s="332"/>
    </row>
    <row r="5392" spans="5:5" x14ac:dyDescent="0.2">
      <c r="E5392" s="332"/>
    </row>
    <row r="5393" spans="5:5" x14ac:dyDescent="0.2">
      <c r="E5393" s="332"/>
    </row>
    <row r="5394" spans="5:5" x14ac:dyDescent="0.2">
      <c r="E5394" s="332"/>
    </row>
    <row r="5395" spans="5:5" x14ac:dyDescent="0.2">
      <c r="E5395" s="332"/>
    </row>
    <row r="5396" spans="5:5" x14ac:dyDescent="0.2">
      <c r="E5396" s="332"/>
    </row>
    <row r="5397" spans="5:5" x14ac:dyDescent="0.2">
      <c r="E5397" s="332"/>
    </row>
    <row r="5398" spans="5:5" x14ac:dyDescent="0.2">
      <c r="E5398" s="332"/>
    </row>
    <row r="5399" spans="5:5" x14ac:dyDescent="0.2">
      <c r="E5399" s="332"/>
    </row>
    <row r="5400" spans="5:5" x14ac:dyDescent="0.2">
      <c r="E5400" s="332"/>
    </row>
    <row r="5401" spans="5:5" x14ac:dyDescent="0.2">
      <c r="E5401" s="332"/>
    </row>
    <row r="5402" spans="5:5" x14ac:dyDescent="0.2">
      <c r="E5402" s="332"/>
    </row>
    <row r="5403" spans="5:5" x14ac:dyDescent="0.2">
      <c r="E5403" s="332"/>
    </row>
    <row r="5404" spans="5:5" x14ac:dyDescent="0.2">
      <c r="E5404" s="332"/>
    </row>
    <row r="5405" spans="5:5" x14ac:dyDescent="0.2">
      <c r="E5405" s="332"/>
    </row>
    <row r="5406" spans="5:5" x14ac:dyDescent="0.2">
      <c r="E5406" s="332"/>
    </row>
    <row r="5407" spans="5:5" x14ac:dyDescent="0.2">
      <c r="E5407" s="332"/>
    </row>
    <row r="5408" spans="5:5" x14ac:dyDescent="0.2">
      <c r="E5408" s="332"/>
    </row>
    <row r="5409" spans="5:5" x14ac:dyDescent="0.2">
      <c r="E5409" s="332"/>
    </row>
    <row r="5410" spans="5:5" x14ac:dyDescent="0.2">
      <c r="E5410" s="332"/>
    </row>
    <row r="5411" spans="5:5" x14ac:dyDescent="0.2">
      <c r="E5411" s="332"/>
    </row>
    <row r="5412" spans="5:5" x14ac:dyDescent="0.2">
      <c r="E5412" s="332"/>
    </row>
    <row r="5413" spans="5:5" x14ac:dyDescent="0.2">
      <c r="E5413" s="332"/>
    </row>
    <row r="5414" spans="5:5" x14ac:dyDescent="0.2">
      <c r="E5414" s="332"/>
    </row>
    <row r="5415" spans="5:5" x14ac:dyDescent="0.2">
      <c r="E5415" s="332"/>
    </row>
    <row r="5416" spans="5:5" x14ac:dyDescent="0.2">
      <c r="E5416" s="332"/>
    </row>
    <row r="5417" spans="5:5" x14ac:dyDescent="0.2">
      <c r="E5417" s="332"/>
    </row>
    <row r="5418" spans="5:5" x14ac:dyDescent="0.2">
      <c r="E5418" s="332"/>
    </row>
    <row r="5419" spans="5:5" x14ac:dyDescent="0.2">
      <c r="E5419" s="332"/>
    </row>
    <row r="5420" spans="5:5" x14ac:dyDescent="0.2">
      <c r="E5420" s="332"/>
    </row>
    <row r="5421" spans="5:5" x14ac:dyDescent="0.2">
      <c r="E5421" s="332"/>
    </row>
    <row r="5422" spans="5:5" x14ac:dyDescent="0.2">
      <c r="E5422" s="332"/>
    </row>
    <row r="5423" spans="5:5" x14ac:dyDescent="0.2">
      <c r="E5423" s="332"/>
    </row>
    <row r="5424" spans="5:5" x14ac:dyDescent="0.2">
      <c r="E5424" s="332"/>
    </row>
    <row r="5425" spans="5:5" x14ac:dyDescent="0.2">
      <c r="E5425" s="332"/>
    </row>
    <row r="5426" spans="5:5" x14ac:dyDescent="0.2">
      <c r="E5426" s="332"/>
    </row>
    <row r="5427" spans="5:5" x14ac:dyDescent="0.2">
      <c r="E5427" s="332"/>
    </row>
    <row r="5428" spans="5:5" x14ac:dyDescent="0.2">
      <c r="E5428" s="332"/>
    </row>
    <row r="5429" spans="5:5" x14ac:dyDescent="0.2">
      <c r="E5429" s="332"/>
    </row>
    <row r="5430" spans="5:5" x14ac:dyDescent="0.2">
      <c r="E5430" s="332"/>
    </row>
    <row r="5431" spans="5:5" x14ac:dyDescent="0.2">
      <c r="E5431" s="332"/>
    </row>
    <row r="5432" spans="5:5" x14ac:dyDescent="0.2">
      <c r="E5432" s="332"/>
    </row>
    <row r="5433" spans="5:5" x14ac:dyDescent="0.2">
      <c r="E5433" s="332"/>
    </row>
    <row r="5434" spans="5:5" x14ac:dyDescent="0.2">
      <c r="E5434" s="332"/>
    </row>
    <row r="5435" spans="5:5" x14ac:dyDescent="0.2">
      <c r="E5435" s="332"/>
    </row>
    <row r="5436" spans="5:5" x14ac:dyDescent="0.2">
      <c r="E5436" s="332"/>
    </row>
    <row r="5437" spans="5:5" x14ac:dyDescent="0.2">
      <c r="E5437" s="332"/>
    </row>
    <row r="5438" spans="5:5" x14ac:dyDescent="0.2">
      <c r="E5438" s="332"/>
    </row>
    <row r="5439" spans="5:5" x14ac:dyDescent="0.2">
      <c r="E5439" s="332"/>
    </row>
    <row r="5440" spans="5:5" x14ac:dyDescent="0.2">
      <c r="E5440" s="332"/>
    </row>
    <row r="5441" spans="5:5" x14ac:dyDescent="0.2">
      <c r="E5441" s="332"/>
    </row>
    <row r="5442" spans="5:5" x14ac:dyDescent="0.2">
      <c r="E5442" s="332"/>
    </row>
    <row r="5443" spans="5:5" x14ac:dyDescent="0.2">
      <c r="E5443" s="332"/>
    </row>
    <row r="5444" spans="5:5" x14ac:dyDescent="0.2">
      <c r="E5444" s="332"/>
    </row>
    <row r="5445" spans="5:5" x14ac:dyDescent="0.2">
      <c r="E5445" s="332"/>
    </row>
    <row r="5446" spans="5:5" x14ac:dyDescent="0.2">
      <c r="E5446" s="332"/>
    </row>
    <row r="5447" spans="5:5" x14ac:dyDescent="0.2">
      <c r="E5447" s="332"/>
    </row>
    <row r="5448" spans="5:5" x14ac:dyDescent="0.2">
      <c r="E5448" s="332"/>
    </row>
    <row r="5449" spans="5:5" x14ac:dyDescent="0.2">
      <c r="E5449" s="332"/>
    </row>
    <row r="5450" spans="5:5" x14ac:dyDescent="0.2">
      <c r="E5450" s="332"/>
    </row>
    <row r="5451" spans="5:5" x14ac:dyDescent="0.2">
      <c r="E5451" s="332"/>
    </row>
    <row r="5452" spans="5:5" x14ac:dyDescent="0.2">
      <c r="E5452" s="332"/>
    </row>
    <row r="5453" spans="5:5" x14ac:dyDescent="0.2">
      <c r="E5453" s="332"/>
    </row>
    <row r="5454" spans="5:5" x14ac:dyDescent="0.2">
      <c r="E5454" s="332"/>
    </row>
    <row r="5455" spans="5:5" x14ac:dyDescent="0.2">
      <c r="E5455" s="332"/>
    </row>
    <row r="5456" spans="5:5" x14ac:dyDescent="0.2">
      <c r="E5456" s="332"/>
    </row>
    <row r="5457" spans="5:5" x14ac:dyDescent="0.2">
      <c r="E5457" s="332"/>
    </row>
    <row r="5458" spans="5:5" x14ac:dyDescent="0.2">
      <c r="E5458" s="332"/>
    </row>
    <row r="5459" spans="5:5" x14ac:dyDescent="0.2">
      <c r="E5459" s="332"/>
    </row>
    <row r="5460" spans="5:5" x14ac:dyDescent="0.2">
      <c r="E5460" s="332"/>
    </row>
    <row r="5461" spans="5:5" x14ac:dyDescent="0.2">
      <c r="E5461" s="332"/>
    </row>
    <row r="5462" spans="5:5" x14ac:dyDescent="0.2">
      <c r="E5462" s="332"/>
    </row>
    <row r="5463" spans="5:5" x14ac:dyDescent="0.2">
      <c r="E5463" s="332"/>
    </row>
    <row r="5464" spans="5:5" x14ac:dyDescent="0.2">
      <c r="E5464" s="332"/>
    </row>
    <row r="5465" spans="5:5" x14ac:dyDescent="0.2">
      <c r="E5465" s="332"/>
    </row>
    <row r="5466" spans="5:5" x14ac:dyDescent="0.2">
      <c r="E5466" s="332"/>
    </row>
    <row r="5467" spans="5:5" x14ac:dyDescent="0.2">
      <c r="E5467" s="332"/>
    </row>
    <row r="5468" spans="5:5" x14ac:dyDescent="0.2">
      <c r="E5468" s="332"/>
    </row>
    <row r="5469" spans="5:5" x14ac:dyDescent="0.2">
      <c r="E5469" s="332"/>
    </row>
    <row r="5470" spans="5:5" x14ac:dyDescent="0.2">
      <c r="E5470" s="332"/>
    </row>
    <row r="5471" spans="5:5" x14ac:dyDescent="0.2">
      <c r="E5471" s="332"/>
    </row>
    <row r="5472" spans="5:5" x14ac:dyDescent="0.2">
      <c r="E5472" s="332"/>
    </row>
    <row r="5473" spans="5:5" x14ac:dyDescent="0.2">
      <c r="E5473" s="332"/>
    </row>
    <row r="5474" spans="5:5" x14ac:dyDescent="0.2">
      <c r="E5474" s="332"/>
    </row>
    <row r="5475" spans="5:5" x14ac:dyDescent="0.2">
      <c r="E5475" s="332"/>
    </row>
    <row r="5476" spans="5:5" x14ac:dyDescent="0.2">
      <c r="E5476" s="332"/>
    </row>
    <row r="5477" spans="5:5" x14ac:dyDescent="0.2">
      <c r="E5477" s="332"/>
    </row>
    <row r="5478" spans="5:5" x14ac:dyDescent="0.2">
      <c r="E5478" s="332"/>
    </row>
    <row r="5479" spans="5:5" x14ac:dyDescent="0.2">
      <c r="E5479" s="332"/>
    </row>
    <row r="5480" spans="5:5" x14ac:dyDescent="0.2">
      <c r="E5480" s="332"/>
    </row>
    <row r="5481" spans="5:5" x14ac:dyDescent="0.2">
      <c r="E5481" s="332"/>
    </row>
    <row r="5482" spans="5:5" x14ac:dyDescent="0.2">
      <c r="E5482" s="332"/>
    </row>
    <row r="5483" spans="5:5" x14ac:dyDescent="0.2">
      <c r="E5483" s="332"/>
    </row>
    <row r="5484" spans="5:5" x14ac:dyDescent="0.2">
      <c r="E5484" s="332"/>
    </row>
    <row r="5485" spans="5:5" x14ac:dyDescent="0.2">
      <c r="E5485" s="332"/>
    </row>
    <row r="5486" spans="5:5" x14ac:dyDescent="0.2">
      <c r="E5486" s="332"/>
    </row>
    <row r="5487" spans="5:5" x14ac:dyDescent="0.2">
      <c r="E5487" s="332"/>
    </row>
    <row r="5488" spans="5:5" x14ac:dyDescent="0.2">
      <c r="E5488" s="332"/>
    </row>
    <row r="5489" spans="5:5" x14ac:dyDescent="0.2">
      <c r="E5489" s="332"/>
    </row>
    <row r="5490" spans="5:5" x14ac:dyDescent="0.2">
      <c r="E5490" s="332"/>
    </row>
    <row r="5491" spans="5:5" x14ac:dyDescent="0.2">
      <c r="E5491" s="332"/>
    </row>
    <row r="5492" spans="5:5" x14ac:dyDescent="0.2">
      <c r="E5492" s="332"/>
    </row>
    <row r="5493" spans="5:5" x14ac:dyDescent="0.2">
      <c r="E5493" s="332"/>
    </row>
    <row r="5494" spans="5:5" x14ac:dyDescent="0.2">
      <c r="E5494" s="332"/>
    </row>
    <row r="5495" spans="5:5" x14ac:dyDescent="0.2">
      <c r="E5495" s="332"/>
    </row>
    <row r="5496" spans="5:5" x14ac:dyDescent="0.2">
      <c r="E5496" s="332"/>
    </row>
    <row r="5497" spans="5:5" x14ac:dyDescent="0.2">
      <c r="E5497" s="332"/>
    </row>
    <row r="5498" spans="5:5" x14ac:dyDescent="0.2">
      <c r="E5498" s="332"/>
    </row>
    <row r="5499" spans="5:5" x14ac:dyDescent="0.2">
      <c r="E5499" s="332"/>
    </row>
    <row r="5500" spans="5:5" x14ac:dyDescent="0.2">
      <c r="E5500" s="332"/>
    </row>
    <row r="5501" spans="5:5" x14ac:dyDescent="0.2">
      <c r="E5501" s="332"/>
    </row>
    <row r="5502" spans="5:5" x14ac:dyDescent="0.2">
      <c r="E5502" s="332"/>
    </row>
    <row r="5503" spans="5:5" x14ac:dyDescent="0.2">
      <c r="E5503" s="332"/>
    </row>
    <row r="5504" spans="5:5" x14ac:dyDescent="0.2">
      <c r="E5504" s="332"/>
    </row>
    <row r="5505" spans="5:5" x14ac:dyDescent="0.2">
      <c r="E5505" s="332"/>
    </row>
    <row r="5506" spans="5:5" x14ac:dyDescent="0.2">
      <c r="E5506" s="332"/>
    </row>
    <row r="5507" spans="5:5" x14ac:dyDescent="0.2">
      <c r="E5507" s="332"/>
    </row>
    <row r="5508" spans="5:5" x14ac:dyDescent="0.2">
      <c r="E5508" s="332"/>
    </row>
    <row r="5509" spans="5:5" x14ac:dyDescent="0.2">
      <c r="E5509" s="332"/>
    </row>
    <row r="5510" spans="5:5" x14ac:dyDescent="0.2">
      <c r="E5510" s="332"/>
    </row>
    <row r="5511" spans="5:5" x14ac:dyDescent="0.2">
      <c r="E5511" s="332"/>
    </row>
    <row r="5512" spans="5:5" x14ac:dyDescent="0.2">
      <c r="E5512" s="332"/>
    </row>
    <row r="5513" spans="5:5" x14ac:dyDescent="0.2">
      <c r="E5513" s="332"/>
    </row>
    <row r="5514" spans="5:5" x14ac:dyDescent="0.2">
      <c r="E5514" s="332"/>
    </row>
    <row r="5515" spans="5:5" x14ac:dyDescent="0.2">
      <c r="E5515" s="332"/>
    </row>
    <row r="5516" spans="5:5" x14ac:dyDescent="0.2">
      <c r="E5516" s="332"/>
    </row>
    <row r="5517" spans="5:5" x14ac:dyDescent="0.2">
      <c r="E5517" s="332"/>
    </row>
    <row r="5518" spans="5:5" x14ac:dyDescent="0.2">
      <c r="E5518" s="332"/>
    </row>
    <row r="5519" spans="5:5" x14ac:dyDescent="0.2">
      <c r="E5519" s="332"/>
    </row>
    <row r="5520" spans="5:5" x14ac:dyDescent="0.2">
      <c r="E5520" s="332"/>
    </row>
    <row r="5521" spans="5:5" x14ac:dyDescent="0.2">
      <c r="E5521" s="332"/>
    </row>
    <row r="5522" spans="5:5" x14ac:dyDescent="0.2">
      <c r="E5522" s="332"/>
    </row>
    <row r="5523" spans="5:5" x14ac:dyDescent="0.2">
      <c r="E5523" s="332"/>
    </row>
    <row r="5524" spans="5:5" x14ac:dyDescent="0.2">
      <c r="E5524" s="332"/>
    </row>
    <row r="5525" spans="5:5" x14ac:dyDescent="0.2">
      <c r="E5525" s="332"/>
    </row>
    <row r="5526" spans="5:5" x14ac:dyDescent="0.2">
      <c r="E5526" s="332"/>
    </row>
    <row r="5527" spans="5:5" x14ac:dyDescent="0.2">
      <c r="E5527" s="332"/>
    </row>
    <row r="5528" spans="5:5" x14ac:dyDescent="0.2">
      <c r="E5528" s="332"/>
    </row>
    <row r="5529" spans="5:5" x14ac:dyDescent="0.2">
      <c r="E5529" s="332"/>
    </row>
    <row r="5530" spans="5:5" x14ac:dyDescent="0.2">
      <c r="E5530" s="332"/>
    </row>
    <row r="5531" spans="5:5" x14ac:dyDescent="0.2">
      <c r="E5531" s="332"/>
    </row>
    <row r="5532" spans="5:5" x14ac:dyDescent="0.2">
      <c r="E5532" s="332"/>
    </row>
    <row r="5533" spans="5:5" x14ac:dyDescent="0.2">
      <c r="E5533" s="332"/>
    </row>
    <row r="5534" spans="5:5" x14ac:dyDescent="0.2">
      <c r="E5534" s="332"/>
    </row>
    <row r="5535" spans="5:5" x14ac:dyDescent="0.2">
      <c r="E5535" s="332"/>
    </row>
    <row r="5536" spans="5:5" x14ac:dyDescent="0.2">
      <c r="E5536" s="332"/>
    </row>
    <row r="5537" spans="5:5" x14ac:dyDescent="0.2">
      <c r="E5537" s="332"/>
    </row>
    <row r="5538" spans="5:5" x14ac:dyDescent="0.2">
      <c r="E5538" s="332"/>
    </row>
    <row r="5539" spans="5:5" x14ac:dyDescent="0.2">
      <c r="E5539" s="332"/>
    </row>
    <row r="5540" spans="5:5" x14ac:dyDescent="0.2">
      <c r="E5540" s="332"/>
    </row>
    <row r="5541" spans="5:5" x14ac:dyDescent="0.2">
      <c r="E5541" s="332"/>
    </row>
    <row r="5542" spans="5:5" x14ac:dyDescent="0.2">
      <c r="E5542" s="332"/>
    </row>
    <row r="5543" spans="5:5" x14ac:dyDescent="0.2">
      <c r="E5543" s="332"/>
    </row>
    <row r="5544" spans="5:5" x14ac:dyDescent="0.2">
      <c r="E5544" s="332"/>
    </row>
    <row r="5545" spans="5:5" x14ac:dyDescent="0.2">
      <c r="E5545" s="332"/>
    </row>
    <row r="5546" spans="5:5" x14ac:dyDescent="0.2">
      <c r="E5546" s="332"/>
    </row>
    <row r="5547" spans="5:5" x14ac:dyDescent="0.2">
      <c r="E5547" s="332"/>
    </row>
    <row r="5548" spans="5:5" x14ac:dyDescent="0.2">
      <c r="E5548" s="332"/>
    </row>
    <row r="5549" spans="5:5" x14ac:dyDescent="0.2">
      <c r="E5549" s="332"/>
    </row>
    <row r="5550" spans="5:5" x14ac:dyDescent="0.2">
      <c r="E5550" s="332"/>
    </row>
    <row r="5551" spans="5:5" x14ac:dyDescent="0.2">
      <c r="E5551" s="332"/>
    </row>
    <row r="5552" spans="5:5" x14ac:dyDescent="0.2">
      <c r="E5552" s="332"/>
    </row>
    <row r="5553" spans="5:5" x14ac:dyDescent="0.2">
      <c r="E5553" s="332"/>
    </row>
    <row r="5554" spans="5:5" x14ac:dyDescent="0.2">
      <c r="E5554" s="332"/>
    </row>
    <row r="5555" spans="5:5" x14ac:dyDescent="0.2">
      <c r="E5555" s="332"/>
    </row>
    <row r="5556" spans="5:5" x14ac:dyDescent="0.2">
      <c r="E5556" s="332"/>
    </row>
    <row r="5557" spans="5:5" x14ac:dyDescent="0.2">
      <c r="E5557" s="332"/>
    </row>
    <row r="5558" spans="5:5" x14ac:dyDescent="0.2">
      <c r="E5558" s="332"/>
    </row>
    <row r="5559" spans="5:5" x14ac:dyDescent="0.2">
      <c r="E5559" s="332"/>
    </row>
    <row r="5560" spans="5:5" x14ac:dyDescent="0.2">
      <c r="E5560" s="332"/>
    </row>
    <row r="5561" spans="5:5" x14ac:dyDescent="0.2">
      <c r="E5561" s="332"/>
    </row>
    <row r="5562" spans="5:5" x14ac:dyDescent="0.2">
      <c r="E5562" s="332"/>
    </row>
    <row r="5563" spans="5:5" x14ac:dyDescent="0.2">
      <c r="E5563" s="332"/>
    </row>
    <row r="5564" spans="5:5" x14ac:dyDescent="0.2">
      <c r="E5564" s="332"/>
    </row>
    <row r="5565" spans="5:5" x14ac:dyDescent="0.2">
      <c r="E5565" s="332"/>
    </row>
    <row r="5566" spans="5:5" x14ac:dyDescent="0.2">
      <c r="E5566" s="332"/>
    </row>
    <row r="5567" spans="5:5" x14ac:dyDescent="0.2">
      <c r="E5567" s="332"/>
    </row>
    <row r="5568" spans="5:5" x14ac:dyDescent="0.2">
      <c r="E5568" s="332"/>
    </row>
    <row r="5569" spans="5:5" x14ac:dyDescent="0.2">
      <c r="E5569" s="332"/>
    </row>
    <row r="5570" spans="5:5" x14ac:dyDescent="0.2">
      <c r="E5570" s="332"/>
    </row>
    <row r="5571" spans="5:5" x14ac:dyDescent="0.2">
      <c r="E5571" s="332"/>
    </row>
    <row r="5572" spans="5:5" x14ac:dyDescent="0.2">
      <c r="E5572" s="332"/>
    </row>
    <row r="5573" spans="5:5" x14ac:dyDescent="0.2">
      <c r="E5573" s="332"/>
    </row>
    <row r="5574" spans="5:5" x14ac:dyDescent="0.2">
      <c r="E5574" s="332"/>
    </row>
    <row r="5575" spans="5:5" x14ac:dyDescent="0.2">
      <c r="E5575" s="332"/>
    </row>
    <row r="5576" spans="5:5" x14ac:dyDescent="0.2">
      <c r="E5576" s="332"/>
    </row>
    <row r="5577" spans="5:5" x14ac:dyDescent="0.2">
      <c r="E5577" s="332"/>
    </row>
    <row r="5578" spans="5:5" x14ac:dyDescent="0.2">
      <c r="E5578" s="332"/>
    </row>
    <row r="5579" spans="5:5" x14ac:dyDescent="0.2">
      <c r="E5579" s="332"/>
    </row>
    <row r="5580" spans="5:5" x14ac:dyDescent="0.2">
      <c r="E5580" s="332"/>
    </row>
    <row r="5581" spans="5:5" x14ac:dyDescent="0.2">
      <c r="E5581" s="332"/>
    </row>
    <row r="5582" spans="5:5" x14ac:dyDescent="0.2">
      <c r="E5582" s="332"/>
    </row>
    <row r="5583" spans="5:5" x14ac:dyDescent="0.2">
      <c r="E5583" s="332"/>
    </row>
    <row r="5584" spans="5:5" x14ac:dyDescent="0.2">
      <c r="E5584" s="332"/>
    </row>
    <row r="5585" spans="5:5" x14ac:dyDescent="0.2">
      <c r="E5585" s="332"/>
    </row>
    <row r="5586" spans="5:5" x14ac:dyDescent="0.2">
      <c r="E5586" s="332"/>
    </row>
    <row r="5587" spans="5:5" x14ac:dyDescent="0.2">
      <c r="E5587" s="332"/>
    </row>
    <row r="5588" spans="5:5" x14ac:dyDescent="0.2">
      <c r="E5588" s="332"/>
    </row>
    <row r="5589" spans="5:5" x14ac:dyDescent="0.2">
      <c r="E5589" s="332"/>
    </row>
    <row r="5590" spans="5:5" x14ac:dyDescent="0.2">
      <c r="E5590" s="332"/>
    </row>
    <row r="5591" spans="5:5" x14ac:dyDescent="0.2">
      <c r="E5591" s="332"/>
    </row>
    <row r="5592" spans="5:5" x14ac:dyDescent="0.2">
      <c r="E5592" s="332"/>
    </row>
    <row r="5593" spans="5:5" x14ac:dyDescent="0.2">
      <c r="E5593" s="332"/>
    </row>
    <row r="5594" spans="5:5" x14ac:dyDescent="0.2">
      <c r="E5594" s="332"/>
    </row>
    <row r="5595" spans="5:5" x14ac:dyDescent="0.2">
      <c r="E5595" s="332"/>
    </row>
    <row r="5596" spans="5:5" x14ac:dyDescent="0.2">
      <c r="E5596" s="332"/>
    </row>
    <row r="5597" spans="5:5" x14ac:dyDescent="0.2">
      <c r="E5597" s="332"/>
    </row>
    <row r="5598" spans="5:5" x14ac:dyDescent="0.2">
      <c r="E5598" s="332"/>
    </row>
    <row r="5599" spans="5:5" x14ac:dyDescent="0.2">
      <c r="E5599" s="332"/>
    </row>
    <row r="5600" spans="5:5" x14ac:dyDescent="0.2">
      <c r="E5600" s="332"/>
    </row>
    <row r="5601" spans="5:5" x14ac:dyDescent="0.2">
      <c r="E5601" s="332"/>
    </row>
    <row r="5602" spans="5:5" x14ac:dyDescent="0.2">
      <c r="E5602" s="332"/>
    </row>
    <row r="5603" spans="5:5" x14ac:dyDescent="0.2">
      <c r="E5603" s="332"/>
    </row>
    <row r="5604" spans="5:5" x14ac:dyDescent="0.2">
      <c r="E5604" s="332"/>
    </row>
    <row r="5605" spans="5:5" x14ac:dyDescent="0.2">
      <c r="E5605" s="332"/>
    </row>
    <row r="5606" spans="5:5" x14ac:dyDescent="0.2">
      <c r="E5606" s="332"/>
    </row>
    <row r="5607" spans="5:5" x14ac:dyDescent="0.2">
      <c r="E5607" s="332"/>
    </row>
    <row r="5608" spans="5:5" x14ac:dyDescent="0.2">
      <c r="E5608" s="332"/>
    </row>
    <row r="5609" spans="5:5" x14ac:dyDescent="0.2">
      <c r="E5609" s="332"/>
    </row>
    <row r="5610" spans="5:5" x14ac:dyDescent="0.2">
      <c r="E5610" s="332"/>
    </row>
    <row r="5611" spans="5:5" x14ac:dyDescent="0.2">
      <c r="E5611" s="332"/>
    </row>
    <row r="5612" spans="5:5" x14ac:dyDescent="0.2">
      <c r="E5612" s="332"/>
    </row>
    <row r="5613" spans="5:5" x14ac:dyDescent="0.2">
      <c r="E5613" s="332"/>
    </row>
    <row r="5614" spans="5:5" x14ac:dyDescent="0.2">
      <c r="E5614" s="332"/>
    </row>
    <row r="5615" spans="5:5" x14ac:dyDescent="0.2">
      <c r="E5615" s="332"/>
    </row>
    <row r="5616" spans="5:5" x14ac:dyDescent="0.2">
      <c r="E5616" s="332"/>
    </row>
    <row r="5617" spans="5:5" x14ac:dyDescent="0.2">
      <c r="E5617" s="332"/>
    </row>
    <row r="5618" spans="5:5" x14ac:dyDescent="0.2">
      <c r="E5618" s="332"/>
    </row>
    <row r="5619" spans="5:5" x14ac:dyDescent="0.2">
      <c r="E5619" s="332"/>
    </row>
    <row r="5620" spans="5:5" x14ac:dyDescent="0.2">
      <c r="E5620" s="332"/>
    </row>
    <row r="5621" spans="5:5" x14ac:dyDescent="0.2">
      <c r="E5621" s="332"/>
    </row>
    <row r="5622" spans="5:5" x14ac:dyDescent="0.2">
      <c r="E5622" s="332"/>
    </row>
    <row r="5623" spans="5:5" x14ac:dyDescent="0.2">
      <c r="E5623" s="332"/>
    </row>
    <row r="5624" spans="5:5" x14ac:dyDescent="0.2">
      <c r="E5624" s="332"/>
    </row>
    <row r="5625" spans="5:5" x14ac:dyDescent="0.2">
      <c r="E5625" s="332"/>
    </row>
    <row r="5626" spans="5:5" x14ac:dyDescent="0.2">
      <c r="E5626" s="332"/>
    </row>
    <row r="5627" spans="5:5" x14ac:dyDescent="0.2">
      <c r="E5627" s="332"/>
    </row>
    <row r="5628" spans="5:5" x14ac:dyDescent="0.2">
      <c r="E5628" s="332"/>
    </row>
    <row r="5629" spans="5:5" x14ac:dyDescent="0.2">
      <c r="E5629" s="332"/>
    </row>
    <row r="5630" spans="5:5" x14ac:dyDescent="0.2">
      <c r="E5630" s="332"/>
    </row>
    <row r="5631" spans="5:5" x14ac:dyDescent="0.2">
      <c r="E5631" s="332"/>
    </row>
    <row r="5632" spans="5:5" x14ac:dyDescent="0.2">
      <c r="E5632" s="332"/>
    </row>
    <row r="5633" spans="5:5" x14ac:dyDescent="0.2">
      <c r="E5633" s="332"/>
    </row>
    <row r="5634" spans="5:5" x14ac:dyDescent="0.2">
      <c r="E5634" s="332"/>
    </row>
    <row r="5635" spans="5:5" x14ac:dyDescent="0.2">
      <c r="E5635" s="332"/>
    </row>
    <row r="5636" spans="5:5" x14ac:dyDescent="0.2">
      <c r="E5636" s="332"/>
    </row>
    <row r="5637" spans="5:5" x14ac:dyDescent="0.2">
      <c r="E5637" s="332"/>
    </row>
    <row r="5638" spans="5:5" x14ac:dyDescent="0.2">
      <c r="E5638" s="332"/>
    </row>
    <row r="5639" spans="5:5" x14ac:dyDescent="0.2">
      <c r="E5639" s="332"/>
    </row>
    <row r="5640" spans="5:5" x14ac:dyDescent="0.2">
      <c r="E5640" s="332"/>
    </row>
    <row r="5641" spans="5:5" x14ac:dyDescent="0.2">
      <c r="E5641" s="332"/>
    </row>
    <row r="5642" spans="5:5" x14ac:dyDescent="0.2">
      <c r="E5642" s="332"/>
    </row>
    <row r="5643" spans="5:5" x14ac:dyDescent="0.2">
      <c r="E5643" s="332"/>
    </row>
    <row r="5644" spans="5:5" x14ac:dyDescent="0.2">
      <c r="E5644" s="332"/>
    </row>
    <row r="5645" spans="5:5" x14ac:dyDescent="0.2">
      <c r="E5645" s="332"/>
    </row>
    <row r="5646" spans="5:5" x14ac:dyDescent="0.2">
      <c r="E5646" s="332"/>
    </row>
    <row r="5647" spans="5:5" x14ac:dyDescent="0.2">
      <c r="E5647" s="332"/>
    </row>
    <row r="5648" spans="5:5" x14ac:dyDescent="0.2">
      <c r="E5648" s="332"/>
    </row>
    <row r="5649" spans="5:5" x14ac:dyDescent="0.2">
      <c r="E5649" s="332"/>
    </row>
    <row r="5650" spans="5:5" x14ac:dyDescent="0.2">
      <c r="E5650" s="332"/>
    </row>
    <row r="5651" spans="5:5" x14ac:dyDescent="0.2">
      <c r="E5651" s="332"/>
    </row>
    <row r="5652" spans="5:5" x14ac:dyDescent="0.2">
      <c r="E5652" s="332"/>
    </row>
    <row r="5653" spans="5:5" x14ac:dyDescent="0.2">
      <c r="E5653" s="332"/>
    </row>
    <row r="5654" spans="5:5" x14ac:dyDescent="0.2">
      <c r="E5654" s="332"/>
    </row>
    <row r="5655" spans="5:5" x14ac:dyDescent="0.2">
      <c r="E5655" s="332"/>
    </row>
    <row r="5656" spans="5:5" x14ac:dyDescent="0.2">
      <c r="E5656" s="332"/>
    </row>
    <row r="5657" spans="5:5" x14ac:dyDescent="0.2">
      <c r="E5657" s="332"/>
    </row>
    <row r="5658" spans="5:5" x14ac:dyDescent="0.2">
      <c r="E5658" s="332"/>
    </row>
    <row r="5659" spans="5:5" x14ac:dyDescent="0.2">
      <c r="E5659" s="332"/>
    </row>
    <row r="5660" spans="5:5" x14ac:dyDescent="0.2">
      <c r="E5660" s="332"/>
    </row>
    <row r="5661" spans="5:5" x14ac:dyDescent="0.2">
      <c r="E5661" s="332"/>
    </row>
    <row r="5662" spans="5:5" x14ac:dyDescent="0.2">
      <c r="E5662" s="332"/>
    </row>
    <row r="5663" spans="5:5" x14ac:dyDescent="0.2">
      <c r="E5663" s="332"/>
    </row>
    <row r="5664" spans="5:5" x14ac:dyDescent="0.2">
      <c r="E5664" s="332"/>
    </row>
    <row r="5665" spans="5:5" x14ac:dyDescent="0.2">
      <c r="E5665" s="332"/>
    </row>
    <row r="5666" spans="5:5" x14ac:dyDescent="0.2">
      <c r="E5666" s="332"/>
    </row>
    <row r="5667" spans="5:5" x14ac:dyDescent="0.2">
      <c r="E5667" s="332"/>
    </row>
    <row r="5668" spans="5:5" x14ac:dyDescent="0.2">
      <c r="E5668" s="332"/>
    </row>
    <row r="5669" spans="5:5" x14ac:dyDescent="0.2">
      <c r="E5669" s="332"/>
    </row>
    <row r="5670" spans="5:5" x14ac:dyDescent="0.2">
      <c r="E5670" s="332"/>
    </row>
    <row r="5671" spans="5:5" x14ac:dyDescent="0.2">
      <c r="E5671" s="332"/>
    </row>
    <row r="5672" spans="5:5" x14ac:dyDescent="0.2">
      <c r="E5672" s="332"/>
    </row>
    <row r="5673" spans="5:5" x14ac:dyDescent="0.2">
      <c r="E5673" s="332"/>
    </row>
    <row r="5674" spans="5:5" x14ac:dyDescent="0.2">
      <c r="E5674" s="332"/>
    </row>
    <row r="5675" spans="5:5" x14ac:dyDescent="0.2">
      <c r="E5675" s="332"/>
    </row>
    <row r="5676" spans="5:5" x14ac:dyDescent="0.2">
      <c r="E5676" s="332"/>
    </row>
    <row r="5677" spans="5:5" x14ac:dyDescent="0.2">
      <c r="E5677" s="332"/>
    </row>
    <row r="5678" spans="5:5" x14ac:dyDescent="0.2">
      <c r="E5678" s="332"/>
    </row>
    <row r="5679" spans="5:5" x14ac:dyDescent="0.2">
      <c r="E5679" s="332"/>
    </row>
    <row r="5680" spans="5:5" x14ac:dyDescent="0.2">
      <c r="E5680" s="332"/>
    </row>
    <row r="5681" spans="5:5" x14ac:dyDescent="0.2">
      <c r="E5681" s="332"/>
    </row>
    <row r="5682" spans="5:5" x14ac:dyDescent="0.2">
      <c r="E5682" s="332"/>
    </row>
    <row r="5683" spans="5:5" x14ac:dyDescent="0.2">
      <c r="E5683" s="332"/>
    </row>
    <row r="5684" spans="5:5" x14ac:dyDescent="0.2">
      <c r="E5684" s="332"/>
    </row>
    <row r="5685" spans="5:5" x14ac:dyDescent="0.2">
      <c r="E5685" s="332"/>
    </row>
    <row r="5686" spans="5:5" x14ac:dyDescent="0.2">
      <c r="E5686" s="332"/>
    </row>
    <row r="5687" spans="5:5" x14ac:dyDescent="0.2">
      <c r="E5687" s="332"/>
    </row>
    <row r="5688" spans="5:5" x14ac:dyDescent="0.2">
      <c r="E5688" s="332"/>
    </row>
    <row r="5689" spans="5:5" x14ac:dyDescent="0.2">
      <c r="E5689" s="332"/>
    </row>
    <row r="5690" spans="5:5" x14ac:dyDescent="0.2">
      <c r="E5690" s="332"/>
    </row>
    <row r="5691" spans="5:5" x14ac:dyDescent="0.2">
      <c r="E5691" s="332"/>
    </row>
    <row r="5692" spans="5:5" x14ac:dyDescent="0.2">
      <c r="E5692" s="332"/>
    </row>
    <row r="5693" spans="5:5" x14ac:dyDescent="0.2">
      <c r="E5693" s="332"/>
    </row>
    <row r="5694" spans="5:5" x14ac:dyDescent="0.2">
      <c r="E5694" s="332"/>
    </row>
    <row r="5695" spans="5:5" x14ac:dyDescent="0.2">
      <c r="E5695" s="332"/>
    </row>
    <row r="5696" spans="5:5" x14ac:dyDescent="0.2">
      <c r="E5696" s="332"/>
    </row>
    <row r="5697" spans="5:5" x14ac:dyDescent="0.2">
      <c r="E5697" s="332"/>
    </row>
    <row r="5698" spans="5:5" x14ac:dyDescent="0.2">
      <c r="E5698" s="332"/>
    </row>
    <row r="5699" spans="5:5" x14ac:dyDescent="0.2">
      <c r="E5699" s="332"/>
    </row>
    <row r="5700" spans="5:5" x14ac:dyDescent="0.2">
      <c r="E5700" s="332"/>
    </row>
    <row r="5701" spans="5:5" x14ac:dyDescent="0.2">
      <c r="E5701" s="332"/>
    </row>
    <row r="5702" spans="5:5" x14ac:dyDescent="0.2">
      <c r="E5702" s="332"/>
    </row>
    <row r="5703" spans="5:5" x14ac:dyDescent="0.2">
      <c r="E5703" s="332"/>
    </row>
    <row r="5704" spans="5:5" x14ac:dyDescent="0.2">
      <c r="E5704" s="332"/>
    </row>
    <row r="5705" spans="5:5" x14ac:dyDescent="0.2">
      <c r="E5705" s="332"/>
    </row>
    <row r="5706" spans="5:5" x14ac:dyDescent="0.2">
      <c r="E5706" s="332"/>
    </row>
    <row r="5707" spans="5:5" x14ac:dyDescent="0.2">
      <c r="E5707" s="332"/>
    </row>
    <row r="5708" spans="5:5" x14ac:dyDescent="0.2">
      <c r="E5708" s="332"/>
    </row>
    <row r="5709" spans="5:5" x14ac:dyDescent="0.2">
      <c r="E5709" s="332"/>
    </row>
    <row r="5710" spans="5:5" x14ac:dyDescent="0.2">
      <c r="E5710" s="332"/>
    </row>
    <row r="5711" spans="5:5" x14ac:dyDescent="0.2">
      <c r="E5711" s="332"/>
    </row>
    <row r="5712" spans="5:5" x14ac:dyDescent="0.2">
      <c r="E5712" s="332"/>
    </row>
    <row r="5713" spans="5:5" x14ac:dyDescent="0.2">
      <c r="E5713" s="332"/>
    </row>
    <row r="5714" spans="5:5" x14ac:dyDescent="0.2">
      <c r="E5714" s="332"/>
    </row>
    <row r="5715" spans="5:5" x14ac:dyDescent="0.2">
      <c r="E5715" s="332"/>
    </row>
    <row r="5716" spans="5:5" x14ac:dyDescent="0.2">
      <c r="E5716" s="332"/>
    </row>
    <row r="5717" spans="5:5" x14ac:dyDescent="0.2">
      <c r="E5717" s="332"/>
    </row>
    <row r="5718" spans="5:5" x14ac:dyDescent="0.2">
      <c r="E5718" s="332"/>
    </row>
    <row r="5719" spans="5:5" x14ac:dyDescent="0.2">
      <c r="E5719" s="332"/>
    </row>
    <row r="5720" spans="5:5" x14ac:dyDescent="0.2">
      <c r="E5720" s="332"/>
    </row>
    <row r="5721" spans="5:5" x14ac:dyDescent="0.2">
      <c r="E5721" s="332"/>
    </row>
    <row r="5722" spans="5:5" x14ac:dyDescent="0.2">
      <c r="E5722" s="332"/>
    </row>
    <row r="5723" spans="5:5" x14ac:dyDescent="0.2">
      <c r="E5723" s="332"/>
    </row>
    <row r="5724" spans="5:5" x14ac:dyDescent="0.2">
      <c r="E5724" s="332"/>
    </row>
    <row r="5725" spans="5:5" x14ac:dyDescent="0.2">
      <c r="E5725" s="332"/>
    </row>
    <row r="5726" spans="5:5" x14ac:dyDescent="0.2">
      <c r="E5726" s="332"/>
    </row>
    <row r="5727" spans="5:5" x14ac:dyDescent="0.2">
      <c r="E5727" s="332"/>
    </row>
    <row r="5728" spans="5:5" x14ac:dyDescent="0.2">
      <c r="E5728" s="332"/>
    </row>
    <row r="5729" spans="5:5" x14ac:dyDescent="0.2">
      <c r="E5729" s="332"/>
    </row>
    <row r="5730" spans="5:5" x14ac:dyDescent="0.2">
      <c r="E5730" s="332"/>
    </row>
    <row r="5731" spans="5:5" x14ac:dyDescent="0.2">
      <c r="E5731" s="332"/>
    </row>
    <row r="5732" spans="5:5" x14ac:dyDescent="0.2">
      <c r="E5732" s="332"/>
    </row>
    <row r="5733" spans="5:5" x14ac:dyDescent="0.2">
      <c r="E5733" s="332"/>
    </row>
    <row r="5734" spans="5:5" x14ac:dyDescent="0.2">
      <c r="E5734" s="332"/>
    </row>
    <row r="5735" spans="5:5" x14ac:dyDescent="0.2">
      <c r="E5735" s="332"/>
    </row>
    <row r="5736" spans="5:5" x14ac:dyDescent="0.2">
      <c r="E5736" s="332"/>
    </row>
    <row r="5737" spans="5:5" x14ac:dyDescent="0.2">
      <c r="E5737" s="332"/>
    </row>
    <row r="5738" spans="5:5" x14ac:dyDescent="0.2">
      <c r="E5738" s="332"/>
    </row>
    <row r="5739" spans="5:5" x14ac:dyDescent="0.2">
      <c r="E5739" s="332"/>
    </row>
    <row r="5740" spans="5:5" x14ac:dyDescent="0.2">
      <c r="E5740" s="332"/>
    </row>
    <row r="5741" spans="5:5" x14ac:dyDescent="0.2">
      <c r="E5741" s="332"/>
    </row>
    <row r="5742" spans="5:5" x14ac:dyDescent="0.2">
      <c r="E5742" s="332"/>
    </row>
    <row r="5743" spans="5:5" x14ac:dyDescent="0.2">
      <c r="E5743" s="332"/>
    </row>
    <row r="5744" spans="5:5" x14ac:dyDescent="0.2">
      <c r="E5744" s="332"/>
    </row>
    <row r="5745" spans="5:5" x14ac:dyDescent="0.2">
      <c r="E5745" s="332"/>
    </row>
    <row r="5746" spans="5:5" x14ac:dyDescent="0.2">
      <c r="E5746" s="332"/>
    </row>
    <row r="5747" spans="5:5" x14ac:dyDescent="0.2">
      <c r="E5747" s="332"/>
    </row>
    <row r="5748" spans="5:5" x14ac:dyDescent="0.2">
      <c r="E5748" s="332"/>
    </row>
    <row r="5749" spans="5:5" x14ac:dyDescent="0.2">
      <c r="E5749" s="332"/>
    </row>
    <row r="5750" spans="5:5" x14ac:dyDescent="0.2">
      <c r="E5750" s="332"/>
    </row>
    <row r="5751" spans="5:5" x14ac:dyDescent="0.2">
      <c r="E5751" s="332"/>
    </row>
    <row r="5752" spans="5:5" x14ac:dyDescent="0.2">
      <c r="E5752" s="332"/>
    </row>
    <row r="5753" spans="5:5" x14ac:dyDescent="0.2">
      <c r="E5753" s="332"/>
    </row>
    <row r="5754" spans="5:5" x14ac:dyDescent="0.2">
      <c r="E5754" s="332"/>
    </row>
    <row r="5755" spans="5:5" x14ac:dyDescent="0.2">
      <c r="E5755" s="332"/>
    </row>
    <row r="5756" spans="5:5" x14ac:dyDescent="0.2">
      <c r="E5756" s="332"/>
    </row>
    <row r="5757" spans="5:5" x14ac:dyDescent="0.2">
      <c r="E5757" s="332"/>
    </row>
    <row r="5758" spans="5:5" x14ac:dyDescent="0.2">
      <c r="E5758" s="332"/>
    </row>
    <row r="5759" spans="5:5" x14ac:dyDescent="0.2">
      <c r="E5759" s="332"/>
    </row>
    <row r="5760" spans="5:5" x14ac:dyDescent="0.2">
      <c r="E5760" s="332"/>
    </row>
    <row r="5761" spans="5:5" x14ac:dyDescent="0.2">
      <c r="E5761" s="332"/>
    </row>
    <row r="5762" spans="5:5" x14ac:dyDescent="0.2">
      <c r="E5762" s="332"/>
    </row>
    <row r="5763" spans="5:5" x14ac:dyDescent="0.2">
      <c r="E5763" s="332"/>
    </row>
    <row r="5764" spans="5:5" x14ac:dyDescent="0.2">
      <c r="E5764" s="332"/>
    </row>
    <row r="5765" spans="5:5" x14ac:dyDescent="0.2">
      <c r="E5765" s="332"/>
    </row>
    <row r="5766" spans="5:5" x14ac:dyDescent="0.2">
      <c r="E5766" s="332"/>
    </row>
    <row r="5767" spans="5:5" x14ac:dyDescent="0.2">
      <c r="E5767" s="332"/>
    </row>
    <row r="5768" spans="5:5" x14ac:dyDescent="0.2">
      <c r="E5768" s="332"/>
    </row>
    <row r="5769" spans="5:5" x14ac:dyDescent="0.2">
      <c r="E5769" s="332"/>
    </row>
    <row r="5770" spans="5:5" x14ac:dyDescent="0.2">
      <c r="E5770" s="332"/>
    </row>
    <row r="5771" spans="5:5" x14ac:dyDescent="0.2">
      <c r="E5771" s="332"/>
    </row>
    <row r="5772" spans="5:5" x14ac:dyDescent="0.2">
      <c r="E5772" s="332"/>
    </row>
    <row r="5773" spans="5:5" x14ac:dyDescent="0.2">
      <c r="E5773" s="332"/>
    </row>
    <row r="5774" spans="5:5" x14ac:dyDescent="0.2">
      <c r="E5774" s="332"/>
    </row>
    <row r="5775" spans="5:5" x14ac:dyDescent="0.2">
      <c r="E5775" s="332"/>
    </row>
    <row r="5776" spans="5:5" x14ac:dyDescent="0.2">
      <c r="E5776" s="332"/>
    </row>
    <row r="5777" spans="5:5" x14ac:dyDescent="0.2">
      <c r="E5777" s="332"/>
    </row>
    <row r="5778" spans="5:5" x14ac:dyDescent="0.2">
      <c r="E5778" s="332"/>
    </row>
    <row r="5779" spans="5:5" x14ac:dyDescent="0.2">
      <c r="E5779" s="332"/>
    </row>
    <row r="5780" spans="5:5" x14ac:dyDescent="0.2">
      <c r="E5780" s="332"/>
    </row>
    <row r="5781" spans="5:5" x14ac:dyDescent="0.2">
      <c r="E5781" s="332"/>
    </row>
    <row r="5782" spans="5:5" x14ac:dyDescent="0.2">
      <c r="E5782" s="332"/>
    </row>
    <row r="5783" spans="5:5" x14ac:dyDescent="0.2">
      <c r="E5783" s="332"/>
    </row>
    <row r="5784" spans="5:5" x14ac:dyDescent="0.2">
      <c r="E5784" s="332"/>
    </row>
    <row r="5785" spans="5:5" x14ac:dyDescent="0.2">
      <c r="E5785" s="332"/>
    </row>
    <row r="5786" spans="5:5" x14ac:dyDescent="0.2">
      <c r="E5786" s="332"/>
    </row>
    <row r="5787" spans="5:5" x14ac:dyDescent="0.2">
      <c r="E5787" s="332"/>
    </row>
    <row r="5788" spans="5:5" x14ac:dyDescent="0.2">
      <c r="E5788" s="332"/>
    </row>
    <row r="5789" spans="5:5" x14ac:dyDescent="0.2">
      <c r="E5789" s="332"/>
    </row>
    <row r="5790" spans="5:5" x14ac:dyDescent="0.2">
      <c r="E5790" s="332"/>
    </row>
    <row r="5791" spans="5:5" x14ac:dyDescent="0.2">
      <c r="E5791" s="332"/>
    </row>
    <row r="5792" spans="5:5" x14ac:dyDescent="0.2">
      <c r="E5792" s="332"/>
    </row>
    <row r="5793" spans="5:5" x14ac:dyDescent="0.2">
      <c r="E5793" s="332"/>
    </row>
    <row r="5794" spans="5:5" x14ac:dyDescent="0.2">
      <c r="E5794" s="332"/>
    </row>
    <row r="5795" spans="5:5" x14ac:dyDescent="0.2">
      <c r="E5795" s="332"/>
    </row>
    <row r="5796" spans="5:5" x14ac:dyDescent="0.2">
      <c r="E5796" s="332"/>
    </row>
    <row r="5797" spans="5:5" x14ac:dyDescent="0.2">
      <c r="E5797" s="332"/>
    </row>
    <row r="5798" spans="5:5" x14ac:dyDescent="0.2">
      <c r="E5798" s="332"/>
    </row>
    <row r="5799" spans="5:5" x14ac:dyDescent="0.2">
      <c r="E5799" s="332"/>
    </row>
    <row r="5800" spans="5:5" x14ac:dyDescent="0.2">
      <c r="E5800" s="332"/>
    </row>
    <row r="5801" spans="5:5" x14ac:dyDescent="0.2">
      <c r="E5801" s="332"/>
    </row>
    <row r="5802" spans="5:5" x14ac:dyDescent="0.2">
      <c r="E5802" s="332"/>
    </row>
    <row r="5803" spans="5:5" x14ac:dyDescent="0.2">
      <c r="E5803" s="332"/>
    </row>
    <row r="5804" spans="5:5" x14ac:dyDescent="0.2">
      <c r="E5804" s="332"/>
    </row>
    <row r="5805" spans="5:5" x14ac:dyDescent="0.2">
      <c r="E5805" s="332"/>
    </row>
    <row r="5806" spans="5:5" x14ac:dyDescent="0.2">
      <c r="E5806" s="332"/>
    </row>
    <row r="5807" spans="5:5" x14ac:dyDescent="0.2">
      <c r="E5807" s="332"/>
    </row>
    <row r="5808" spans="5:5" x14ac:dyDescent="0.2">
      <c r="E5808" s="332"/>
    </row>
    <row r="5809" spans="5:5" x14ac:dyDescent="0.2">
      <c r="E5809" s="332"/>
    </row>
    <row r="5810" spans="5:5" x14ac:dyDescent="0.2">
      <c r="E5810" s="332"/>
    </row>
    <row r="5811" spans="5:5" x14ac:dyDescent="0.2">
      <c r="E5811" s="332"/>
    </row>
    <row r="5812" spans="5:5" x14ac:dyDescent="0.2">
      <c r="E5812" s="332"/>
    </row>
    <row r="5813" spans="5:5" x14ac:dyDescent="0.2">
      <c r="E5813" s="332"/>
    </row>
    <row r="5814" spans="5:5" x14ac:dyDescent="0.2">
      <c r="E5814" s="332"/>
    </row>
    <row r="5815" spans="5:5" x14ac:dyDescent="0.2">
      <c r="E5815" s="332"/>
    </row>
    <row r="5816" spans="5:5" x14ac:dyDescent="0.2">
      <c r="E5816" s="332"/>
    </row>
    <row r="5817" spans="5:5" x14ac:dyDescent="0.2">
      <c r="E5817" s="332"/>
    </row>
    <row r="5818" spans="5:5" x14ac:dyDescent="0.2">
      <c r="E5818" s="332"/>
    </row>
    <row r="5819" spans="5:5" x14ac:dyDescent="0.2">
      <c r="E5819" s="332"/>
    </row>
    <row r="5820" spans="5:5" x14ac:dyDescent="0.2">
      <c r="E5820" s="332"/>
    </row>
    <row r="5821" spans="5:5" x14ac:dyDescent="0.2">
      <c r="E5821" s="332"/>
    </row>
    <row r="5822" spans="5:5" x14ac:dyDescent="0.2">
      <c r="E5822" s="332"/>
    </row>
    <row r="5823" spans="5:5" x14ac:dyDescent="0.2">
      <c r="E5823" s="332"/>
    </row>
    <row r="5824" spans="5:5" x14ac:dyDescent="0.2">
      <c r="E5824" s="332"/>
    </row>
    <row r="5825" spans="5:5" x14ac:dyDescent="0.2">
      <c r="E5825" s="332"/>
    </row>
    <row r="5826" spans="5:5" x14ac:dyDescent="0.2">
      <c r="E5826" s="332"/>
    </row>
    <row r="5827" spans="5:5" x14ac:dyDescent="0.2">
      <c r="E5827" s="332"/>
    </row>
    <row r="5828" spans="5:5" x14ac:dyDescent="0.2">
      <c r="E5828" s="332"/>
    </row>
    <row r="5829" spans="5:5" x14ac:dyDescent="0.2">
      <c r="E5829" s="332"/>
    </row>
    <row r="5830" spans="5:5" x14ac:dyDescent="0.2">
      <c r="E5830" s="332"/>
    </row>
    <row r="5831" spans="5:5" x14ac:dyDescent="0.2">
      <c r="E5831" s="332"/>
    </row>
    <row r="5832" spans="5:5" x14ac:dyDescent="0.2">
      <c r="E5832" s="332"/>
    </row>
    <row r="5833" spans="5:5" x14ac:dyDescent="0.2">
      <c r="E5833" s="332"/>
    </row>
    <row r="5834" spans="5:5" x14ac:dyDescent="0.2">
      <c r="E5834" s="332"/>
    </row>
    <row r="5835" spans="5:5" x14ac:dyDescent="0.2">
      <c r="E5835" s="332"/>
    </row>
    <row r="5836" spans="5:5" x14ac:dyDescent="0.2">
      <c r="E5836" s="332"/>
    </row>
    <row r="5837" spans="5:5" x14ac:dyDescent="0.2">
      <c r="E5837" s="332"/>
    </row>
    <row r="5838" spans="5:5" x14ac:dyDescent="0.2">
      <c r="E5838" s="332"/>
    </row>
    <row r="5839" spans="5:5" x14ac:dyDescent="0.2">
      <c r="E5839" s="332"/>
    </row>
    <row r="5840" spans="5:5" x14ac:dyDescent="0.2">
      <c r="E5840" s="332"/>
    </row>
    <row r="5841" spans="5:5" x14ac:dyDescent="0.2">
      <c r="E5841" s="332"/>
    </row>
    <row r="5842" spans="5:5" x14ac:dyDescent="0.2">
      <c r="E5842" s="332"/>
    </row>
    <row r="5843" spans="5:5" x14ac:dyDescent="0.2">
      <c r="E5843" s="332"/>
    </row>
    <row r="5844" spans="5:5" x14ac:dyDescent="0.2">
      <c r="E5844" s="332"/>
    </row>
    <row r="5845" spans="5:5" x14ac:dyDescent="0.2">
      <c r="E5845" s="332"/>
    </row>
    <row r="5846" spans="5:5" x14ac:dyDescent="0.2">
      <c r="E5846" s="332"/>
    </row>
    <row r="5847" spans="5:5" x14ac:dyDescent="0.2">
      <c r="E5847" s="332"/>
    </row>
    <row r="5848" spans="5:5" x14ac:dyDescent="0.2">
      <c r="E5848" s="332"/>
    </row>
    <row r="5849" spans="5:5" x14ac:dyDescent="0.2">
      <c r="E5849" s="332"/>
    </row>
    <row r="5850" spans="5:5" x14ac:dyDescent="0.2">
      <c r="E5850" s="332"/>
    </row>
    <row r="5851" spans="5:5" x14ac:dyDescent="0.2">
      <c r="E5851" s="332"/>
    </row>
    <row r="5852" spans="5:5" x14ac:dyDescent="0.2">
      <c r="E5852" s="332"/>
    </row>
    <row r="5853" spans="5:5" x14ac:dyDescent="0.2">
      <c r="E5853" s="332"/>
    </row>
    <row r="5854" spans="5:5" x14ac:dyDescent="0.2">
      <c r="E5854" s="332"/>
    </row>
    <row r="5855" spans="5:5" x14ac:dyDescent="0.2">
      <c r="E5855" s="332"/>
    </row>
    <row r="5856" spans="5:5" x14ac:dyDescent="0.2">
      <c r="E5856" s="332"/>
    </row>
    <row r="5857" spans="5:5" x14ac:dyDescent="0.2">
      <c r="E5857" s="332"/>
    </row>
    <row r="5858" spans="5:5" x14ac:dyDescent="0.2">
      <c r="E5858" s="332"/>
    </row>
    <row r="5859" spans="5:5" x14ac:dyDescent="0.2">
      <c r="E5859" s="332"/>
    </row>
    <row r="5860" spans="5:5" x14ac:dyDescent="0.2">
      <c r="E5860" s="332"/>
    </row>
    <row r="5861" spans="5:5" x14ac:dyDescent="0.2">
      <c r="E5861" s="332"/>
    </row>
    <row r="5862" spans="5:5" x14ac:dyDescent="0.2">
      <c r="E5862" s="332"/>
    </row>
    <row r="5863" spans="5:5" x14ac:dyDescent="0.2">
      <c r="E5863" s="332"/>
    </row>
    <row r="5864" spans="5:5" x14ac:dyDescent="0.2">
      <c r="E5864" s="332"/>
    </row>
    <row r="5865" spans="5:5" x14ac:dyDescent="0.2">
      <c r="E5865" s="332"/>
    </row>
    <row r="5866" spans="5:5" x14ac:dyDescent="0.2">
      <c r="E5866" s="332"/>
    </row>
    <row r="5867" spans="5:5" x14ac:dyDescent="0.2">
      <c r="E5867" s="332"/>
    </row>
    <row r="5868" spans="5:5" x14ac:dyDescent="0.2">
      <c r="E5868" s="332"/>
    </row>
    <row r="5869" spans="5:5" x14ac:dyDescent="0.2">
      <c r="E5869" s="332"/>
    </row>
    <row r="5870" spans="5:5" x14ac:dyDescent="0.2">
      <c r="E5870" s="332"/>
    </row>
    <row r="5871" spans="5:5" x14ac:dyDescent="0.2">
      <c r="E5871" s="332"/>
    </row>
    <row r="5872" spans="5:5" x14ac:dyDescent="0.2">
      <c r="E5872" s="332"/>
    </row>
    <row r="5873" spans="5:5" x14ac:dyDescent="0.2">
      <c r="E5873" s="332"/>
    </row>
    <row r="5874" spans="5:5" x14ac:dyDescent="0.2">
      <c r="E5874" s="332"/>
    </row>
    <row r="5875" spans="5:5" x14ac:dyDescent="0.2">
      <c r="E5875" s="332"/>
    </row>
    <row r="5876" spans="5:5" x14ac:dyDescent="0.2">
      <c r="E5876" s="332"/>
    </row>
    <row r="5877" spans="5:5" x14ac:dyDescent="0.2">
      <c r="E5877" s="332"/>
    </row>
    <row r="5878" spans="5:5" x14ac:dyDescent="0.2">
      <c r="E5878" s="332"/>
    </row>
    <row r="5879" spans="5:5" x14ac:dyDescent="0.2">
      <c r="E5879" s="332"/>
    </row>
    <row r="5880" spans="5:5" x14ac:dyDescent="0.2">
      <c r="E5880" s="332"/>
    </row>
    <row r="5881" spans="5:5" x14ac:dyDescent="0.2">
      <c r="E5881" s="332"/>
    </row>
    <row r="5882" spans="5:5" x14ac:dyDescent="0.2">
      <c r="E5882" s="332"/>
    </row>
    <row r="5883" spans="5:5" x14ac:dyDescent="0.2">
      <c r="E5883" s="332"/>
    </row>
    <row r="5884" spans="5:5" x14ac:dyDescent="0.2">
      <c r="E5884" s="332"/>
    </row>
    <row r="5885" spans="5:5" x14ac:dyDescent="0.2">
      <c r="E5885" s="332"/>
    </row>
    <row r="5886" spans="5:5" x14ac:dyDescent="0.2">
      <c r="E5886" s="332"/>
    </row>
    <row r="5887" spans="5:5" x14ac:dyDescent="0.2">
      <c r="E5887" s="332"/>
    </row>
    <row r="5888" spans="5:5" x14ac:dyDescent="0.2">
      <c r="E5888" s="332"/>
    </row>
    <row r="5889" spans="5:5" x14ac:dyDescent="0.2">
      <c r="E5889" s="332"/>
    </row>
    <row r="5890" spans="5:5" x14ac:dyDescent="0.2">
      <c r="E5890" s="332"/>
    </row>
    <row r="5891" spans="5:5" x14ac:dyDescent="0.2">
      <c r="E5891" s="332"/>
    </row>
    <row r="5892" spans="5:5" x14ac:dyDescent="0.2">
      <c r="E5892" s="332"/>
    </row>
    <row r="5893" spans="5:5" x14ac:dyDescent="0.2">
      <c r="E5893" s="332"/>
    </row>
    <row r="5894" spans="5:5" x14ac:dyDescent="0.2">
      <c r="E5894" s="332"/>
    </row>
    <row r="5895" spans="5:5" x14ac:dyDescent="0.2">
      <c r="E5895" s="332"/>
    </row>
    <row r="5896" spans="5:5" x14ac:dyDescent="0.2">
      <c r="E5896" s="332"/>
    </row>
    <row r="5897" spans="5:5" x14ac:dyDescent="0.2">
      <c r="E5897" s="332"/>
    </row>
    <row r="5898" spans="5:5" x14ac:dyDescent="0.2">
      <c r="E5898" s="332"/>
    </row>
    <row r="5899" spans="5:5" x14ac:dyDescent="0.2">
      <c r="E5899" s="332"/>
    </row>
    <row r="5900" spans="5:5" x14ac:dyDescent="0.2">
      <c r="E5900" s="332"/>
    </row>
    <row r="5901" spans="5:5" x14ac:dyDescent="0.2">
      <c r="E5901" s="332"/>
    </row>
    <row r="5902" spans="5:5" x14ac:dyDescent="0.2">
      <c r="E5902" s="332"/>
    </row>
    <row r="5903" spans="5:5" x14ac:dyDescent="0.2">
      <c r="E5903" s="332"/>
    </row>
    <row r="5904" spans="5:5" x14ac:dyDescent="0.2">
      <c r="E5904" s="332"/>
    </row>
    <row r="5905" spans="5:5" x14ac:dyDescent="0.2">
      <c r="E5905" s="332"/>
    </row>
    <row r="5906" spans="5:5" x14ac:dyDescent="0.2">
      <c r="E5906" s="332"/>
    </row>
    <row r="5907" spans="5:5" x14ac:dyDescent="0.2">
      <c r="E5907" s="332"/>
    </row>
    <row r="5908" spans="5:5" x14ac:dyDescent="0.2">
      <c r="E5908" s="332"/>
    </row>
    <row r="5909" spans="5:5" x14ac:dyDescent="0.2">
      <c r="E5909" s="332"/>
    </row>
    <row r="5910" spans="5:5" x14ac:dyDescent="0.2">
      <c r="E5910" s="332"/>
    </row>
    <row r="5911" spans="5:5" x14ac:dyDescent="0.2">
      <c r="E5911" s="332"/>
    </row>
    <row r="5912" spans="5:5" x14ac:dyDescent="0.2">
      <c r="E5912" s="332"/>
    </row>
    <row r="5913" spans="5:5" x14ac:dyDescent="0.2">
      <c r="E5913" s="332"/>
    </row>
    <row r="5914" spans="5:5" x14ac:dyDescent="0.2">
      <c r="E5914" s="332"/>
    </row>
    <row r="5915" spans="5:5" x14ac:dyDescent="0.2">
      <c r="E5915" s="332"/>
    </row>
    <row r="5916" spans="5:5" x14ac:dyDescent="0.2">
      <c r="E5916" s="332"/>
    </row>
    <row r="5917" spans="5:5" x14ac:dyDescent="0.2">
      <c r="E5917" s="332"/>
    </row>
    <row r="5918" spans="5:5" x14ac:dyDescent="0.2">
      <c r="E5918" s="332"/>
    </row>
    <row r="5919" spans="5:5" x14ac:dyDescent="0.2">
      <c r="E5919" s="332"/>
    </row>
    <row r="5920" spans="5:5" x14ac:dyDescent="0.2">
      <c r="E5920" s="332"/>
    </row>
    <row r="5921" spans="5:5" x14ac:dyDescent="0.2">
      <c r="E5921" s="332"/>
    </row>
    <row r="5922" spans="5:5" x14ac:dyDescent="0.2">
      <c r="E5922" s="332"/>
    </row>
    <row r="5923" spans="5:5" x14ac:dyDescent="0.2">
      <c r="E5923" s="332"/>
    </row>
    <row r="5924" spans="5:5" x14ac:dyDescent="0.2">
      <c r="E5924" s="332"/>
    </row>
    <row r="5925" spans="5:5" x14ac:dyDescent="0.2">
      <c r="E5925" s="332"/>
    </row>
    <row r="5926" spans="5:5" x14ac:dyDescent="0.2">
      <c r="E5926" s="332"/>
    </row>
    <row r="5927" spans="5:5" x14ac:dyDescent="0.2">
      <c r="E5927" s="332"/>
    </row>
    <row r="5928" spans="5:5" x14ac:dyDescent="0.2">
      <c r="E5928" s="332"/>
    </row>
    <row r="5929" spans="5:5" x14ac:dyDescent="0.2">
      <c r="E5929" s="332"/>
    </row>
    <row r="5930" spans="5:5" x14ac:dyDescent="0.2">
      <c r="E5930" s="332"/>
    </row>
    <row r="5931" spans="5:5" x14ac:dyDescent="0.2">
      <c r="E5931" s="332"/>
    </row>
    <row r="5932" spans="5:5" x14ac:dyDescent="0.2">
      <c r="E5932" s="332"/>
    </row>
    <row r="5933" spans="5:5" x14ac:dyDescent="0.2">
      <c r="E5933" s="332"/>
    </row>
    <row r="5934" spans="5:5" x14ac:dyDescent="0.2">
      <c r="E5934" s="332"/>
    </row>
    <row r="5935" spans="5:5" x14ac:dyDescent="0.2">
      <c r="E5935" s="332"/>
    </row>
    <row r="5936" spans="5:5" x14ac:dyDescent="0.2">
      <c r="E5936" s="332"/>
    </row>
    <row r="5937" spans="5:5" x14ac:dyDescent="0.2">
      <c r="E5937" s="332"/>
    </row>
    <row r="5938" spans="5:5" x14ac:dyDescent="0.2">
      <c r="E5938" s="332"/>
    </row>
    <row r="5939" spans="5:5" x14ac:dyDescent="0.2">
      <c r="E5939" s="332"/>
    </row>
    <row r="5940" spans="5:5" x14ac:dyDescent="0.2">
      <c r="E5940" s="332"/>
    </row>
    <row r="5941" spans="5:5" x14ac:dyDescent="0.2">
      <c r="E5941" s="332"/>
    </row>
    <row r="5942" spans="5:5" x14ac:dyDescent="0.2">
      <c r="E5942" s="332"/>
    </row>
    <row r="5943" spans="5:5" x14ac:dyDescent="0.2">
      <c r="E5943" s="332"/>
    </row>
    <row r="5944" spans="5:5" x14ac:dyDescent="0.2">
      <c r="E5944" s="332"/>
    </row>
    <row r="5945" spans="5:5" x14ac:dyDescent="0.2">
      <c r="E5945" s="332"/>
    </row>
    <row r="5946" spans="5:5" x14ac:dyDescent="0.2">
      <c r="E5946" s="332"/>
    </row>
    <row r="5947" spans="5:5" x14ac:dyDescent="0.2">
      <c r="E5947" s="332"/>
    </row>
    <row r="5948" spans="5:5" x14ac:dyDescent="0.2">
      <c r="E5948" s="332"/>
    </row>
    <row r="5949" spans="5:5" x14ac:dyDescent="0.2">
      <c r="E5949" s="332"/>
    </row>
    <row r="5950" spans="5:5" x14ac:dyDescent="0.2">
      <c r="E5950" s="332"/>
    </row>
    <row r="5951" spans="5:5" x14ac:dyDescent="0.2">
      <c r="E5951" s="332"/>
    </row>
    <row r="5952" spans="5:5" x14ac:dyDescent="0.2">
      <c r="E5952" s="332"/>
    </row>
    <row r="5953" spans="5:5" x14ac:dyDescent="0.2">
      <c r="E5953" s="332"/>
    </row>
    <row r="5954" spans="5:5" x14ac:dyDescent="0.2">
      <c r="E5954" s="332"/>
    </row>
    <row r="5955" spans="5:5" x14ac:dyDescent="0.2">
      <c r="E5955" s="332"/>
    </row>
    <row r="5956" spans="5:5" x14ac:dyDescent="0.2">
      <c r="E5956" s="332"/>
    </row>
    <row r="5957" spans="5:5" x14ac:dyDescent="0.2">
      <c r="E5957" s="332"/>
    </row>
    <row r="5958" spans="5:5" x14ac:dyDescent="0.2">
      <c r="E5958" s="332"/>
    </row>
    <row r="5959" spans="5:5" x14ac:dyDescent="0.2">
      <c r="E5959" s="332"/>
    </row>
    <row r="5960" spans="5:5" x14ac:dyDescent="0.2">
      <c r="E5960" s="332"/>
    </row>
    <row r="5961" spans="5:5" x14ac:dyDescent="0.2">
      <c r="E5961" s="332"/>
    </row>
    <row r="5962" spans="5:5" x14ac:dyDescent="0.2">
      <c r="E5962" s="332"/>
    </row>
    <row r="5963" spans="5:5" x14ac:dyDescent="0.2">
      <c r="E5963" s="332"/>
    </row>
    <row r="5964" spans="5:5" x14ac:dyDescent="0.2">
      <c r="E5964" s="332"/>
    </row>
    <row r="5965" spans="5:5" x14ac:dyDescent="0.2">
      <c r="E5965" s="332"/>
    </row>
    <row r="5966" spans="5:5" x14ac:dyDescent="0.2">
      <c r="E5966" s="332"/>
    </row>
    <row r="5967" spans="5:5" x14ac:dyDescent="0.2">
      <c r="E5967" s="332"/>
    </row>
    <row r="5968" spans="5:5" x14ac:dyDescent="0.2">
      <c r="E5968" s="332"/>
    </row>
    <row r="5969" spans="5:5" x14ac:dyDescent="0.2">
      <c r="E5969" s="332"/>
    </row>
    <row r="5970" spans="5:5" x14ac:dyDescent="0.2">
      <c r="E5970" s="332"/>
    </row>
    <row r="5971" spans="5:5" x14ac:dyDescent="0.2">
      <c r="E5971" s="332"/>
    </row>
    <row r="5972" spans="5:5" x14ac:dyDescent="0.2">
      <c r="E5972" s="332"/>
    </row>
    <row r="5973" spans="5:5" x14ac:dyDescent="0.2">
      <c r="E5973" s="332"/>
    </row>
    <row r="5974" spans="5:5" x14ac:dyDescent="0.2">
      <c r="E5974" s="332"/>
    </row>
    <row r="5975" spans="5:5" x14ac:dyDescent="0.2">
      <c r="E5975" s="332"/>
    </row>
    <row r="5976" spans="5:5" x14ac:dyDescent="0.2">
      <c r="E5976" s="332"/>
    </row>
    <row r="5977" spans="5:5" x14ac:dyDescent="0.2">
      <c r="E5977" s="332"/>
    </row>
    <row r="5978" spans="5:5" x14ac:dyDescent="0.2">
      <c r="E5978" s="332"/>
    </row>
    <row r="5979" spans="5:5" x14ac:dyDescent="0.2">
      <c r="E5979" s="332"/>
    </row>
    <row r="5980" spans="5:5" x14ac:dyDescent="0.2">
      <c r="E5980" s="332"/>
    </row>
    <row r="5981" spans="5:5" x14ac:dyDescent="0.2">
      <c r="E5981" s="332"/>
    </row>
    <row r="5982" spans="5:5" x14ac:dyDescent="0.2">
      <c r="E5982" s="332"/>
    </row>
    <row r="5983" spans="5:5" x14ac:dyDescent="0.2">
      <c r="E5983" s="332"/>
    </row>
    <row r="5984" spans="5:5" x14ac:dyDescent="0.2">
      <c r="E5984" s="332"/>
    </row>
    <row r="5985" spans="5:5" x14ac:dyDescent="0.2">
      <c r="E5985" s="332"/>
    </row>
    <row r="5986" spans="5:5" x14ac:dyDescent="0.2">
      <c r="E5986" s="332"/>
    </row>
    <row r="5987" spans="5:5" x14ac:dyDescent="0.2">
      <c r="E5987" s="332"/>
    </row>
    <row r="5988" spans="5:5" x14ac:dyDescent="0.2">
      <c r="E5988" s="332"/>
    </row>
    <row r="5989" spans="5:5" x14ac:dyDescent="0.2">
      <c r="E5989" s="332"/>
    </row>
    <row r="5990" spans="5:5" x14ac:dyDescent="0.2">
      <c r="E5990" s="332"/>
    </row>
    <row r="5991" spans="5:5" x14ac:dyDescent="0.2">
      <c r="E5991" s="332"/>
    </row>
    <row r="5992" spans="5:5" x14ac:dyDescent="0.2">
      <c r="E5992" s="332"/>
    </row>
    <row r="5993" spans="5:5" x14ac:dyDescent="0.2">
      <c r="E5993" s="332"/>
    </row>
    <row r="5994" spans="5:5" x14ac:dyDescent="0.2">
      <c r="E5994" s="332"/>
    </row>
    <row r="5995" spans="5:5" x14ac:dyDescent="0.2">
      <c r="E5995" s="332"/>
    </row>
    <row r="5996" spans="5:5" x14ac:dyDescent="0.2">
      <c r="E5996" s="332"/>
    </row>
    <row r="5997" spans="5:5" x14ac:dyDescent="0.2">
      <c r="E5997" s="332"/>
    </row>
    <row r="5998" spans="5:5" x14ac:dyDescent="0.2">
      <c r="E5998" s="332"/>
    </row>
    <row r="5999" spans="5:5" x14ac:dyDescent="0.2">
      <c r="E5999" s="332"/>
    </row>
    <row r="6000" spans="5:5" x14ac:dyDescent="0.2">
      <c r="E6000" s="332"/>
    </row>
    <row r="6001" spans="5:5" x14ac:dyDescent="0.2">
      <c r="E6001" s="332"/>
    </row>
    <row r="6002" spans="5:5" x14ac:dyDescent="0.2">
      <c r="E6002" s="332"/>
    </row>
    <row r="6003" spans="5:5" x14ac:dyDescent="0.2">
      <c r="E6003" s="332"/>
    </row>
    <row r="6004" spans="5:5" x14ac:dyDescent="0.2">
      <c r="E6004" s="332"/>
    </row>
    <row r="6005" spans="5:5" x14ac:dyDescent="0.2">
      <c r="E6005" s="332"/>
    </row>
    <row r="6006" spans="5:5" x14ac:dyDescent="0.2">
      <c r="E6006" s="332"/>
    </row>
    <row r="6007" spans="5:5" x14ac:dyDescent="0.2">
      <c r="E6007" s="332"/>
    </row>
    <row r="6008" spans="5:5" x14ac:dyDescent="0.2">
      <c r="E6008" s="332"/>
    </row>
    <row r="6009" spans="5:5" x14ac:dyDescent="0.2">
      <c r="E6009" s="332"/>
    </row>
    <row r="6010" spans="5:5" x14ac:dyDescent="0.2">
      <c r="E6010" s="332"/>
    </row>
    <row r="6011" spans="5:5" x14ac:dyDescent="0.2">
      <c r="E6011" s="332"/>
    </row>
    <row r="6012" spans="5:5" x14ac:dyDescent="0.2">
      <c r="E6012" s="332"/>
    </row>
    <row r="6013" spans="5:5" x14ac:dyDescent="0.2">
      <c r="E6013" s="332"/>
    </row>
    <row r="6014" spans="5:5" x14ac:dyDescent="0.2">
      <c r="E6014" s="332"/>
    </row>
    <row r="6015" spans="5:5" x14ac:dyDescent="0.2">
      <c r="E6015" s="332"/>
    </row>
    <row r="6016" spans="5:5" x14ac:dyDescent="0.2">
      <c r="E6016" s="332"/>
    </row>
    <row r="6017" spans="5:5" x14ac:dyDescent="0.2">
      <c r="E6017" s="332"/>
    </row>
    <row r="6018" spans="5:5" x14ac:dyDescent="0.2">
      <c r="E6018" s="332"/>
    </row>
    <row r="6019" spans="5:5" x14ac:dyDescent="0.2">
      <c r="E6019" s="332"/>
    </row>
    <row r="6020" spans="5:5" x14ac:dyDescent="0.2">
      <c r="E6020" s="332"/>
    </row>
    <row r="6021" spans="5:5" x14ac:dyDescent="0.2">
      <c r="E6021" s="332"/>
    </row>
    <row r="6022" spans="5:5" x14ac:dyDescent="0.2">
      <c r="E6022" s="332"/>
    </row>
    <row r="6023" spans="5:5" x14ac:dyDescent="0.2">
      <c r="E6023" s="332"/>
    </row>
    <row r="6024" spans="5:5" x14ac:dyDescent="0.2">
      <c r="E6024" s="332"/>
    </row>
    <row r="6025" spans="5:5" x14ac:dyDescent="0.2">
      <c r="E6025" s="332"/>
    </row>
    <row r="6026" spans="5:5" x14ac:dyDescent="0.2">
      <c r="E6026" s="332"/>
    </row>
    <row r="6027" spans="5:5" x14ac:dyDescent="0.2">
      <c r="E6027" s="332"/>
    </row>
    <row r="6028" spans="5:5" x14ac:dyDescent="0.2">
      <c r="E6028" s="332"/>
    </row>
    <row r="6029" spans="5:5" x14ac:dyDescent="0.2">
      <c r="E6029" s="332"/>
    </row>
    <row r="6030" spans="5:5" x14ac:dyDescent="0.2">
      <c r="E6030" s="332"/>
    </row>
    <row r="6031" spans="5:5" x14ac:dyDescent="0.2">
      <c r="E6031" s="332"/>
    </row>
    <row r="6032" spans="5:5" x14ac:dyDescent="0.2">
      <c r="E6032" s="332"/>
    </row>
    <row r="6033" spans="5:5" x14ac:dyDescent="0.2">
      <c r="E6033" s="332"/>
    </row>
    <row r="6034" spans="5:5" x14ac:dyDescent="0.2">
      <c r="E6034" s="332"/>
    </row>
    <row r="6035" spans="5:5" x14ac:dyDescent="0.2">
      <c r="E6035" s="332"/>
    </row>
    <row r="6036" spans="5:5" x14ac:dyDescent="0.2">
      <c r="E6036" s="332"/>
    </row>
    <row r="6037" spans="5:5" x14ac:dyDescent="0.2">
      <c r="E6037" s="332"/>
    </row>
    <row r="6038" spans="5:5" x14ac:dyDescent="0.2">
      <c r="E6038" s="332"/>
    </row>
    <row r="6039" spans="5:5" x14ac:dyDescent="0.2">
      <c r="E6039" s="332"/>
    </row>
    <row r="6040" spans="5:5" x14ac:dyDescent="0.2">
      <c r="E6040" s="332"/>
    </row>
    <row r="6041" spans="5:5" x14ac:dyDescent="0.2">
      <c r="E6041" s="332"/>
    </row>
    <row r="6042" spans="5:5" x14ac:dyDescent="0.2">
      <c r="E6042" s="332"/>
    </row>
    <row r="6043" spans="5:5" x14ac:dyDescent="0.2">
      <c r="E6043" s="332"/>
    </row>
    <row r="6044" spans="5:5" x14ac:dyDescent="0.2">
      <c r="E6044" s="332"/>
    </row>
    <row r="6045" spans="5:5" x14ac:dyDescent="0.2">
      <c r="E6045" s="332"/>
    </row>
    <row r="6046" spans="5:5" x14ac:dyDescent="0.2">
      <c r="E6046" s="332"/>
    </row>
    <row r="6047" spans="5:5" x14ac:dyDescent="0.2">
      <c r="E6047" s="332"/>
    </row>
    <row r="6048" spans="5:5" x14ac:dyDescent="0.2">
      <c r="E6048" s="332"/>
    </row>
    <row r="6049" spans="5:5" x14ac:dyDescent="0.2">
      <c r="E6049" s="332"/>
    </row>
    <row r="6050" spans="5:5" x14ac:dyDescent="0.2">
      <c r="E6050" s="332"/>
    </row>
    <row r="6051" spans="5:5" x14ac:dyDescent="0.2">
      <c r="E6051" s="332"/>
    </row>
    <row r="6052" spans="5:5" x14ac:dyDescent="0.2">
      <c r="E6052" s="332"/>
    </row>
    <row r="6053" spans="5:5" x14ac:dyDescent="0.2">
      <c r="E6053" s="332"/>
    </row>
    <row r="6054" spans="5:5" x14ac:dyDescent="0.2">
      <c r="E6054" s="332"/>
    </row>
    <row r="6055" spans="5:5" x14ac:dyDescent="0.2">
      <c r="E6055" s="332"/>
    </row>
    <row r="6056" spans="5:5" x14ac:dyDescent="0.2">
      <c r="E6056" s="332"/>
    </row>
    <row r="6057" spans="5:5" x14ac:dyDescent="0.2">
      <c r="E6057" s="332"/>
    </row>
    <row r="6058" spans="5:5" x14ac:dyDescent="0.2">
      <c r="E6058" s="332"/>
    </row>
    <row r="6059" spans="5:5" x14ac:dyDescent="0.2">
      <c r="E6059" s="332"/>
    </row>
    <row r="6060" spans="5:5" x14ac:dyDescent="0.2">
      <c r="E6060" s="332"/>
    </row>
    <row r="6061" spans="5:5" x14ac:dyDescent="0.2">
      <c r="E6061" s="332"/>
    </row>
    <row r="6062" spans="5:5" x14ac:dyDescent="0.2">
      <c r="E6062" s="332"/>
    </row>
    <row r="6063" spans="5:5" x14ac:dyDescent="0.2">
      <c r="E6063" s="332"/>
    </row>
    <row r="6064" spans="5:5" x14ac:dyDescent="0.2">
      <c r="E6064" s="332"/>
    </row>
    <row r="6065" spans="5:5" x14ac:dyDescent="0.2">
      <c r="E6065" s="332"/>
    </row>
    <row r="6066" spans="5:5" x14ac:dyDescent="0.2">
      <c r="E6066" s="332"/>
    </row>
    <row r="6067" spans="5:5" x14ac:dyDescent="0.2">
      <c r="E6067" s="332"/>
    </row>
    <row r="6068" spans="5:5" x14ac:dyDescent="0.2">
      <c r="E6068" s="332"/>
    </row>
    <row r="6069" spans="5:5" x14ac:dyDescent="0.2">
      <c r="E6069" s="332"/>
    </row>
    <row r="6070" spans="5:5" x14ac:dyDescent="0.2">
      <c r="E6070" s="332"/>
    </row>
    <row r="6071" spans="5:5" x14ac:dyDescent="0.2">
      <c r="E6071" s="332"/>
    </row>
    <row r="6072" spans="5:5" x14ac:dyDescent="0.2">
      <c r="E6072" s="332"/>
    </row>
    <row r="6073" spans="5:5" x14ac:dyDescent="0.2">
      <c r="E6073" s="332"/>
    </row>
    <row r="6074" spans="5:5" x14ac:dyDescent="0.2">
      <c r="E6074" s="332"/>
    </row>
    <row r="6075" spans="5:5" x14ac:dyDescent="0.2">
      <c r="E6075" s="332"/>
    </row>
    <row r="6076" spans="5:5" x14ac:dyDescent="0.2">
      <c r="E6076" s="332"/>
    </row>
    <row r="6077" spans="5:5" x14ac:dyDescent="0.2">
      <c r="E6077" s="332"/>
    </row>
    <row r="6078" spans="5:5" x14ac:dyDescent="0.2">
      <c r="E6078" s="332"/>
    </row>
    <row r="6079" spans="5:5" x14ac:dyDescent="0.2">
      <c r="E6079" s="332"/>
    </row>
    <row r="6080" spans="5:5" x14ac:dyDescent="0.2">
      <c r="E6080" s="332"/>
    </row>
    <row r="6081" spans="5:5" x14ac:dyDescent="0.2">
      <c r="E6081" s="332"/>
    </row>
    <row r="6082" spans="5:5" x14ac:dyDescent="0.2">
      <c r="E6082" s="332"/>
    </row>
    <row r="6083" spans="5:5" x14ac:dyDescent="0.2">
      <c r="E6083" s="332"/>
    </row>
    <row r="6084" spans="5:5" x14ac:dyDescent="0.2">
      <c r="E6084" s="332"/>
    </row>
    <row r="6085" spans="5:5" x14ac:dyDescent="0.2">
      <c r="E6085" s="332"/>
    </row>
    <row r="6086" spans="5:5" x14ac:dyDescent="0.2">
      <c r="E6086" s="332"/>
    </row>
    <row r="6087" spans="5:5" x14ac:dyDescent="0.2">
      <c r="E6087" s="332"/>
    </row>
    <row r="6088" spans="5:5" x14ac:dyDescent="0.2">
      <c r="E6088" s="332"/>
    </row>
    <row r="6089" spans="5:5" x14ac:dyDescent="0.2">
      <c r="E6089" s="332"/>
    </row>
    <row r="6090" spans="5:5" x14ac:dyDescent="0.2">
      <c r="E6090" s="332"/>
    </row>
    <row r="6091" spans="5:5" x14ac:dyDescent="0.2">
      <c r="E6091" s="332"/>
    </row>
    <row r="6092" spans="5:5" x14ac:dyDescent="0.2">
      <c r="E6092" s="332"/>
    </row>
    <row r="6093" spans="5:5" x14ac:dyDescent="0.2">
      <c r="E6093" s="332"/>
    </row>
    <row r="6094" spans="5:5" x14ac:dyDescent="0.2">
      <c r="E6094" s="332"/>
    </row>
    <row r="6095" spans="5:5" x14ac:dyDescent="0.2">
      <c r="E6095" s="332"/>
    </row>
    <row r="6096" spans="5:5" x14ac:dyDescent="0.2">
      <c r="E6096" s="332"/>
    </row>
    <row r="6097" spans="5:5" x14ac:dyDescent="0.2">
      <c r="E6097" s="332"/>
    </row>
    <row r="6098" spans="5:5" x14ac:dyDescent="0.2">
      <c r="E6098" s="332"/>
    </row>
    <row r="6099" spans="5:5" x14ac:dyDescent="0.2">
      <c r="E6099" s="332"/>
    </row>
    <row r="6100" spans="5:5" x14ac:dyDescent="0.2">
      <c r="E6100" s="332"/>
    </row>
    <row r="6101" spans="5:5" x14ac:dyDescent="0.2">
      <c r="E6101" s="332"/>
    </row>
    <row r="6102" spans="5:5" x14ac:dyDescent="0.2">
      <c r="E6102" s="332"/>
    </row>
    <row r="6103" spans="5:5" x14ac:dyDescent="0.2">
      <c r="E6103" s="332"/>
    </row>
    <row r="6104" spans="5:5" x14ac:dyDescent="0.2">
      <c r="E6104" s="332"/>
    </row>
    <row r="6105" spans="5:5" x14ac:dyDescent="0.2">
      <c r="E6105" s="332"/>
    </row>
    <row r="6106" spans="5:5" x14ac:dyDescent="0.2">
      <c r="E6106" s="332"/>
    </row>
    <row r="6107" spans="5:5" x14ac:dyDescent="0.2">
      <c r="E6107" s="332"/>
    </row>
    <row r="6108" spans="5:5" x14ac:dyDescent="0.2">
      <c r="E6108" s="332"/>
    </row>
    <row r="6109" spans="5:5" x14ac:dyDescent="0.2">
      <c r="E6109" s="332"/>
    </row>
    <row r="6110" spans="5:5" x14ac:dyDescent="0.2">
      <c r="E6110" s="332"/>
    </row>
    <row r="6111" spans="5:5" x14ac:dyDescent="0.2">
      <c r="E6111" s="332"/>
    </row>
    <row r="6112" spans="5:5" x14ac:dyDescent="0.2">
      <c r="E6112" s="332"/>
    </row>
    <row r="6113" spans="5:5" x14ac:dyDescent="0.2">
      <c r="E6113" s="332"/>
    </row>
    <row r="6114" spans="5:5" x14ac:dyDescent="0.2">
      <c r="E6114" s="332"/>
    </row>
    <row r="6115" spans="5:5" x14ac:dyDescent="0.2">
      <c r="E6115" s="332"/>
    </row>
    <row r="6116" spans="5:5" x14ac:dyDescent="0.2">
      <c r="E6116" s="332"/>
    </row>
    <row r="6117" spans="5:5" x14ac:dyDescent="0.2">
      <c r="E6117" s="332"/>
    </row>
    <row r="6118" spans="5:5" x14ac:dyDescent="0.2">
      <c r="E6118" s="332"/>
    </row>
    <row r="6119" spans="5:5" x14ac:dyDescent="0.2">
      <c r="E6119" s="332"/>
    </row>
    <row r="6120" spans="5:5" x14ac:dyDescent="0.2">
      <c r="E6120" s="332"/>
    </row>
    <row r="6121" spans="5:5" x14ac:dyDescent="0.2">
      <c r="E6121" s="332"/>
    </row>
    <row r="6122" spans="5:5" x14ac:dyDescent="0.2">
      <c r="E6122" s="332"/>
    </row>
    <row r="6123" spans="5:5" x14ac:dyDescent="0.2">
      <c r="E6123" s="332"/>
    </row>
    <row r="6124" spans="5:5" x14ac:dyDescent="0.2">
      <c r="E6124" s="332"/>
    </row>
    <row r="6125" spans="5:5" x14ac:dyDescent="0.2">
      <c r="E6125" s="332"/>
    </row>
    <row r="6126" spans="5:5" x14ac:dyDescent="0.2">
      <c r="E6126" s="332"/>
    </row>
    <row r="6127" spans="5:5" x14ac:dyDescent="0.2">
      <c r="E6127" s="332"/>
    </row>
    <row r="6128" spans="5:5" x14ac:dyDescent="0.2">
      <c r="E6128" s="332"/>
    </row>
    <row r="6129" spans="5:5" x14ac:dyDescent="0.2">
      <c r="E6129" s="332"/>
    </row>
    <row r="6130" spans="5:5" x14ac:dyDescent="0.2">
      <c r="E6130" s="332"/>
    </row>
    <row r="6131" spans="5:5" x14ac:dyDescent="0.2">
      <c r="E6131" s="332"/>
    </row>
    <row r="6132" spans="5:5" x14ac:dyDescent="0.2">
      <c r="E6132" s="332"/>
    </row>
    <row r="6133" spans="5:5" x14ac:dyDescent="0.2">
      <c r="E6133" s="332"/>
    </row>
    <row r="6134" spans="5:5" x14ac:dyDescent="0.2">
      <c r="E6134" s="332"/>
    </row>
    <row r="6135" spans="5:5" x14ac:dyDescent="0.2">
      <c r="E6135" s="332"/>
    </row>
    <row r="6136" spans="5:5" x14ac:dyDescent="0.2">
      <c r="E6136" s="332"/>
    </row>
    <row r="6137" spans="5:5" x14ac:dyDescent="0.2">
      <c r="E6137" s="332"/>
    </row>
    <row r="6138" spans="5:5" x14ac:dyDescent="0.2">
      <c r="E6138" s="332"/>
    </row>
    <row r="6139" spans="5:5" x14ac:dyDescent="0.2">
      <c r="E6139" s="332"/>
    </row>
    <row r="6140" spans="5:5" x14ac:dyDescent="0.2">
      <c r="E6140" s="332"/>
    </row>
    <row r="6141" spans="5:5" x14ac:dyDescent="0.2">
      <c r="E6141" s="332"/>
    </row>
    <row r="6142" spans="5:5" x14ac:dyDescent="0.2">
      <c r="E6142" s="332"/>
    </row>
    <row r="6143" spans="5:5" x14ac:dyDescent="0.2">
      <c r="E6143" s="332"/>
    </row>
    <row r="6144" spans="5:5" x14ac:dyDescent="0.2">
      <c r="E6144" s="332"/>
    </row>
    <row r="6145" spans="5:5" x14ac:dyDescent="0.2">
      <c r="E6145" s="332"/>
    </row>
    <row r="6146" spans="5:5" x14ac:dyDescent="0.2">
      <c r="E6146" s="332"/>
    </row>
    <row r="6147" spans="5:5" x14ac:dyDescent="0.2">
      <c r="E6147" s="332"/>
    </row>
    <row r="6148" spans="5:5" x14ac:dyDescent="0.2">
      <c r="E6148" s="332"/>
    </row>
    <row r="6149" spans="5:5" x14ac:dyDescent="0.2">
      <c r="E6149" s="332"/>
    </row>
    <row r="6150" spans="5:5" x14ac:dyDescent="0.2">
      <c r="E6150" s="332"/>
    </row>
    <row r="6151" spans="5:5" x14ac:dyDescent="0.2">
      <c r="E6151" s="332"/>
    </row>
    <row r="6152" spans="5:5" x14ac:dyDescent="0.2">
      <c r="E6152" s="332"/>
    </row>
    <row r="6153" spans="5:5" x14ac:dyDescent="0.2">
      <c r="E6153" s="332"/>
    </row>
    <row r="6154" spans="5:5" x14ac:dyDescent="0.2">
      <c r="E6154" s="332"/>
    </row>
    <row r="6155" spans="5:5" x14ac:dyDescent="0.2">
      <c r="E6155" s="332"/>
    </row>
    <row r="6156" spans="5:5" x14ac:dyDescent="0.2">
      <c r="E6156" s="332"/>
    </row>
    <row r="6157" spans="5:5" x14ac:dyDescent="0.2">
      <c r="E6157" s="332"/>
    </row>
    <row r="6158" spans="5:5" x14ac:dyDescent="0.2">
      <c r="E6158" s="332"/>
    </row>
    <row r="6159" spans="5:5" x14ac:dyDescent="0.2">
      <c r="E6159" s="332"/>
    </row>
    <row r="6160" spans="5:5" x14ac:dyDescent="0.2">
      <c r="E6160" s="332"/>
    </row>
    <row r="6161" spans="5:5" x14ac:dyDescent="0.2">
      <c r="E6161" s="332"/>
    </row>
    <row r="6162" spans="5:5" x14ac:dyDescent="0.2">
      <c r="E6162" s="332"/>
    </row>
    <row r="6163" spans="5:5" x14ac:dyDescent="0.2">
      <c r="E6163" s="332"/>
    </row>
    <row r="6164" spans="5:5" x14ac:dyDescent="0.2">
      <c r="E6164" s="332"/>
    </row>
    <row r="6165" spans="5:5" x14ac:dyDescent="0.2">
      <c r="E6165" s="332"/>
    </row>
    <row r="6166" spans="5:5" x14ac:dyDescent="0.2">
      <c r="E6166" s="332"/>
    </row>
    <row r="6167" spans="5:5" x14ac:dyDescent="0.2">
      <c r="E6167" s="332"/>
    </row>
    <row r="6168" spans="5:5" x14ac:dyDescent="0.2">
      <c r="E6168" s="332"/>
    </row>
    <row r="6169" spans="5:5" x14ac:dyDescent="0.2">
      <c r="E6169" s="332"/>
    </row>
    <row r="6170" spans="5:5" x14ac:dyDescent="0.2">
      <c r="E6170" s="332"/>
    </row>
    <row r="6171" spans="5:5" x14ac:dyDescent="0.2">
      <c r="E6171" s="332"/>
    </row>
    <row r="6172" spans="5:5" x14ac:dyDescent="0.2">
      <c r="E6172" s="332"/>
    </row>
    <row r="6173" spans="5:5" x14ac:dyDescent="0.2">
      <c r="E6173" s="332"/>
    </row>
    <row r="6174" spans="5:5" x14ac:dyDescent="0.2">
      <c r="E6174" s="332"/>
    </row>
    <row r="6175" spans="5:5" x14ac:dyDescent="0.2">
      <c r="E6175" s="332"/>
    </row>
    <row r="6176" spans="5:5" x14ac:dyDescent="0.2">
      <c r="E6176" s="332"/>
    </row>
    <row r="6177" spans="5:5" x14ac:dyDescent="0.2">
      <c r="E6177" s="332"/>
    </row>
    <row r="6178" spans="5:5" x14ac:dyDescent="0.2">
      <c r="E6178" s="332"/>
    </row>
    <row r="6179" spans="5:5" x14ac:dyDescent="0.2">
      <c r="E6179" s="332"/>
    </row>
    <row r="6180" spans="5:5" x14ac:dyDescent="0.2">
      <c r="E6180" s="332"/>
    </row>
    <row r="6181" spans="5:5" x14ac:dyDescent="0.2">
      <c r="E6181" s="332"/>
    </row>
    <row r="6182" spans="5:5" x14ac:dyDescent="0.2">
      <c r="E6182" s="332"/>
    </row>
    <row r="6183" spans="5:5" x14ac:dyDescent="0.2">
      <c r="E6183" s="332"/>
    </row>
    <row r="6184" spans="5:5" x14ac:dyDescent="0.2">
      <c r="E6184" s="332"/>
    </row>
    <row r="6185" spans="5:5" x14ac:dyDescent="0.2">
      <c r="E6185" s="332"/>
    </row>
    <row r="6186" spans="5:5" x14ac:dyDescent="0.2">
      <c r="E6186" s="332"/>
    </row>
    <row r="6187" spans="5:5" x14ac:dyDescent="0.2">
      <c r="E6187" s="332"/>
    </row>
    <row r="6188" spans="5:5" x14ac:dyDescent="0.2">
      <c r="E6188" s="332"/>
    </row>
    <row r="6189" spans="5:5" x14ac:dyDescent="0.2">
      <c r="E6189" s="332"/>
    </row>
    <row r="6190" spans="5:5" x14ac:dyDescent="0.2">
      <c r="E6190" s="332"/>
    </row>
    <row r="6191" spans="5:5" x14ac:dyDescent="0.2">
      <c r="E6191" s="332"/>
    </row>
    <row r="6192" spans="5:5" x14ac:dyDescent="0.2">
      <c r="E6192" s="332"/>
    </row>
    <row r="6193" spans="5:5" x14ac:dyDescent="0.2">
      <c r="E6193" s="332"/>
    </row>
    <row r="6194" spans="5:5" x14ac:dyDescent="0.2">
      <c r="E6194" s="332"/>
    </row>
    <row r="6195" spans="5:5" x14ac:dyDescent="0.2">
      <c r="E6195" s="332"/>
    </row>
    <row r="6196" spans="5:5" x14ac:dyDescent="0.2">
      <c r="E6196" s="332"/>
    </row>
    <row r="6197" spans="5:5" x14ac:dyDescent="0.2">
      <c r="E6197" s="332"/>
    </row>
    <row r="6198" spans="5:5" x14ac:dyDescent="0.2">
      <c r="E6198" s="332"/>
    </row>
    <row r="6199" spans="5:5" x14ac:dyDescent="0.2">
      <c r="E6199" s="332"/>
    </row>
    <row r="6200" spans="5:5" x14ac:dyDescent="0.2">
      <c r="E6200" s="332"/>
    </row>
    <row r="6201" spans="5:5" x14ac:dyDescent="0.2">
      <c r="E6201" s="332"/>
    </row>
    <row r="6202" spans="5:5" x14ac:dyDescent="0.2">
      <c r="E6202" s="332"/>
    </row>
    <row r="6203" spans="5:5" x14ac:dyDescent="0.2">
      <c r="E6203" s="332"/>
    </row>
    <row r="6204" spans="5:5" x14ac:dyDescent="0.2">
      <c r="E6204" s="332"/>
    </row>
    <row r="6205" spans="5:5" x14ac:dyDescent="0.2">
      <c r="E6205" s="332"/>
    </row>
    <row r="6206" spans="5:5" x14ac:dyDescent="0.2">
      <c r="E6206" s="332"/>
    </row>
    <row r="6207" spans="5:5" x14ac:dyDescent="0.2">
      <c r="E6207" s="332"/>
    </row>
    <row r="6208" spans="5:5" x14ac:dyDescent="0.2">
      <c r="E6208" s="332"/>
    </row>
    <row r="6209" spans="5:5" x14ac:dyDescent="0.2">
      <c r="E6209" s="332"/>
    </row>
    <row r="6210" spans="5:5" x14ac:dyDescent="0.2">
      <c r="E6210" s="332"/>
    </row>
    <row r="6211" spans="5:5" x14ac:dyDescent="0.2">
      <c r="E6211" s="332"/>
    </row>
    <row r="6212" spans="5:5" x14ac:dyDescent="0.2">
      <c r="E6212" s="332"/>
    </row>
    <row r="6213" spans="5:5" x14ac:dyDescent="0.2">
      <c r="E6213" s="332"/>
    </row>
    <row r="6214" spans="5:5" x14ac:dyDescent="0.2">
      <c r="E6214" s="332"/>
    </row>
    <row r="6215" spans="5:5" x14ac:dyDescent="0.2">
      <c r="E6215" s="332"/>
    </row>
    <row r="6216" spans="5:5" x14ac:dyDescent="0.2">
      <c r="E6216" s="332"/>
    </row>
    <row r="6217" spans="5:5" x14ac:dyDescent="0.2">
      <c r="E6217" s="332"/>
    </row>
    <row r="6218" spans="5:5" x14ac:dyDescent="0.2">
      <c r="E6218" s="332"/>
    </row>
    <row r="6219" spans="5:5" x14ac:dyDescent="0.2">
      <c r="E6219" s="332"/>
    </row>
    <row r="6220" spans="5:5" x14ac:dyDescent="0.2">
      <c r="E6220" s="332"/>
    </row>
    <row r="6221" spans="5:5" x14ac:dyDescent="0.2">
      <c r="E6221" s="332"/>
    </row>
    <row r="6222" spans="5:5" x14ac:dyDescent="0.2">
      <c r="E6222" s="332"/>
    </row>
    <row r="6223" spans="5:5" x14ac:dyDescent="0.2">
      <c r="E6223" s="332"/>
    </row>
    <row r="6224" spans="5:5" x14ac:dyDescent="0.2">
      <c r="E6224" s="332"/>
    </row>
    <row r="6225" spans="5:5" x14ac:dyDescent="0.2">
      <c r="E6225" s="332"/>
    </row>
    <row r="6226" spans="5:5" x14ac:dyDescent="0.2">
      <c r="E6226" s="332"/>
    </row>
    <row r="6227" spans="5:5" x14ac:dyDescent="0.2">
      <c r="E6227" s="332"/>
    </row>
    <row r="6228" spans="5:5" x14ac:dyDescent="0.2">
      <c r="E6228" s="332"/>
    </row>
    <row r="6229" spans="5:5" x14ac:dyDescent="0.2">
      <c r="E6229" s="332"/>
    </row>
    <row r="6230" spans="5:5" x14ac:dyDescent="0.2">
      <c r="E6230" s="332"/>
    </row>
    <row r="6231" spans="5:5" x14ac:dyDescent="0.2">
      <c r="E6231" s="332"/>
    </row>
    <row r="6232" spans="5:5" x14ac:dyDescent="0.2">
      <c r="E6232" s="332"/>
    </row>
    <row r="6233" spans="5:5" x14ac:dyDescent="0.2">
      <c r="E6233" s="332"/>
    </row>
    <row r="6234" spans="5:5" x14ac:dyDescent="0.2">
      <c r="E6234" s="332"/>
    </row>
    <row r="6235" spans="5:5" x14ac:dyDescent="0.2">
      <c r="E6235" s="332"/>
    </row>
    <row r="6236" spans="5:5" x14ac:dyDescent="0.2">
      <c r="E6236" s="332"/>
    </row>
    <row r="6237" spans="5:5" x14ac:dyDescent="0.2">
      <c r="E6237" s="332"/>
    </row>
    <row r="6238" spans="5:5" x14ac:dyDescent="0.2">
      <c r="E6238" s="332"/>
    </row>
    <row r="6239" spans="5:5" x14ac:dyDescent="0.2">
      <c r="E6239" s="332"/>
    </row>
    <row r="6240" spans="5:5" x14ac:dyDescent="0.2">
      <c r="E6240" s="332"/>
    </row>
    <row r="6241" spans="5:5" x14ac:dyDescent="0.2">
      <c r="E6241" s="332"/>
    </row>
    <row r="6242" spans="5:5" x14ac:dyDescent="0.2">
      <c r="E6242" s="332"/>
    </row>
    <row r="6243" spans="5:5" x14ac:dyDescent="0.2">
      <c r="E6243" s="332"/>
    </row>
    <row r="6244" spans="5:5" x14ac:dyDescent="0.2">
      <c r="E6244" s="332"/>
    </row>
    <row r="6245" spans="5:5" x14ac:dyDescent="0.2">
      <c r="E6245" s="332"/>
    </row>
    <row r="6246" spans="5:5" x14ac:dyDescent="0.2">
      <c r="E6246" s="332"/>
    </row>
    <row r="6247" spans="5:5" x14ac:dyDescent="0.2">
      <c r="E6247" s="332"/>
    </row>
    <row r="6248" spans="5:5" x14ac:dyDescent="0.2">
      <c r="E6248" s="332"/>
    </row>
    <row r="6249" spans="5:5" x14ac:dyDescent="0.2">
      <c r="E6249" s="332"/>
    </row>
    <row r="6250" spans="5:5" x14ac:dyDescent="0.2">
      <c r="E6250" s="332"/>
    </row>
    <row r="6251" spans="5:5" x14ac:dyDescent="0.2">
      <c r="E6251" s="332"/>
    </row>
    <row r="6252" spans="5:5" x14ac:dyDescent="0.2">
      <c r="E6252" s="332"/>
    </row>
    <row r="6253" spans="5:5" x14ac:dyDescent="0.2">
      <c r="E6253" s="332"/>
    </row>
    <row r="6254" spans="5:5" x14ac:dyDescent="0.2">
      <c r="E6254" s="332"/>
    </row>
    <row r="6255" spans="5:5" x14ac:dyDescent="0.2">
      <c r="E6255" s="332"/>
    </row>
    <row r="6256" spans="5:5" x14ac:dyDescent="0.2">
      <c r="E6256" s="332"/>
    </row>
    <row r="6257" spans="5:5" x14ac:dyDescent="0.2">
      <c r="E6257" s="332"/>
    </row>
    <row r="6258" spans="5:5" x14ac:dyDescent="0.2">
      <c r="E6258" s="332"/>
    </row>
    <row r="6259" spans="5:5" x14ac:dyDescent="0.2">
      <c r="E6259" s="332"/>
    </row>
    <row r="6260" spans="5:5" x14ac:dyDescent="0.2">
      <c r="E6260" s="332"/>
    </row>
    <row r="6261" spans="5:5" x14ac:dyDescent="0.2">
      <c r="E6261" s="332"/>
    </row>
    <row r="6262" spans="5:5" x14ac:dyDescent="0.2">
      <c r="E6262" s="332"/>
    </row>
    <row r="6263" spans="5:5" x14ac:dyDescent="0.2">
      <c r="E6263" s="332"/>
    </row>
    <row r="6264" spans="5:5" x14ac:dyDescent="0.2">
      <c r="E6264" s="332"/>
    </row>
    <row r="6265" spans="5:5" x14ac:dyDescent="0.2">
      <c r="E6265" s="332"/>
    </row>
    <row r="6266" spans="5:5" x14ac:dyDescent="0.2">
      <c r="E6266" s="332"/>
    </row>
    <row r="6267" spans="5:5" x14ac:dyDescent="0.2">
      <c r="E6267" s="332"/>
    </row>
    <row r="6268" spans="5:5" x14ac:dyDescent="0.2">
      <c r="E6268" s="332"/>
    </row>
    <row r="6269" spans="5:5" x14ac:dyDescent="0.2">
      <c r="E6269" s="332"/>
    </row>
    <row r="6270" spans="5:5" x14ac:dyDescent="0.2">
      <c r="E6270" s="332"/>
    </row>
    <row r="6271" spans="5:5" x14ac:dyDescent="0.2">
      <c r="E6271" s="332"/>
    </row>
    <row r="6272" spans="5:5" x14ac:dyDescent="0.2">
      <c r="E6272" s="332"/>
    </row>
    <row r="6273" spans="5:5" x14ac:dyDescent="0.2">
      <c r="E6273" s="332"/>
    </row>
    <row r="6274" spans="5:5" x14ac:dyDescent="0.2">
      <c r="E6274" s="332"/>
    </row>
    <row r="6275" spans="5:5" x14ac:dyDescent="0.2">
      <c r="E6275" s="332"/>
    </row>
    <row r="6276" spans="5:5" x14ac:dyDescent="0.2">
      <c r="E6276" s="332"/>
    </row>
    <row r="6277" spans="5:5" x14ac:dyDescent="0.2">
      <c r="E6277" s="332"/>
    </row>
    <row r="6278" spans="5:5" x14ac:dyDescent="0.2">
      <c r="E6278" s="332"/>
    </row>
    <row r="6279" spans="5:5" x14ac:dyDescent="0.2">
      <c r="E6279" s="332"/>
    </row>
    <row r="6280" spans="5:5" x14ac:dyDescent="0.2">
      <c r="E6280" s="332"/>
    </row>
    <row r="6281" spans="5:5" x14ac:dyDescent="0.2">
      <c r="E6281" s="332"/>
    </row>
    <row r="6282" spans="5:5" x14ac:dyDescent="0.2">
      <c r="E6282" s="332"/>
    </row>
    <row r="6283" spans="5:5" x14ac:dyDescent="0.2">
      <c r="E6283" s="332"/>
    </row>
    <row r="6284" spans="5:5" x14ac:dyDescent="0.2">
      <c r="E6284" s="332"/>
    </row>
    <row r="6285" spans="5:5" x14ac:dyDescent="0.2">
      <c r="E6285" s="332"/>
    </row>
    <row r="6286" spans="5:5" x14ac:dyDescent="0.2">
      <c r="E6286" s="332"/>
    </row>
    <row r="6287" spans="5:5" x14ac:dyDescent="0.2">
      <c r="E6287" s="332"/>
    </row>
    <row r="6288" spans="5:5" x14ac:dyDescent="0.2">
      <c r="E6288" s="332"/>
    </row>
    <row r="6289" spans="5:5" x14ac:dyDescent="0.2">
      <c r="E6289" s="332"/>
    </row>
    <row r="6290" spans="5:5" x14ac:dyDescent="0.2">
      <c r="E6290" s="332"/>
    </row>
    <row r="6291" spans="5:5" x14ac:dyDescent="0.2">
      <c r="E6291" s="332"/>
    </row>
    <row r="6292" spans="5:5" x14ac:dyDescent="0.2">
      <c r="E6292" s="332"/>
    </row>
    <row r="6293" spans="5:5" x14ac:dyDescent="0.2">
      <c r="E6293" s="332"/>
    </row>
    <row r="6294" spans="5:5" x14ac:dyDescent="0.2">
      <c r="E6294" s="332"/>
    </row>
    <row r="6295" spans="5:5" x14ac:dyDescent="0.2">
      <c r="E6295" s="332"/>
    </row>
    <row r="6296" spans="5:5" x14ac:dyDescent="0.2">
      <c r="E6296" s="332"/>
    </row>
    <row r="6297" spans="5:5" x14ac:dyDescent="0.2">
      <c r="E6297" s="332"/>
    </row>
    <row r="6298" spans="5:5" x14ac:dyDescent="0.2">
      <c r="E6298" s="332"/>
    </row>
    <row r="6299" spans="5:5" x14ac:dyDescent="0.2">
      <c r="E6299" s="332"/>
    </row>
    <row r="6300" spans="5:5" x14ac:dyDescent="0.2">
      <c r="E6300" s="332"/>
    </row>
    <row r="6301" spans="5:5" x14ac:dyDescent="0.2">
      <c r="E6301" s="332"/>
    </row>
    <row r="6302" spans="5:5" x14ac:dyDescent="0.2">
      <c r="E6302" s="332"/>
    </row>
    <row r="6303" spans="5:5" x14ac:dyDescent="0.2">
      <c r="E6303" s="332"/>
    </row>
    <row r="6304" spans="5:5" x14ac:dyDescent="0.2">
      <c r="E6304" s="332"/>
    </row>
    <row r="6305" spans="5:5" x14ac:dyDescent="0.2">
      <c r="E6305" s="332"/>
    </row>
    <row r="6306" spans="5:5" x14ac:dyDescent="0.2">
      <c r="E6306" s="332"/>
    </row>
    <row r="6307" spans="5:5" x14ac:dyDescent="0.2">
      <c r="E6307" s="332"/>
    </row>
    <row r="6308" spans="5:5" x14ac:dyDescent="0.2">
      <c r="E6308" s="332"/>
    </row>
    <row r="6309" spans="5:5" x14ac:dyDescent="0.2">
      <c r="E6309" s="332"/>
    </row>
    <row r="6310" spans="5:5" x14ac:dyDescent="0.2">
      <c r="E6310" s="332"/>
    </row>
    <row r="6311" spans="5:5" x14ac:dyDescent="0.2">
      <c r="E6311" s="332"/>
    </row>
    <row r="6312" spans="5:5" x14ac:dyDescent="0.2">
      <c r="E6312" s="332"/>
    </row>
    <row r="6313" spans="5:5" x14ac:dyDescent="0.2">
      <c r="E6313" s="332"/>
    </row>
    <row r="6314" spans="5:5" x14ac:dyDescent="0.2">
      <c r="E6314" s="332"/>
    </row>
    <row r="6315" spans="5:5" x14ac:dyDescent="0.2">
      <c r="E6315" s="332"/>
    </row>
    <row r="6316" spans="5:5" x14ac:dyDescent="0.2">
      <c r="E6316" s="332"/>
    </row>
    <row r="6317" spans="5:5" x14ac:dyDescent="0.2">
      <c r="E6317" s="332"/>
    </row>
    <row r="6318" spans="5:5" x14ac:dyDescent="0.2">
      <c r="E6318" s="332"/>
    </row>
    <row r="6319" spans="5:5" x14ac:dyDescent="0.2">
      <c r="E6319" s="332"/>
    </row>
    <row r="6320" spans="5:5" x14ac:dyDescent="0.2">
      <c r="E6320" s="332"/>
    </row>
    <row r="6321" spans="5:5" x14ac:dyDescent="0.2">
      <c r="E6321" s="332"/>
    </row>
    <row r="6322" spans="5:5" x14ac:dyDescent="0.2">
      <c r="E6322" s="332"/>
    </row>
    <row r="6323" spans="5:5" x14ac:dyDescent="0.2">
      <c r="E6323" s="332"/>
    </row>
    <row r="6324" spans="5:5" x14ac:dyDescent="0.2">
      <c r="E6324" s="332"/>
    </row>
    <row r="6325" spans="5:5" x14ac:dyDescent="0.2">
      <c r="E6325" s="332"/>
    </row>
    <row r="6326" spans="5:5" x14ac:dyDescent="0.2">
      <c r="E6326" s="332"/>
    </row>
    <row r="6327" spans="5:5" x14ac:dyDescent="0.2">
      <c r="E6327" s="332"/>
    </row>
    <row r="6328" spans="5:5" x14ac:dyDescent="0.2">
      <c r="E6328" s="332"/>
    </row>
    <row r="6329" spans="5:5" x14ac:dyDescent="0.2">
      <c r="E6329" s="332"/>
    </row>
    <row r="6330" spans="5:5" x14ac:dyDescent="0.2">
      <c r="E6330" s="332"/>
    </row>
    <row r="6331" spans="5:5" x14ac:dyDescent="0.2">
      <c r="E6331" s="332"/>
    </row>
    <row r="6332" spans="5:5" x14ac:dyDescent="0.2">
      <c r="E6332" s="332"/>
    </row>
    <row r="6333" spans="5:5" x14ac:dyDescent="0.2">
      <c r="E6333" s="332"/>
    </row>
    <row r="6334" spans="5:5" x14ac:dyDescent="0.2">
      <c r="E6334" s="332"/>
    </row>
    <row r="6335" spans="5:5" x14ac:dyDescent="0.2">
      <c r="E6335" s="332"/>
    </row>
    <row r="6336" spans="5:5" x14ac:dyDescent="0.2">
      <c r="E6336" s="332"/>
    </row>
    <row r="6337" spans="5:5" x14ac:dyDescent="0.2">
      <c r="E6337" s="332"/>
    </row>
    <row r="6338" spans="5:5" x14ac:dyDescent="0.2">
      <c r="E6338" s="332"/>
    </row>
    <row r="6339" spans="5:5" x14ac:dyDescent="0.2">
      <c r="E6339" s="332"/>
    </row>
    <row r="6340" spans="5:5" x14ac:dyDescent="0.2">
      <c r="E6340" s="332"/>
    </row>
    <row r="6341" spans="5:5" x14ac:dyDescent="0.2">
      <c r="E6341" s="332"/>
    </row>
    <row r="6342" spans="5:5" x14ac:dyDescent="0.2">
      <c r="E6342" s="332"/>
    </row>
    <row r="6343" spans="5:5" x14ac:dyDescent="0.2">
      <c r="E6343" s="332"/>
    </row>
    <row r="6344" spans="5:5" x14ac:dyDescent="0.2">
      <c r="E6344" s="332"/>
    </row>
    <row r="6345" spans="5:5" x14ac:dyDescent="0.2">
      <c r="E6345" s="332"/>
    </row>
    <row r="6346" spans="5:5" x14ac:dyDescent="0.2">
      <c r="E6346" s="332"/>
    </row>
    <row r="6347" spans="5:5" x14ac:dyDescent="0.2">
      <c r="E6347" s="332"/>
    </row>
    <row r="6348" spans="5:5" x14ac:dyDescent="0.2">
      <c r="E6348" s="332"/>
    </row>
    <row r="6349" spans="5:5" x14ac:dyDescent="0.2">
      <c r="E6349" s="332"/>
    </row>
    <row r="6350" spans="5:5" x14ac:dyDescent="0.2">
      <c r="E6350" s="332"/>
    </row>
    <row r="6351" spans="5:5" x14ac:dyDescent="0.2">
      <c r="E6351" s="332"/>
    </row>
    <row r="6352" spans="5:5" x14ac:dyDescent="0.2">
      <c r="E6352" s="332"/>
    </row>
    <row r="6353" spans="5:5" x14ac:dyDescent="0.2">
      <c r="E6353" s="332"/>
    </row>
    <row r="6354" spans="5:5" x14ac:dyDescent="0.2">
      <c r="E6354" s="332"/>
    </row>
    <row r="6355" spans="5:5" x14ac:dyDescent="0.2">
      <c r="E6355" s="332"/>
    </row>
    <row r="6356" spans="5:5" x14ac:dyDescent="0.2">
      <c r="E6356" s="332"/>
    </row>
    <row r="6357" spans="5:5" x14ac:dyDescent="0.2">
      <c r="E6357" s="332"/>
    </row>
    <row r="6358" spans="5:5" x14ac:dyDescent="0.2">
      <c r="E6358" s="332"/>
    </row>
    <row r="6359" spans="5:5" x14ac:dyDescent="0.2">
      <c r="E6359" s="332"/>
    </row>
    <row r="6360" spans="5:5" x14ac:dyDescent="0.2">
      <c r="E6360" s="332"/>
    </row>
    <row r="6361" spans="5:5" x14ac:dyDescent="0.2">
      <c r="E6361" s="332"/>
    </row>
    <row r="6362" spans="5:5" x14ac:dyDescent="0.2">
      <c r="E6362" s="332"/>
    </row>
    <row r="6363" spans="5:5" x14ac:dyDescent="0.2">
      <c r="E6363" s="332"/>
    </row>
    <row r="6364" spans="5:5" x14ac:dyDescent="0.2">
      <c r="E6364" s="332"/>
    </row>
    <row r="6365" spans="5:5" x14ac:dyDescent="0.2">
      <c r="E6365" s="332"/>
    </row>
    <row r="6366" spans="5:5" x14ac:dyDescent="0.2">
      <c r="E6366" s="332"/>
    </row>
    <row r="6367" spans="5:5" x14ac:dyDescent="0.2">
      <c r="E6367" s="332"/>
    </row>
    <row r="6368" spans="5:5" x14ac:dyDescent="0.2">
      <c r="E6368" s="332"/>
    </row>
    <row r="6369" spans="5:5" x14ac:dyDescent="0.2">
      <c r="E6369" s="332"/>
    </row>
    <row r="6370" spans="5:5" x14ac:dyDescent="0.2">
      <c r="E6370" s="332"/>
    </row>
    <row r="6371" spans="5:5" x14ac:dyDescent="0.2">
      <c r="E6371" s="332"/>
    </row>
    <row r="6372" spans="5:5" x14ac:dyDescent="0.2">
      <c r="E6372" s="332"/>
    </row>
    <row r="6373" spans="5:5" x14ac:dyDescent="0.2">
      <c r="E6373" s="332"/>
    </row>
    <row r="6374" spans="5:5" x14ac:dyDescent="0.2">
      <c r="E6374" s="332"/>
    </row>
    <row r="6375" spans="5:5" x14ac:dyDescent="0.2">
      <c r="E6375" s="332"/>
    </row>
    <row r="6376" spans="5:5" x14ac:dyDescent="0.2">
      <c r="E6376" s="332"/>
    </row>
    <row r="6377" spans="5:5" x14ac:dyDescent="0.2">
      <c r="E6377" s="332"/>
    </row>
    <row r="6378" spans="5:5" x14ac:dyDescent="0.2">
      <c r="E6378" s="332"/>
    </row>
    <row r="6379" spans="5:5" x14ac:dyDescent="0.2">
      <c r="E6379" s="332"/>
    </row>
    <row r="6380" spans="5:5" x14ac:dyDescent="0.2">
      <c r="E6380" s="332"/>
    </row>
    <row r="6381" spans="5:5" x14ac:dyDescent="0.2">
      <c r="E6381" s="332"/>
    </row>
    <row r="6382" spans="5:5" x14ac:dyDescent="0.2">
      <c r="E6382" s="332"/>
    </row>
    <row r="6383" spans="5:5" x14ac:dyDescent="0.2">
      <c r="E6383" s="332"/>
    </row>
    <row r="6384" spans="5:5" x14ac:dyDescent="0.2">
      <c r="E6384" s="332"/>
    </row>
    <row r="6385" spans="5:5" x14ac:dyDescent="0.2">
      <c r="E6385" s="332"/>
    </row>
    <row r="6386" spans="5:5" x14ac:dyDescent="0.2">
      <c r="E6386" s="332"/>
    </row>
    <row r="6387" spans="5:5" x14ac:dyDescent="0.2">
      <c r="E6387" s="332"/>
    </row>
    <row r="6388" spans="5:5" x14ac:dyDescent="0.2">
      <c r="E6388" s="332"/>
    </row>
    <row r="6389" spans="5:5" x14ac:dyDescent="0.2">
      <c r="E6389" s="332"/>
    </row>
    <row r="6390" spans="5:5" x14ac:dyDescent="0.2">
      <c r="E6390" s="332"/>
    </row>
    <row r="6391" spans="5:5" x14ac:dyDescent="0.2">
      <c r="E6391" s="332"/>
    </row>
    <row r="6392" spans="5:5" x14ac:dyDescent="0.2">
      <c r="E6392" s="332"/>
    </row>
    <row r="6393" spans="5:5" x14ac:dyDescent="0.2">
      <c r="E6393" s="332"/>
    </row>
    <row r="6394" spans="5:5" x14ac:dyDescent="0.2">
      <c r="E6394" s="332"/>
    </row>
    <row r="6395" spans="5:5" x14ac:dyDescent="0.2">
      <c r="E6395" s="332"/>
    </row>
    <row r="6396" spans="5:5" x14ac:dyDescent="0.2">
      <c r="E6396" s="332"/>
    </row>
    <row r="6397" spans="5:5" x14ac:dyDescent="0.2">
      <c r="E6397" s="332"/>
    </row>
    <row r="6398" spans="5:5" x14ac:dyDescent="0.2">
      <c r="E6398" s="332"/>
    </row>
    <row r="6399" spans="5:5" x14ac:dyDescent="0.2">
      <c r="E6399" s="332"/>
    </row>
    <row r="6400" spans="5:5" x14ac:dyDescent="0.2">
      <c r="E6400" s="332"/>
    </row>
    <row r="6401" spans="5:5" x14ac:dyDescent="0.2">
      <c r="E6401" s="332"/>
    </row>
    <row r="6402" spans="5:5" x14ac:dyDescent="0.2">
      <c r="E6402" s="332"/>
    </row>
    <row r="6403" spans="5:5" x14ac:dyDescent="0.2">
      <c r="E6403" s="332"/>
    </row>
    <row r="6404" spans="5:5" x14ac:dyDescent="0.2">
      <c r="E6404" s="332"/>
    </row>
    <row r="6405" spans="5:5" x14ac:dyDescent="0.2">
      <c r="E6405" s="332"/>
    </row>
    <row r="6406" spans="5:5" x14ac:dyDescent="0.2">
      <c r="E6406" s="332"/>
    </row>
    <row r="6407" spans="5:5" x14ac:dyDescent="0.2">
      <c r="E6407" s="332"/>
    </row>
    <row r="6408" spans="5:5" x14ac:dyDescent="0.2">
      <c r="E6408" s="332"/>
    </row>
    <row r="6409" spans="5:5" x14ac:dyDescent="0.2">
      <c r="E6409" s="332"/>
    </row>
    <row r="6410" spans="5:5" x14ac:dyDescent="0.2">
      <c r="E6410" s="332"/>
    </row>
    <row r="6411" spans="5:5" x14ac:dyDescent="0.2">
      <c r="E6411" s="332"/>
    </row>
    <row r="6412" spans="5:5" x14ac:dyDescent="0.2">
      <c r="E6412" s="332"/>
    </row>
    <row r="6413" spans="5:5" x14ac:dyDescent="0.2">
      <c r="E6413" s="332"/>
    </row>
    <row r="6414" spans="5:5" x14ac:dyDescent="0.2">
      <c r="E6414" s="332"/>
    </row>
    <row r="6415" spans="5:5" x14ac:dyDescent="0.2">
      <c r="E6415" s="332"/>
    </row>
    <row r="6416" spans="5:5" x14ac:dyDescent="0.2">
      <c r="E6416" s="332"/>
    </row>
    <row r="6417" spans="5:5" x14ac:dyDescent="0.2">
      <c r="E6417" s="332"/>
    </row>
    <row r="6418" spans="5:5" x14ac:dyDescent="0.2">
      <c r="E6418" s="332"/>
    </row>
    <row r="6419" spans="5:5" x14ac:dyDescent="0.2">
      <c r="E6419" s="332"/>
    </row>
    <row r="6420" spans="5:5" x14ac:dyDescent="0.2">
      <c r="E6420" s="332"/>
    </row>
    <row r="6421" spans="5:5" x14ac:dyDescent="0.2">
      <c r="E6421" s="332"/>
    </row>
    <row r="6422" spans="5:5" x14ac:dyDescent="0.2">
      <c r="E6422" s="332"/>
    </row>
    <row r="6423" spans="5:5" x14ac:dyDescent="0.2">
      <c r="E6423" s="332"/>
    </row>
    <row r="6424" spans="5:5" x14ac:dyDescent="0.2">
      <c r="E6424" s="332"/>
    </row>
    <row r="6425" spans="5:5" x14ac:dyDescent="0.2">
      <c r="E6425" s="332"/>
    </row>
    <row r="6426" spans="5:5" x14ac:dyDescent="0.2">
      <c r="E6426" s="332"/>
    </row>
    <row r="6427" spans="5:5" x14ac:dyDescent="0.2">
      <c r="E6427" s="332"/>
    </row>
    <row r="6428" spans="5:5" x14ac:dyDescent="0.2">
      <c r="E6428" s="332"/>
    </row>
    <row r="6429" spans="5:5" x14ac:dyDescent="0.2">
      <c r="E6429" s="332"/>
    </row>
    <row r="6430" spans="5:5" x14ac:dyDescent="0.2">
      <c r="E6430" s="332"/>
    </row>
    <row r="6431" spans="5:5" x14ac:dyDescent="0.2">
      <c r="E6431" s="332"/>
    </row>
    <row r="6432" spans="5:5" x14ac:dyDescent="0.2">
      <c r="E6432" s="332"/>
    </row>
    <row r="6433" spans="5:5" x14ac:dyDescent="0.2">
      <c r="E6433" s="332"/>
    </row>
    <row r="6434" spans="5:5" x14ac:dyDescent="0.2">
      <c r="E6434" s="332"/>
    </row>
    <row r="6435" spans="5:5" x14ac:dyDescent="0.2">
      <c r="E6435" s="332"/>
    </row>
    <row r="6436" spans="5:5" x14ac:dyDescent="0.2">
      <c r="E6436" s="332"/>
    </row>
    <row r="6437" spans="5:5" x14ac:dyDescent="0.2">
      <c r="E6437" s="332"/>
    </row>
    <row r="6438" spans="5:5" x14ac:dyDescent="0.2">
      <c r="E6438" s="332"/>
    </row>
    <row r="6439" spans="5:5" x14ac:dyDescent="0.2">
      <c r="E6439" s="332"/>
    </row>
    <row r="6440" spans="5:5" x14ac:dyDescent="0.2">
      <c r="E6440" s="332"/>
    </row>
    <row r="6441" spans="5:5" x14ac:dyDescent="0.2">
      <c r="E6441" s="332"/>
    </row>
    <row r="6442" spans="5:5" x14ac:dyDescent="0.2">
      <c r="E6442" s="332"/>
    </row>
    <row r="6443" spans="5:5" x14ac:dyDescent="0.2">
      <c r="E6443" s="332"/>
    </row>
    <row r="6444" spans="5:5" x14ac:dyDescent="0.2">
      <c r="E6444" s="332"/>
    </row>
    <row r="6445" spans="5:5" x14ac:dyDescent="0.2">
      <c r="E6445" s="332"/>
    </row>
    <row r="6446" spans="5:5" x14ac:dyDescent="0.2">
      <c r="E6446" s="332"/>
    </row>
    <row r="6447" spans="5:5" x14ac:dyDescent="0.2">
      <c r="E6447" s="332"/>
    </row>
    <row r="6448" spans="5:5" x14ac:dyDescent="0.2">
      <c r="E6448" s="332"/>
    </row>
    <row r="6449" spans="5:5" x14ac:dyDescent="0.2">
      <c r="E6449" s="332"/>
    </row>
    <row r="6450" spans="5:5" x14ac:dyDescent="0.2">
      <c r="E6450" s="332"/>
    </row>
    <row r="6451" spans="5:5" x14ac:dyDescent="0.2">
      <c r="E6451" s="332"/>
    </row>
    <row r="6452" spans="5:5" x14ac:dyDescent="0.2">
      <c r="E6452" s="332"/>
    </row>
    <row r="6453" spans="5:5" x14ac:dyDescent="0.2">
      <c r="E6453" s="332"/>
    </row>
    <row r="6454" spans="5:5" x14ac:dyDescent="0.2">
      <c r="E6454" s="332"/>
    </row>
    <row r="6455" spans="5:5" x14ac:dyDescent="0.2">
      <c r="E6455" s="332"/>
    </row>
    <row r="6456" spans="5:5" x14ac:dyDescent="0.2">
      <c r="E6456" s="332"/>
    </row>
    <row r="6457" spans="5:5" x14ac:dyDescent="0.2">
      <c r="E6457" s="332"/>
    </row>
    <row r="6458" spans="5:5" x14ac:dyDescent="0.2">
      <c r="E6458" s="332"/>
    </row>
    <row r="6459" spans="5:5" x14ac:dyDescent="0.2">
      <c r="E6459" s="332"/>
    </row>
    <row r="6460" spans="5:5" x14ac:dyDescent="0.2">
      <c r="E6460" s="332"/>
    </row>
    <row r="6461" spans="5:5" x14ac:dyDescent="0.2">
      <c r="E6461" s="332"/>
    </row>
    <row r="6462" spans="5:5" x14ac:dyDescent="0.2">
      <c r="E6462" s="332"/>
    </row>
    <row r="6463" spans="5:5" x14ac:dyDescent="0.2">
      <c r="E6463" s="332"/>
    </row>
    <row r="6464" spans="5:5" x14ac:dyDescent="0.2">
      <c r="E6464" s="332"/>
    </row>
    <row r="6465" spans="5:5" x14ac:dyDescent="0.2">
      <c r="E6465" s="332"/>
    </row>
    <row r="6466" spans="5:5" x14ac:dyDescent="0.2">
      <c r="E6466" s="332"/>
    </row>
    <row r="6467" spans="5:5" x14ac:dyDescent="0.2">
      <c r="E6467" s="332"/>
    </row>
    <row r="6468" spans="5:5" x14ac:dyDescent="0.2">
      <c r="E6468" s="332"/>
    </row>
    <row r="6469" spans="5:5" x14ac:dyDescent="0.2">
      <c r="E6469" s="332"/>
    </row>
    <row r="6470" spans="5:5" x14ac:dyDescent="0.2">
      <c r="E6470" s="332"/>
    </row>
    <row r="6471" spans="5:5" x14ac:dyDescent="0.2">
      <c r="E6471" s="332"/>
    </row>
    <row r="6472" spans="5:5" x14ac:dyDescent="0.2">
      <c r="E6472" s="332"/>
    </row>
    <row r="6473" spans="5:5" x14ac:dyDescent="0.2">
      <c r="E6473" s="332"/>
    </row>
    <row r="6474" spans="5:5" x14ac:dyDescent="0.2">
      <c r="E6474" s="332"/>
    </row>
    <row r="6475" spans="5:5" x14ac:dyDescent="0.2">
      <c r="E6475" s="332"/>
    </row>
    <row r="6476" spans="5:5" x14ac:dyDescent="0.2">
      <c r="E6476" s="332"/>
    </row>
    <row r="6477" spans="5:5" x14ac:dyDescent="0.2">
      <c r="E6477" s="332"/>
    </row>
    <row r="6478" spans="5:5" x14ac:dyDescent="0.2">
      <c r="E6478" s="332"/>
    </row>
    <row r="6479" spans="5:5" x14ac:dyDescent="0.2">
      <c r="E6479" s="332"/>
    </row>
    <row r="6480" spans="5:5" x14ac:dyDescent="0.2">
      <c r="E6480" s="332"/>
    </row>
    <row r="6481" spans="5:5" x14ac:dyDescent="0.2">
      <c r="E6481" s="332"/>
    </row>
    <row r="6482" spans="5:5" x14ac:dyDescent="0.2">
      <c r="E6482" s="332"/>
    </row>
    <row r="6483" spans="5:5" x14ac:dyDescent="0.2">
      <c r="E6483" s="332"/>
    </row>
    <row r="6484" spans="5:5" x14ac:dyDescent="0.2">
      <c r="E6484" s="332"/>
    </row>
    <row r="6485" spans="5:5" x14ac:dyDescent="0.2">
      <c r="E6485" s="332"/>
    </row>
    <row r="6486" spans="5:5" x14ac:dyDescent="0.2">
      <c r="E6486" s="332"/>
    </row>
    <row r="6487" spans="5:5" x14ac:dyDescent="0.2">
      <c r="E6487" s="332"/>
    </row>
    <row r="6488" spans="5:5" x14ac:dyDescent="0.2">
      <c r="E6488" s="332"/>
    </row>
    <row r="6489" spans="5:5" x14ac:dyDescent="0.2">
      <c r="E6489" s="332"/>
    </row>
    <row r="6490" spans="5:5" x14ac:dyDescent="0.2">
      <c r="E6490" s="332"/>
    </row>
    <row r="6491" spans="5:5" x14ac:dyDescent="0.2">
      <c r="E6491" s="332"/>
    </row>
    <row r="6492" spans="5:5" x14ac:dyDescent="0.2">
      <c r="E6492" s="332"/>
    </row>
    <row r="6493" spans="5:5" x14ac:dyDescent="0.2">
      <c r="E6493" s="332"/>
    </row>
    <row r="6494" spans="5:5" x14ac:dyDescent="0.2">
      <c r="E6494" s="332"/>
    </row>
    <row r="6495" spans="5:5" x14ac:dyDescent="0.2">
      <c r="E6495" s="332"/>
    </row>
    <row r="6496" spans="5:5" x14ac:dyDescent="0.2">
      <c r="E6496" s="332"/>
    </row>
    <row r="6497" spans="5:5" x14ac:dyDescent="0.2">
      <c r="E6497" s="332"/>
    </row>
    <row r="6498" spans="5:5" x14ac:dyDescent="0.2">
      <c r="E6498" s="332"/>
    </row>
    <row r="6499" spans="5:5" x14ac:dyDescent="0.2">
      <c r="E6499" s="332"/>
    </row>
    <row r="6500" spans="5:5" x14ac:dyDescent="0.2">
      <c r="E6500" s="332"/>
    </row>
    <row r="6501" spans="5:5" x14ac:dyDescent="0.2">
      <c r="E6501" s="332"/>
    </row>
    <row r="6502" spans="5:5" x14ac:dyDescent="0.2">
      <c r="E6502" s="332"/>
    </row>
    <row r="6503" spans="5:5" x14ac:dyDescent="0.2">
      <c r="E6503" s="332"/>
    </row>
    <row r="6504" spans="5:5" x14ac:dyDescent="0.2">
      <c r="E6504" s="332"/>
    </row>
    <row r="6505" spans="5:5" x14ac:dyDescent="0.2">
      <c r="E6505" s="332"/>
    </row>
    <row r="6506" spans="5:5" x14ac:dyDescent="0.2">
      <c r="E6506" s="332"/>
    </row>
    <row r="6507" spans="5:5" x14ac:dyDescent="0.2">
      <c r="E6507" s="332"/>
    </row>
    <row r="6508" spans="5:5" x14ac:dyDescent="0.2">
      <c r="E6508" s="332"/>
    </row>
    <row r="6509" spans="5:5" x14ac:dyDescent="0.2">
      <c r="E6509" s="332"/>
    </row>
    <row r="6510" spans="5:5" x14ac:dyDescent="0.2">
      <c r="E6510" s="332"/>
    </row>
    <row r="6511" spans="5:5" x14ac:dyDescent="0.2">
      <c r="E6511" s="332"/>
    </row>
    <row r="6512" spans="5:5" x14ac:dyDescent="0.2">
      <c r="E6512" s="332"/>
    </row>
    <row r="6513" spans="5:5" x14ac:dyDescent="0.2">
      <c r="E6513" s="332"/>
    </row>
    <row r="6514" spans="5:5" x14ac:dyDescent="0.2">
      <c r="E6514" s="332"/>
    </row>
    <row r="6515" spans="5:5" x14ac:dyDescent="0.2">
      <c r="E6515" s="332"/>
    </row>
    <row r="6516" spans="5:5" x14ac:dyDescent="0.2">
      <c r="E6516" s="332"/>
    </row>
    <row r="6517" spans="5:5" x14ac:dyDescent="0.2">
      <c r="E6517" s="332"/>
    </row>
    <row r="6518" spans="5:5" x14ac:dyDescent="0.2">
      <c r="E6518" s="332"/>
    </row>
    <row r="6519" spans="5:5" x14ac:dyDescent="0.2">
      <c r="E6519" s="332"/>
    </row>
    <row r="6520" spans="5:5" x14ac:dyDescent="0.2">
      <c r="E6520" s="332"/>
    </row>
    <row r="6521" spans="5:5" x14ac:dyDescent="0.2">
      <c r="E6521" s="332"/>
    </row>
    <row r="6522" spans="5:5" x14ac:dyDescent="0.2">
      <c r="E6522" s="332"/>
    </row>
    <row r="6523" spans="5:5" x14ac:dyDescent="0.2">
      <c r="E6523" s="332"/>
    </row>
    <row r="6524" spans="5:5" x14ac:dyDescent="0.2">
      <c r="E6524" s="332"/>
    </row>
    <row r="6525" spans="5:5" x14ac:dyDescent="0.2">
      <c r="E6525" s="332"/>
    </row>
    <row r="6526" spans="5:5" x14ac:dyDescent="0.2">
      <c r="E6526" s="332"/>
    </row>
    <row r="6527" spans="5:5" x14ac:dyDescent="0.2">
      <c r="E6527" s="332"/>
    </row>
    <row r="6528" spans="5:5" x14ac:dyDescent="0.2">
      <c r="E6528" s="332"/>
    </row>
    <row r="6529" spans="5:5" x14ac:dyDescent="0.2">
      <c r="E6529" s="332"/>
    </row>
    <row r="6530" spans="5:5" x14ac:dyDescent="0.2">
      <c r="E6530" s="332"/>
    </row>
    <row r="6531" spans="5:5" x14ac:dyDescent="0.2">
      <c r="E6531" s="332"/>
    </row>
    <row r="6532" spans="5:5" x14ac:dyDescent="0.2">
      <c r="E6532" s="332"/>
    </row>
    <row r="6533" spans="5:5" x14ac:dyDescent="0.2">
      <c r="E6533" s="332"/>
    </row>
    <row r="6534" spans="5:5" x14ac:dyDescent="0.2">
      <c r="E6534" s="332"/>
    </row>
    <row r="6535" spans="5:5" x14ac:dyDescent="0.2">
      <c r="E6535" s="332"/>
    </row>
    <row r="6536" spans="5:5" x14ac:dyDescent="0.2">
      <c r="E6536" s="332"/>
    </row>
    <row r="6537" spans="5:5" x14ac:dyDescent="0.2">
      <c r="E6537" s="332"/>
    </row>
    <row r="6538" spans="5:5" x14ac:dyDescent="0.2">
      <c r="E6538" s="332"/>
    </row>
    <row r="6539" spans="5:5" x14ac:dyDescent="0.2">
      <c r="E6539" s="332"/>
    </row>
    <row r="6540" spans="5:5" x14ac:dyDescent="0.2">
      <c r="E6540" s="332"/>
    </row>
    <row r="6541" spans="5:5" x14ac:dyDescent="0.2">
      <c r="E6541" s="332"/>
    </row>
    <row r="6542" spans="5:5" x14ac:dyDescent="0.2">
      <c r="E6542" s="332"/>
    </row>
    <row r="6543" spans="5:5" x14ac:dyDescent="0.2">
      <c r="E6543" s="332"/>
    </row>
    <row r="6544" spans="5:5" x14ac:dyDescent="0.2">
      <c r="E6544" s="332"/>
    </row>
    <row r="6545" spans="5:5" x14ac:dyDescent="0.2">
      <c r="E6545" s="332"/>
    </row>
    <row r="6546" spans="5:5" x14ac:dyDescent="0.2">
      <c r="E6546" s="332"/>
    </row>
    <row r="6547" spans="5:5" x14ac:dyDescent="0.2">
      <c r="E6547" s="332"/>
    </row>
    <row r="6548" spans="5:5" x14ac:dyDescent="0.2">
      <c r="E6548" s="332"/>
    </row>
    <row r="6549" spans="5:5" x14ac:dyDescent="0.2">
      <c r="E6549" s="332"/>
    </row>
    <row r="6550" spans="5:5" x14ac:dyDescent="0.2">
      <c r="E6550" s="332"/>
    </row>
    <row r="6551" spans="5:5" x14ac:dyDescent="0.2">
      <c r="E6551" s="332"/>
    </row>
    <row r="6552" spans="5:5" x14ac:dyDescent="0.2">
      <c r="E6552" s="332"/>
    </row>
    <row r="6553" spans="5:5" x14ac:dyDescent="0.2">
      <c r="E6553" s="332"/>
    </row>
    <row r="6554" spans="5:5" x14ac:dyDescent="0.2">
      <c r="E6554" s="332"/>
    </row>
    <row r="6555" spans="5:5" x14ac:dyDescent="0.2">
      <c r="E6555" s="332"/>
    </row>
    <row r="6556" spans="5:5" x14ac:dyDescent="0.2">
      <c r="E6556" s="332"/>
    </row>
    <row r="6557" spans="5:5" x14ac:dyDescent="0.2">
      <c r="E6557" s="332"/>
    </row>
    <row r="6558" spans="5:5" x14ac:dyDescent="0.2">
      <c r="E6558" s="332"/>
    </row>
    <row r="6559" spans="5:5" x14ac:dyDescent="0.2">
      <c r="E6559" s="332"/>
    </row>
    <row r="6560" spans="5:5" x14ac:dyDescent="0.2">
      <c r="E6560" s="332"/>
    </row>
    <row r="6561" spans="5:5" x14ac:dyDescent="0.2">
      <c r="E6561" s="332"/>
    </row>
    <row r="6562" spans="5:5" x14ac:dyDescent="0.2">
      <c r="E6562" s="332"/>
    </row>
    <row r="6563" spans="5:5" x14ac:dyDescent="0.2">
      <c r="E6563" s="332"/>
    </row>
    <row r="6564" spans="5:5" x14ac:dyDescent="0.2">
      <c r="E6564" s="332"/>
    </row>
    <row r="6565" spans="5:5" x14ac:dyDescent="0.2">
      <c r="E6565" s="332"/>
    </row>
    <row r="6566" spans="5:5" x14ac:dyDescent="0.2">
      <c r="E6566" s="332"/>
    </row>
    <row r="6567" spans="5:5" x14ac:dyDescent="0.2">
      <c r="E6567" s="332"/>
    </row>
    <row r="6568" spans="5:5" x14ac:dyDescent="0.2">
      <c r="E6568" s="332"/>
    </row>
    <row r="6569" spans="5:5" x14ac:dyDescent="0.2">
      <c r="E6569" s="332"/>
    </row>
    <row r="6570" spans="5:5" x14ac:dyDescent="0.2">
      <c r="E6570" s="332"/>
    </row>
    <row r="6571" spans="5:5" x14ac:dyDescent="0.2">
      <c r="E6571" s="332"/>
    </row>
    <row r="6572" spans="5:5" x14ac:dyDescent="0.2">
      <c r="E6572" s="332"/>
    </row>
    <row r="6573" spans="5:5" x14ac:dyDescent="0.2">
      <c r="E6573" s="332"/>
    </row>
    <row r="6574" spans="5:5" x14ac:dyDescent="0.2">
      <c r="E6574" s="332"/>
    </row>
    <row r="6575" spans="5:5" x14ac:dyDescent="0.2">
      <c r="E6575" s="332"/>
    </row>
    <row r="6576" spans="5:5" x14ac:dyDescent="0.2">
      <c r="E6576" s="332"/>
    </row>
    <row r="6577" spans="5:5" x14ac:dyDescent="0.2">
      <c r="E6577" s="332"/>
    </row>
    <row r="6578" spans="5:5" x14ac:dyDescent="0.2">
      <c r="E6578" s="332"/>
    </row>
    <row r="6579" spans="5:5" x14ac:dyDescent="0.2">
      <c r="E6579" s="332"/>
    </row>
    <row r="6580" spans="5:5" x14ac:dyDescent="0.2">
      <c r="E6580" s="332"/>
    </row>
    <row r="6581" spans="5:5" x14ac:dyDescent="0.2">
      <c r="E6581" s="332"/>
    </row>
    <row r="6582" spans="5:5" x14ac:dyDescent="0.2">
      <c r="E6582" s="332"/>
    </row>
    <row r="6583" spans="5:5" x14ac:dyDescent="0.2">
      <c r="E6583" s="332"/>
    </row>
    <row r="6584" spans="5:5" x14ac:dyDescent="0.2">
      <c r="E6584" s="332"/>
    </row>
    <row r="6585" spans="5:5" x14ac:dyDescent="0.2">
      <c r="E6585" s="332"/>
    </row>
    <row r="6586" spans="5:5" x14ac:dyDescent="0.2">
      <c r="E6586" s="332"/>
    </row>
    <row r="6587" spans="5:5" x14ac:dyDescent="0.2">
      <c r="E6587" s="332"/>
    </row>
    <row r="6588" spans="5:5" x14ac:dyDescent="0.2">
      <c r="E6588" s="332"/>
    </row>
    <row r="6589" spans="5:5" x14ac:dyDescent="0.2">
      <c r="E6589" s="332"/>
    </row>
    <row r="6590" spans="5:5" x14ac:dyDescent="0.2">
      <c r="E6590" s="332"/>
    </row>
    <row r="6591" spans="5:5" x14ac:dyDescent="0.2">
      <c r="E6591" s="332"/>
    </row>
    <row r="6592" spans="5:5" x14ac:dyDescent="0.2">
      <c r="E6592" s="332"/>
    </row>
    <row r="6593" spans="5:5" x14ac:dyDescent="0.2">
      <c r="E6593" s="332"/>
    </row>
    <row r="6594" spans="5:5" x14ac:dyDescent="0.2">
      <c r="E6594" s="332"/>
    </row>
    <row r="6595" spans="5:5" x14ac:dyDescent="0.2">
      <c r="E6595" s="332"/>
    </row>
    <row r="6596" spans="5:5" x14ac:dyDescent="0.2">
      <c r="E6596" s="332"/>
    </row>
    <row r="6597" spans="5:5" x14ac:dyDescent="0.2">
      <c r="E6597" s="332"/>
    </row>
    <row r="6598" spans="5:5" x14ac:dyDescent="0.2">
      <c r="E6598" s="332"/>
    </row>
    <row r="6599" spans="5:5" x14ac:dyDescent="0.2">
      <c r="E6599" s="332"/>
    </row>
    <row r="6600" spans="5:5" x14ac:dyDescent="0.2">
      <c r="E6600" s="332"/>
    </row>
    <row r="6601" spans="5:5" x14ac:dyDescent="0.2">
      <c r="E6601" s="332"/>
    </row>
    <row r="6602" spans="5:5" x14ac:dyDescent="0.2">
      <c r="E6602" s="332"/>
    </row>
    <row r="6603" spans="5:5" x14ac:dyDescent="0.2">
      <c r="E6603" s="332"/>
    </row>
    <row r="6604" spans="5:5" x14ac:dyDescent="0.2">
      <c r="E6604" s="332"/>
    </row>
    <row r="6605" spans="5:5" x14ac:dyDescent="0.2">
      <c r="E6605" s="332"/>
    </row>
    <row r="6606" spans="5:5" x14ac:dyDescent="0.2">
      <c r="E6606" s="332"/>
    </row>
    <row r="6607" spans="5:5" x14ac:dyDescent="0.2">
      <c r="E6607" s="332"/>
    </row>
    <row r="6608" spans="5:5" x14ac:dyDescent="0.2">
      <c r="E6608" s="332"/>
    </row>
    <row r="6609" spans="5:5" x14ac:dyDescent="0.2">
      <c r="E6609" s="332"/>
    </row>
    <row r="6610" spans="5:5" x14ac:dyDescent="0.2">
      <c r="E6610" s="332"/>
    </row>
    <row r="6611" spans="5:5" x14ac:dyDescent="0.2">
      <c r="E6611" s="332"/>
    </row>
    <row r="6612" spans="5:5" x14ac:dyDescent="0.2">
      <c r="E6612" s="332"/>
    </row>
    <row r="6613" spans="5:5" x14ac:dyDescent="0.2">
      <c r="E6613" s="332"/>
    </row>
    <row r="6614" spans="5:5" x14ac:dyDescent="0.2">
      <c r="E6614" s="332"/>
    </row>
    <row r="6615" spans="5:5" x14ac:dyDescent="0.2">
      <c r="E6615" s="332"/>
    </row>
    <row r="6616" spans="5:5" x14ac:dyDescent="0.2">
      <c r="E6616" s="332"/>
    </row>
    <row r="6617" spans="5:5" x14ac:dyDescent="0.2">
      <c r="E6617" s="332"/>
    </row>
    <row r="6618" spans="5:5" x14ac:dyDescent="0.2">
      <c r="E6618" s="332"/>
    </row>
    <row r="6619" spans="5:5" x14ac:dyDescent="0.2">
      <c r="E6619" s="332"/>
    </row>
    <row r="6620" spans="5:5" x14ac:dyDescent="0.2">
      <c r="E6620" s="332"/>
    </row>
    <row r="6621" spans="5:5" x14ac:dyDescent="0.2">
      <c r="E6621" s="332"/>
    </row>
    <row r="6622" spans="5:5" x14ac:dyDescent="0.2">
      <c r="E6622" s="332"/>
    </row>
    <row r="6623" spans="5:5" x14ac:dyDescent="0.2">
      <c r="E6623" s="332"/>
    </row>
    <row r="6624" spans="5:5" x14ac:dyDescent="0.2">
      <c r="E6624" s="332"/>
    </row>
    <row r="6625" spans="5:5" x14ac:dyDescent="0.2">
      <c r="E6625" s="332"/>
    </row>
    <row r="6626" spans="5:5" x14ac:dyDescent="0.2">
      <c r="E6626" s="332"/>
    </row>
    <row r="6627" spans="5:5" x14ac:dyDescent="0.2">
      <c r="E6627" s="332"/>
    </row>
    <row r="6628" spans="5:5" x14ac:dyDescent="0.2">
      <c r="E6628" s="332"/>
    </row>
    <row r="6629" spans="5:5" x14ac:dyDescent="0.2">
      <c r="E6629" s="332"/>
    </row>
    <row r="6630" spans="5:5" x14ac:dyDescent="0.2">
      <c r="E6630" s="332"/>
    </row>
    <row r="6631" spans="5:5" x14ac:dyDescent="0.2">
      <c r="E6631" s="332"/>
    </row>
    <row r="6632" spans="5:5" x14ac:dyDescent="0.2">
      <c r="E6632" s="332"/>
    </row>
    <row r="6633" spans="5:5" x14ac:dyDescent="0.2">
      <c r="E6633" s="332"/>
    </row>
    <row r="6634" spans="5:5" x14ac:dyDescent="0.2">
      <c r="E6634" s="332"/>
    </row>
    <row r="6635" spans="5:5" x14ac:dyDescent="0.2">
      <c r="E6635" s="332"/>
    </row>
    <row r="6636" spans="5:5" x14ac:dyDescent="0.2">
      <c r="E6636" s="332"/>
    </row>
    <row r="6637" spans="5:5" x14ac:dyDescent="0.2">
      <c r="E6637" s="332"/>
    </row>
    <row r="6638" spans="5:5" x14ac:dyDescent="0.2">
      <c r="E6638" s="332"/>
    </row>
    <row r="6639" spans="5:5" x14ac:dyDescent="0.2">
      <c r="E6639" s="332"/>
    </row>
    <row r="6640" spans="5:5" x14ac:dyDescent="0.2">
      <c r="E6640" s="332"/>
    </row>
    <row r="6641" spans="5:5" x14ac:dyDescent="0.2">
      <c r="E6641" s="332"/>
    </row>
    <row r="6642" spans="5:5" x14ac:dyDescent="0.2">
      <c r="E6642" s="332"/>
    </row>
    <row r="6643" spans="5:5" x14ac:dyDescent="0.2">
      <c r="E6643" s="332"/>
    </row>
    <row r="6644" spans="5:5" x14ac:dyDescent="0.2">
      <c r="E6644" s="332"/>
    </row>
    <row r="6645" spans="5:5" x14ac:dyDescent="0.2">
      <c r="E6645" s="332"/>
    </row>
    <row r="6646" spans="5:5" x14ac:dyDescent="0.2">
      <c r="E6646" s="332"/>
    </row>
    <row r="6647" spans="5:5" x14ac:dyDescent="0.2">
      <c r="E6647" s="332"/>
    </row>
    <row r="6648" spans="5:5" x14ac:dyDescent="0.2">
      <c r="E6648" s="332"/>
    </row>
    <row r="6649" spans="5:5" x14ac:dyDescent="0.2">
      <c r="E6649" s="332"/>
    </row>
    <row r="6650" spans="5:5" x14ac:dyDescent="0.2">
      <c r="E6650" s="332"/>
    </row>
    <row r="6651" spans="5:5" x14ac:dyDescent="0.2">
      <c r="E6651" s="332"/>
    </row>
    <row r="6652" spans="5:5" x14ac:dyDescent="0.2">
      <c r="E6652" s="332"/>
    </row>
    <row r="6653" spans="5:5" x14ac:dyDescent="0.2">
      <c r="E6653" s="332"/>
    </row>
    <row r="6654" spans="5:5" x14ac:dyDescent="0.2">
      <c r="E6654" s="332"/>
    </row>
    <row r="6655" spans="5:5" x14ac:dyDescent="0.2">
      <c r="E6655" s="332"/>
    </row>
    <row r="6656" spans="5:5" x14ac:dyDescent="0.2">
      <c r="E6656" s="332"/>
    </row>
    <row r="6657" spans="5:5" x14ac:dyDescent="0.2">
      <c r="E6657" s="332"/>
    </row>
    <row r="6658" spans="5:5" x14ac:dyDescent="0.2">
      <c r="E6658" s="332"/>
    </row>
    <row r="6659" spans="5:5" x14ac:dyDescent="0.2">
      <c r="E6659" s="332"/>
    </row>
    <row r="6660" spans="5:5" x14ac:dyDescent="0.2">
      <c r="E6660" s="332"/>
    </row>
    <row r="6661" spans="5:5" x14ac:dyDescent="0.2">
      <c r="E6661" s="332"/>
    </row>
    <row r="6662" spans="5:5" x14ac:dyDescent="0.2">
      <c r="E6662" s="332"/>
    </row>
    <row r="6663" spans="5:5" x14ac:dyDescent="0.2">
      <c r="E6663" s="332"/>
    </row>
    <row r="6664" spans="5:5" x14ac:dyDescent="0.2">
      <c r="E6664" s="332"/>
    </row>
    <row r="6665" spans="5:5" x14ac:dyDescent="0.2">
      <c r="E6665" s="332"/>
    </row>
    <row r="6666" spans="5:5" x14ac:dyDescent="0.2">
      <c r="E6666" s="332"/>
    </row>
    <row r="6667" spans="5:5" x14ac:dyDescent="0.2">
      <c r="E6667" s="332"/>
    </row>
    <row r="6668" spans="5:5" x14ac:dyDescent="0.2">
      <c r="E6668" s="332"/>
    </row>
    <row r="6669" spans="5:5" x14ac:dyDescent="0.2">
      <c r="E6669" s="332"/>
    </row>
    <row r="6670" spans="5:5" x14ac:dyDescent="0.2">
      <c r="E6670" s="332"/>
    </row>
    <row r="6671" spans="5:5" x14ac:dyDescent="0.2">
      <c r="E6671" s="332"/>
    </row>
    <row r="6672" spans="5:5" x14ac:dyDescent="0.2">
      <c r="E6672" s="332"/>
    </row>
    <row r="6673" spans="5:5" x14ac:dyDescent="0.2">
      <c r="E6673" s="332"/>
    </row>
    <row r="6674" spans="5:5" x14ac:dyDescent="0.2">
      <c r="E6674" s="332"/>
    </row>
    <row r="6675" spans="5:5" x14ac:dyDescent="0.2">
      <c r="E6675" s="332"/>
    </row>
    <row r="6676" spans="5:5" x14ac:dyDescent="0.2">
      <c r="E6676" s="332"/>
    </row>
    <row r="6677" spans="5:5" x14ac:dyDescent="0.2">
      <c r="E6677" s="332"/>
    </row>
    <row r="6678" spans="5:5" x14ac:dyDescent="0.2">
      <c r="E6678" s="332"/>
    </row>
    <row r="6679" spans="5:5" x14ac:dyDescent="0.2">
      <c r="E6679" s="332"/>
    </row>
    <row r="6680" spans="5:5" x14ac:dyDescent="0.2">
      <c r="E6680" s="332"/>
    </row>
    <row r="6681" spans="5:5" x14ac:dyDescent="0.2">
      <c r="E6681" s="332"/>
    </row>
    <row r="6682" spans="5:5" x14ac:dyDescent="0.2">
      <c r="E6682" s="332"/>
    </row>
    <row r="6683" spans="5:5" x14ac:dyDescent="0.2">
      <c r="E6683" s="332"/>
    </row>
    <row r="6684" spans="5:5" x14ac:dyDescent="0.2">
      <c r="E6684" s="332"/>
    </row>
    <row r="6685" spans="5:5" x14ac:dyDescent="0.2">
      <c r="E6685" s="332"/>
    </row>
    <row r="6686" spans="5:5" x14ac:dyDescent="0.2">
      <c r="E6686" s="332"/>
    </row>
    <row r="6687" spans="5:5" x14ac:dyDescent="0.2">
      <c r="E6687" s="332"/>
    </row>
    <row r="6688" spans="5:5" x14ac:dyDescent="0.2">
      <c r="E6688" s="332"/>
    </row>
    <row r="6689" spans="5:5" x14ac:dyDescent="0.2">
      <c r="E6689" s="332"/>
    </row>
    <row r="6690" spans="5:5" x14ac:dyDescent="0.2">
      <c r="E6690" s="332"/>
    </row>
    <row r="6691" spans="5:5" x14ac:dyDescent="0.2">
      <c r="E6691" s="332"/>
    </row>
    <row r="6692" spans="5:5" x14ac:dyDescent="0.2">
      <c r="E6692" s="332"/>
    </row>
    <row r="6693" spans="5:5" x14ac:dyDescent="0.2">
      <c r="E6693" s="332"/>
    </row>
    <row r="6694" spans="5:5" x14ac:dyDescent="0.2">
      <c r="E6694" s="332"/>
    </row>
    <row r="6695" spans="5:5" x14ac:dyDescent="0.2">
      <c r="E6695" s="332"/>
    </row>
    <row r="6696" spans="5:5" x14ac:dyDescent="0.2">
      <c r="E6696" s="332"/>
    </row>
    <row r="6697" spans="5:5" x14ac:dyDescent="0.2">
      <c r="E6697" s="332"/>
    </row>
    <row r="6698" spans="5:5" x14ac:dyDescent="0.2">
      <c r="E6698" s="332"/>
    </row>
    <row r="6699" spans="5:5" x14ac:dyDescent="0.2">
      <c r="E6699" s="332"/>
    </row>
    <row r="6700" spans="5:5" x14ac:dyDescent="0.2">
      <c r="E6700" s="332"/>
    </row>
    <row r="6701" spans="5:5" x14ac:dyDescent="0.2">
      <c r="E6701" s="332"/>
    </row>
    <row r="6702" spans="5:5" x14ac:dyDescent="0.2">
      <c r="E6702" s="332"/>
    </row>
    <row r="6703" spans="5:5" x14ac:dyDescent="0.2">
      <c r="E6703" s="332"/>
    </row>
    <row r="6704" spans="5:5" x14ac:dyDescent="0.2">
      <c r="E6704" s="332"/>
    </row>
    <row r="6705" spans="5:5" x14ac:dyDescent="0.2">
      <c r="E6705" s="332"/>
    </row>
    <row r="6706" spans="5:5" x14ac:dyDescent="0.2">
      <c r="E6706" s="332"/>
    </row>
    <row r="6707" spans="5:5" x14ac:dyDescent="0.2">
      <c r="E6707" s="332"/>
    </row>
    <row r="6708" spans="5:5" x14ac:dyDescent="0.2">
      <c r="E6708" s="332"/>
    </row>
    <row r="6709" spans="5:5" x14ac:dyDescent="0.2">
      <c r="E6709" s="332"/>
    </row>
    <row r="6710" spans="5:5" x14ac:dyDescent="0.2">
      <c r="E6710" s="332"/>
    </row>
    <row r="6711" spans="5:5" x14ac:dyDescent="0.2">
      <c r="E6711" s="332"/>
    </row>
    <row r="6712" spans="5:5" x14ac:dyDescent="0.2">
      <c r="E6712" s="332"/>
    </row>
    <row r="6713" spans="5:5" x14ac:dyDescent="0.2">
      <c r="E6713" s="332"/>
    </row>
    <row r="6714" spans="5:5" x14ac:dyDescent="0.2">
      <c r="E6714" s="332"/>
    </row>
    <row r="6715" spans="5:5" x14ac:dyDescent="0.2">
      <c r="E6715" s="332"/>
    </row>
    <row r="6716" spans="5:5" x14ac:dyDescent="0.2">
      <c r="E6716" s="332"/>
    </row>
    <row r="6717" spans="5:5" x14ac:dyDescent="0.2">
      <c r="E6717" s="332"/>
    </row>
    <row r="6718" spans="5:5" x14ac:dyDescent="0.2">
      <c r="E6718" s="332"/>
    </row>
    <row r="6719" spans="5:5" x14ac:dyDescent="0.2">
      <c r="E6719" s="332"/>
    </row>
    <row r="6720" spans="5:5" x14ac:dyDescent="0.2">
      <c r="E6720" s="332"/>
    </row>
    <row r="6721" spans="5:5" x14ac:dyDescent="0.2">
      <c r="E6721" s="332"/>
    </row>
    <row r="6722" spans="5:5" x14ac:dyDescent="0.2">
      <c r="E6722" s="332"/>
    </row>
    <row r="6723" spans="5:5" x14ac:dyDescent="0.2">
      <c r="E6723" s="332"/>
    </row>
    <row r="6724" spans="5:5" x14ac:dyDescent="0.2">
      <c r="E6724" s="332"/>
    </row>
    <row r="6725" spans="5:5" x14ac:dyDescent="0.2">
      <c r="E6725" s="332"/>
    </row>
    <row r="6726" spans="5:5" x14ac:dyDescent="0.2">
      <c r="E6726" s="332"/>
    </row>
    <row r="6727" spans="5:5" x14ac:dyDescent="0.2">
      <c r="E6727" s="332"/>
    </row>
    <row r="6728" spans="5:5" x14ac:dyDescent="0.2">
      <c r="E6728" s="332"/>
    </row>
    <row r="6729" spans="5:5" x14ac:dyDescent="0.2">
      <c r="E6729" s="332"/>
    </row>
    <row r="6730" spans="5:5" x14ac:dyDescent="0.2">
      <c r="E6730" s="332"/>
    </row>
    <row r="6731" spans="5:5" x14ac:dyDescent="0.2">
      <c r="E6731" s="332"/>
    </row>
    <row r="6732" spans="5:5" x14ac:dyDescent="0.2">
      <c r="E6732" s="332"/>
    </row>
    <row r="6733" spans="5:5" x14ac:dyDescent="0.2">
      <c r="E6733" s="332"/>
    </row>
    <row r="6734" spans="5:5" x14ac:dyDescent="0.2">
      <c r="E6734" s="332"/>
    </row>
    <row r="6735" spans="5:5" x14ac:dyDescent="0.2">
      <c r="E6735" s="332"/>
    </row>
    <row r="6736" spans="5:5" x14ac:dyDescent="0.2">
      <c r="E6736" s="332"/>
    </row>
    <row r="6737" spans="5:5" x14ac:dyDescent="0.2">
      <c r="E6737" s="332"/>
    </row>
    <row r="6738" spans="5:5" x14ac:dyDescent="0.2">
      <c r="E6738" s="332"/>
    </row>
    <row r="6739" spans="5:5" x14ac:dyDescent="0.2">
      <c r="E6739" s="332"/>
    </row>
    <row r="6740" spans="5:5" x14ac:dyDescent="0.2">
      <c r="E6740" s="332"/>
    </row>
    <row r="6741" spans="5:5" x14ac:dyDescent="0.2">
      <c r="E6741" s="332"/>
    </row>
    <row r="6742" spans="5:5" x14ac:dyDescent="0.2">
      <c r="E6742" s="332"/>
    </row>
    <row r="6743" spans="5:5" x14ac:dyDescent="0.2">
      <c r="E6743" s="332"/>
    </row>
    <row r="6744" spans="5:5" x14ac:dyDescent="0.2">
      <c r="E6744" s="332"/>
    </row>
    <row r="6745" spans="5:5" x14ac:dyDescent="0.2">
      <c r="E6745" s="332"/>
    </row>
    <row r="6746" spans="5:5" x14ac:dyDescent="0.2">
      <c r="E6746" s="332"/>
    </row>
    <row r="6747" spans="5:5" x14ac:dyDescent="0.2">
      <c r="E6747" s="332"/>
    </row>
    <row r="6748" spans="5:5" x14ac:dyDescent="0.2">
      <c r="E6748" s="332"/>
    </row>
    <row r="6749" spans="5:5" x14ac:dyDescent="0.2">
      <c r="E6749" s="332"/>
    </row>
    <row r="6750" spans="5:5" x14ac:dyDescent="0.2">
      <c r="E6750" s="332"/>
    </row>
    <row r="6751" spans="5:5" x14ac:dyDescent="0.2">
      <c r="E6751" s="332"/>
    </row>
    <row r="6752" spans="5:5" x14ac:dyDescent="0.2">
      <c r="E6752" s="332"/>
    </row>
    <row r="6753" spans="5:5" x14ac:dyDescent="0.2">
      <c r="E6753" s="332"/>
    </row>
    <row r="6754" spans="5:5" x14ac:dyDescent="0.2">
      <c r="E6754" s="332"/>
    </row>
    <row r="6755" spans="5:5" x14ac:dyDescent="0.2">
      <c r="E6755" s="332"/>
    </row>
    <row r="6756" spans="5:5" x14ac:dyDescent="0.2">
      <c r="E6756" s="332"/>
    </row>
    <row r="6757" spans="5:5" x14ac:dyDescent="0.2">
      <c r="E6757" s="332"/>
    </row>
    <row r="6758" spans="5:5" x14ac:dyDescent="0.2">
      <c r="E6758" s="332"/>
    </row>
    <row r="6759" spans="5:5" x14ac:dyDescent="0.2">
      <c r="E6759" s="332"/>
    </row>
    <row r="6760" spans="5:5" x14ac:dyDescent="0.2">
      <c r="E6760" s="332"/>
    </row>
    <row r="6761" spans="5:5" x14ac:dyDescent="0.2">
      <c r="E6761" s="332"/>
    </row>
    <row r="6762" spans="5:5" x14ac:dyDescent="0.2">
      <c r="E6762" s="332"/>
    </row>
    <row r="6763" spans="5:5" x14ac:dyDescent="0.2">
      <c r="E6763" s="332"/>
    </row>
    <row r="6764" spans="5:5" x14ac:dyDescent="0.2">
      <c r="E6764" s="332"/>
    </row>
    <row r="6765" spans="5:5" x14ac:dyDescent="0.2">
      <c r="E6765" s="332"/>
    </row>
    <row r="6766" spans="5:5" x14ac:dyDescent="0.2">
      <c r="E6766" s="332"/>
    </row>
    <row r="6767" spans="5:5" x14ac:dyDescent="0.2">
      <c r="E6767" s="332"/>
    </row>
    <row r="6768" spans="5:5" x14ac:dyDescent="0.2">
      <c r="E6768" s="332"/>
    </row>
    <row r="6769" spans="5:5" x14ac:dyDescent="0.2">
      <c r="E6769" s="332"/>
    </row>
    <row r="6770" spans="5:5" x14ac:dyDescent="0.2">
      <c r="E6770" s="332"/>
    </row>
    <row r="6771" spans="5:5" x14ac:dyDescent="0.2">
      <c r="E6771" s="332"/>
    </row>
    <row r="6772" spans="5:5" x14ac:dyDescent="0.2">
      <c r="E6772" s="332"/>
    </row>
    <row r="6773" spans="5:5" x14ac:dyDescent="0.2">
      <c r="E6773" s="332"/>
    </row>
    <row r="6774" spans="5:5" x14ac:dyDescent="0.2">
      <c r="E6774" s="332"/>
    </row>
    <row r="6775" spans="5:5" x14ac:dyDescent="0.2">
      <c r="E6775" s="332"/>
    </row>
    <row r="6776" spans="5:5" x14ac:dyDescent="0.2">
      <c r="E6776" s="332"/>
    </row>
    <row r="6777" spans="5:5" x14ac:dyDescent="0.2">
      <c r="E6777" s="332"/>
    </row>
    <row r="6778" spans="5:5" x14ac:dyDescent="0.2">
      <c r="E6778" s="332"/>
    </row>
    <row r="6779" spans="5:5" x14ac:dyDescent="0.2">
      <c r="E6779" s="332"/>
    </row>
    <row r="6780" spans="5:5" x14ac:dyDescent="0.2">
      <c r="E6780" s="332"/>
    </row>
    <row r="6781" spans="5:5" x14ac:dyDescent="0.2">
      <c r="E6781" s="332"/>
    </row>
    <row r="6782" spans="5:5" x14ac:dyDescent="0.2">
      <c r="E6782" s="332"/>
    </row>
    <row r="6783" spans="5:5" x14ac:dyDescent="0.2">
      <c r="E6783" s="332"/>
    </row>
    <row r="6784" spans="5:5" x14ac:dyDescent="0.2">
      <c r="E6784" s="332"/>
    </row>
    <row r="6785" spans="5:5" x14ac:dyDescent="0.2">
      <c r="E6785" s="332"/>
    </row>
    <row r="6786" spans="5:5" x14ac:dyDescent="0.2">
      <c r="E6786" s="332"/>
    </row>
    <row r="6787" spans="5:5" x14ac:dyDescent="0.2">
      <c r="E6787" s="332"/>
    </row>
    <row r="6788" spans="5:5" x14ac:dyDescent="0.2">
      <c r="E6788" s="332"/>
    </row>
    <row r="6789" spans="5:5" x14ac:dyDescent="0.2">
      <c r="E6789" s="332"/>
    </row>
    <row r="6790" spans="5:5" x14ac:dyDescent="0.2">
      <c r="E6790" s="332"/>
    </row>
    <row r="6791" spans="5:5" x14ac:dyDescent="0.2">
      <c r="E6791" s="332"/>
    </row>
    <row r="6792" spans="5:5" x14ac:dyDescent="0.2">
      <c r="E6792" s="332"/>
    </row>
    <row r="6793" spans="5:5" x14ac:dyDescent="0.2">
      <c r="E6793" s="332"/>
    </row>
    <row r="6794" spans="5:5" x14ac:dyDescent="0.2">
      <c r="E6794" s="332"/>
    </row>
    <row r="6795" spans="5:5" x14ac:dyDescent="0.2">
      <c r="E6795" s="332"/>
    </row>
    <row r="6796" spans="5:5" x14ac:dyDescent="0.2">
      <c r="E6796" s="332"/>
    </row>
    <row r="6797" spans="5:5" x14ac:dyDescent="0.2">
      <c r="E6797" s="332"/>
    </row>
    <row r="6798" spans="5:5" x14ac:dyDescent="0.2">
      <c r="E6798" s="332"/>
    </row>
    <row r="6799" spans="5:5" x14ac:dyDescent="0.2">
      <c r="E6799" s="332"/>
    </row>
    <row r="6800" spans="5:5" x14ac:dyDescent="0.2">
      <c r="E6800" s="332"/>
    </row>
    <row r="6801" spans="5:5" x14ac:dyDescent="0.2">
      <c r="E6801" s="332"/>
    </row>
    <row r="6802" spans="5:5" x14ac:dyDescent="0.2">
      <c r="E6802" s="332"/>
    </row>
    <row r="6803" spans="5:5" x14ac:dyDescent="0.2">
      <c r="E6803" s="332"/>
    </row>
    <row r="6804" spans="5:5" x14ac:dyDescent="0.2">
      <c r="E6804" s="332"/>
    </row>
    <row r="6805" spans="5:5" x14ac:dyDescent="0.2">
      <c r="E6805" s="332"/>
    </row>
    <row r="6806" spans="5:5" x14ac:dyDescent="0.2">
      <c r="E6806" s="332"/>
    </row>
    <row r="6807" spans="5:5" x14ac:dyDescent="0.2">
      <c r="E6807" s="332"/>
    </row>
    <row r="6808" spans="5:5" x14ac:dyDescent="0.2">
      <c r="E6808" s="332"/>
    </row>
    <row r="6809" spans="5:5" x14ac:dyDescent="0.2">
      <c r="E6809" s="332"/>
    </row>
    <row r="6810" spans="5:5" x14ac:dyDescent="0.2">
      <c r="E6810" s="332"/>
    </row>
    <row r="6811" spans="5:5" x14ac:dyDescent="0.2">
      <c r="E6811" s="332"/>
    </row>
    <row r="6812" spans="5:5" x14ac:dyDescent="0.2">
      <c r="E6812" s="332"/>
    </row>
    <row r="6813" spans="5:5" x14ac:dyDescent="0.2">
      <c r="E6813" s="332"/>
    </row>
    <row r="6814" spans="5:5" x14ac:dyDescent="0.2">
      <c r="E6814" s="332"/>
    </row>
    <row r="6815" spans="5:5" x14ac:dyDescent="0.2">
      <c r="E6815" s="332"/>
    </row>
    <row r="6816" spans="5:5" x14ac:dyDescent="0.2">
      <c r="E6816" s="332"/>
    </row>
    <row r="6817" spans="5:5" x14ac:dyDescent="0.2">
      <c r="E6817" s="332"/>
    </row>
    <row r="6818" spans="5:5" x14ac:dyDescent="0.2">
      <c r="E6818" s="332"/>
    </row>
    <row r="6819" spans="5:5" x14ac:dyDescent="0.2">
      <c r="E6819" s="332"/>
    </row>
    <row r="6820" spans="5:5" x14ac:dyDescent="0.2">
      <c r="E6820" s="332"/>
    </row>
    <row r="6821" spans="5:5" x14ac:dyDescent="0.2">
      <c r="E6821" s="332"/>
    </row>
    <row r="6822" spans="5:5" x14ac:dyDescent="0.2">
      <c r="E6822" s="332"/>
    </row>
    <row r="6823" spans="5:5" x14ac:dyDescent="0.2">
      <c r="E6823" s="332"/>
    </row>
    <row r="6824" spans="5:5" x14ac:dyDescent="0.2">
      <c r="E6824" s="332"/>
    </row>
    <row r="6825" spans="5:5" x14ac:dyDescent="0.2">
      <c r="E6825" s="332"/>
    </row>
    <row r="6826" spans="5:5" x14ac:dyDescent="0.2">
      <c r="E6826" s="332"/>
    </row>
    <row r="6827" spans="5:5" x14ac:dyDescent="0.2">
      <c r="E6827" s="332"/>
    </row>
    <row r="6828" spans="5:5" x14ac:dyDescent="0.2">
      <c r="E6828" s="332"/>
    </row>
    <row r="6829" spans="5:5" x14ac:dyDescent="0.2">
      <c r="E6829" s="332"/>
    </row>
    <row r="6830" spans="5:5" x14ac:dyDescent="0.2">
      <c r="E6830" s="332"/>
    </row>
    <row r="6831" spans="5:5" x14ac:dyDescent="0.2">
      <c r="E6831" s="332"/>
    </row>
    <row r="6832" spans="5:5" x14ac:dyDescent="0.2">
      <c r="E6832" s="332"/>
    </row>
    <row r="6833" spans="5:5" x14ac:dyDescent="0.2">
      <c r="E6833" s="332"/>
    </row>
    <row r="6834" spans="5:5" x14ac:dyDescent="0.2">
      <c r="E6834" s="332"/>
    </row>
    <row r="6835" spans="5:5" x14ac:dyDescent="0.2">
      <c r="E6835" s="332"/>
    </row>
    <row r="6836" spans="5:5" x14ac:dyDescent="0.2">
      <c r="E6836" s="332"/>
    </row>
    <row r="6837" spans="5:5" x14ac:dyDescent="0.2">
      <c r="E6837" s="332"/>
    </row>
    <row r="6838" spans="5:5" x14ac:dyDescent="0.2">
      <c r="E6838" s="332"/>
    </row>
    <row r="6839" spans="5:5" x14ac:dyDescent="0.2">
      <c r="E6839" s="332"/>
    </row>
    <row r="6840" spans="5:5" x14ac:dyDescent="0.2">
      <c r="E6840" s="332"/>
    </row>
    <row r="6841" spans="5:5" x14ac:dyDescent="0.2">
      <c r="E6841" s="332"/>
    </row>
    <row r="6842" spans="5:5" x14ac:dyDescent="0.2">
      <c r="E6842" s="332"/>
    </row>
    <row r="6843" spans="5:5" x14ac:dyDescent="0.2">
      <c r="E6843" s="332"/>
    </row>
    <row r="6844" spans="5:5" x14ac:dyDescent="0.2">
      <c r="E6844" s="332"/>
    </row>
    <row r="6845" spans="5:5" x14ac:dyDescent="0.2">
      <c r="E6845" s="332"/>
    </row>
    <row r="6846" spans="5:5" x14ac:dyDescent="0.2">
      <c r="E6846" s="332"/>
    </row>
    <row r="6847" spans="5:5" x14ac:dyDescent="0.2">
      <c r="E6847" s="332"/>
    </row>
    <row r="6848" spans="5:5" x14ac:dyDescent="0.2">
      <c r="E6848" s="332"/>
    </row>
    <row r="6849" spans="5:5" x14ac:dyDescent="0.2">
      <c r="E6849" s="332"/>
    </row>
    <row r="6850" spans="5:5" x14ac:dyDescent="0.2">
      <c r="E6850" s="332"/>
    </row>
    <row r="6851" spans="5:5" x14ac:dyDescent="0.2">
      <c r="E6851" s="332"/>
    </row>
    <row r="6852" spans="5:5" x14ac:dyDescent="0.2">
      <c r="E6852" s="332"/>
    </row>
    <row r="6853" spans="5:5" x14ac:dyDescent="0.2">
      <c r="E6853" s="332"/>
    </row>
    <row r="6854" spans="5:5" x14ac:dyDescent="0.2">
      <c r="E6854" s="332"/>
    </row>
    <row r="6855" spans="5:5" x14ac:dyDescent="0.2">
      <c r="E6855" s="332"/>
    </row>
    <row r="6856" spans="5:5" x14ac:dyDescent="0.2">
      <c r="E6856" s="332"/>
    </row>
    <row r="6857" spans="5:5" x14ac:dyDescent="0.2">
      <c r="E6857" s="332"/>
    </row>
    <row r="6858" spans="5:5" x14ac:dyDescent="0.2">
      <c r="E6858" s="332"/>
    </row>
    <row r="6859" spans="5:5" x14ac:dyDescent="0.2">
      <c r="E6859" s="332"/>
    </row>
    <row r="6860" spans="5:5" x14ac:dyDescent="0.2">
      <c r="E6860" s="332"/>
    </row>
    <row r="6861" spans="5:5" x14ac:dyDescent="0.2">
      <c r="E6861" s="332"/>
    </row>
    <row r="6862" spans="5:5" x14ac:dyDescent="0.2">
      <c r="E6862" s="332"/>
    </row>
    <row r="6863" spans="5:5" x14ac:dyDescent="0.2">
      <c r="E6863" s="332"/>
    </row>
    <row r="6864" spans="5:5" x14ac:dyDescent="0.2">
      <c r="E6864" s="332"/>
    </row>
    <row r="6865" spans="5:5" x14ac:dyDescent="0.2">
      <c r="E6865" s="332"/>
    </row>
    <row r="6866" spans="5:5" x14ac:dyDescent="0.2">
      <c r="E6866" s="332"/>
    </row>
    <row r="6867" spans="5:5" x14ac:dyDescent="0.2">
      <c r="E6867" s="332"/>
    </row>
    <row r="6868" spans="5:5" x14ac:dyDescent="0.2">
      <c r="E6868" s="332"/>
    </row>
    <row r="6869" spans="5:5" x14ac:dyDescent="0.2">
      <c r="E6869" s="332"/>
    </row>
    <row r="6870" spans="5:5" x14ac:dyDescent="0.2">
      <c r="E6870" s="332"/>
    </row>
    <row r="6871" spans="5:5" x14ac:dyDescent="0.2">
      <c r="E6871" s="332"/>
    </row>
    <row r="6872" spans="5:5" x14ac:dyDescent="0.2">
      <c r="E6872" s="332"/>
    </row>
    <row r="6873" spans="5:5" x14ac:dyDescent="0.2">
      <c r="E6873" s="332"/>
    </row>
    <row r="6874" spans="5:5" x14ac:dyDescent="0.2">
      <c r="E6874" s="332"/>
    </row>
    <row r="6875" spans="5:5" x14ac:dyDescent="0.2">
      <c r="E6875" s="332"/>
    </row>
    <row r="6876" spans="5:5" x14ac:dyDescent="0.2">
      <c r="E6876" s="332"/>
    </row>
    <row r="6877" spans="5:5" x14ac:dyDescent="0.2">
      <c r="E6877" s="332"/>
    </row>
    <row r="6878" spans="5:5" x14ac:dyDescent="0.2">
      <c r="E6878" s="332"/>
    </row>
    <row r="6879" spans="5:5" x14ac:dyDescent="0.2">
      <c r="E6879" s="332"/>
    </row>
    <row r="6880" spans="5:5" x14ac:dyDescent="0.2">
      <c r="E6880" s="332"/>
    </row>
    <row r="6881" spans="5:5" x14ac:dyDescent="0.2">
      <c r="E6881" s="332"/>
    </row>
    <row r="6882" spans="5:5" x14ac:dyDescent="0.2">
      <c r="E6882" s="332"/>
    </row>
    <row r="6883" spans="5:5" x14ac:dyDescent="0.2">
      <c r="E6883" s="332"/>
    </row>
    <row r="6884" spans="5:5" x14ac:dyDescent="0.2">
      <c r="E6884" s="332"/>
    </row>
    <row r="6885" spans="5:5" x14ac:dyDescent="0.2">
      <c r="E6885" s="332"/>
    </row>
    <row r="6886" spans="5:5" x14ac:dyDescent="0.2">
      <c r="E6886" s="332"/>
    </row>
    <row r="6887" spans="5:5" x14ac:dyDescent="0.2">
      <c r="E6887" s="332"/>
    </row>
    <row r="6888" spans="5:5" x14ac:dyDescent="0.2">
      <c r="E6888" s="332"/>
    </row>
    <row r="6889" spans="5:5" x14ac:dyDescent="0.2">
      <c r="E6889" s="332"/>
    </row>
    <row r="6890" spans="5:5" x14ac:dyDescent="0.2">
      <c r="E6890" s="332"/>
    </row>
    <row r="6891" spans="5:5" x14ac:dyDescent="0.2">
      <c r="E6891" s="332"/>
    </row>
    <row r="6892" spans="5:5" x14ac:dyDescent="0.2">
      <c r="E6892" s="332"/>
    </row>
    <row r="6893" spans="5:5" x14ac:dyDescent="0.2">
      <c r="E6893" s="332"/>
    </row>
    <row r="6894" spans="5:5" x14ac:dyDescent="0.2">
      <c r="E6894" s="332"/>
    </row>
    <row r="6895" spans="5:5" x14ac:dyDescent="0.2">
      <c r="E6895" s="332"/>
    </row>
    <row r="6896" spans="5:5" x14ac:dyDescent="0.2">
      <c r="E6896" s="332"/>
    </row>
    <row r="6897" spans="5:5" x14ac:dyDescent="0.2">
      <c r="E6897" s="332"/>
    </row>
    <row r="6898" spans="5:5" x14ac:dyDescent="0.2">
      <c r="E6898" s="332"/>
    </row>
    <row r="6899" spans="5:5" x14ac:dyDescent="0.2">
      <c r="E6899" s="332"/>
    </row>
    <row r="6900" spans="5:5" x14ac:dyDescent="0.2">
      <c r="E6900" s="332"/>
    </row>
    <row r="6901" spans="5:5" x14ac:dyDescent="0.2">
      <c r="E6901" s="332"/>
    </row>
    <row r="6902" spans="5:5" x14ac:dyDescent="0.2">
      <c r="E6902" s="332"/>
    </row>
    <row r="6903" spans="5:5" x14ac:dyDescent="0.2">
      <c r="E6903" s="332"/>
    </row>
    <row r="6904" spans="5:5" x14ac:dyDescent="0.2">
      <c r="E6904" s="332"/>
    </row>
    <row r="6905" spans="5:5" x14ac:dyDescent="0.2">
      <c r="E6905" s="332"/>
    </row>
    <row r="6906" spans="5:5" x14ac:dyDescent="0.2">
      <c r="E6906" s="332"/>
    </row>
    <row r="6907" spans="5:5" x14ac:dyDescent="0.2">
      <c r="E6907" s="332"/>
    </row>
    <row r="6908" spans="5:5" x14ac:dyDescent="0.2">
      <c r="E6908" s="332"/>
    </row>
    <row r="6909" spans="5:5" x14ac:dyDescent="0.2">
      <c r="E6909" s="332"/>
    </row>
    <row r="6910" spans="5:5" x14ac:dyDescent="0.2">
      <c r="E6910" s="332"/>
    </row>
    <row r="6911" spans="5:5" x14ac:dyDescent="0.2">
      <c r="E6911" s="332"/>
    </row>
    <row r="6912" spans="5:5" x14ac:dyDescent="0.2">
      <c r="E6912" s="332"/>
    </row>
    <row r="6913" spans="5:5" x14ac:dyDescent="0.2">
      <c r="E6913" s="332"/>
    </row>
    <row r="6914" spans="5:5" x14ac:dyDescent="0.2">
      <c r="E6914" s="332"/>
    </row>
    <row r="6915" spans="5:5" x14ac:dyDescent="0.2">
      <c r="E6915" s="332"/>
    </row>
    <row r="6916" spans="5:5" x14ac:dyDescent="0.2">
      <c r="E6916" s="332"/>
    </row>
    <row r="6917" spans="5:5" x14ac:dyDescent="0.2">
      <c r="E6917" s="332"/>
    </row>
    <row r="6918" spans="5:5" x14ac:dyDescent="0.2">
      <c r="E6918" s="332"/>
    </row>
    <row r="6919" spans="5:5" x14ac:dyDescent="0.2">
      <c r="E6919" s="332"/>
    </row>
    <row r="6920" spans="5:5" x14ac:dyDescent="0.2">
      <c r="E6920" s="332"/>
    </row>
    <row r="6921" spans="5:5" x14ac:dyDescent="0.2">
      <c r="E6921" s="332"/>
    </row>
    <row r="6922" spans="5:5" x14ac:dyDescent="0.2">
      <c r="E6922" s="332"/>
    </row>
    <row r="6923" spans="5:5" x14ac:dyDescent="0.2">
      <c r="E6923" s="332"/>
    </row>
    <row r="6924" spans="5:5" x14ac:dyDescent="0.2">
      <c r="E6924" s="332"/>
    </row>
    <row r="6925" spans="5:5" x14ac:dyDescent="0.2">
      <c r="E6925" s="332"/>
    </row>
    <row r="6926" spans="5:5" x14ac:dyDescent="0.2">
      <c r="E6926" s="332"/>
    </row>
    <row r="6927" spans="5:5" x14ac:dyDescent="0.2">
      <c r="E6927" s="332"/>
    </row>
    <row r="6928" spans="5:5" x14ac:dyDescent="0.2">
      <c r="E6928" s="332"/>
    </row>
    <row r="6929" spans="5:5" x14ac:dyDescent="0.2">
      <c r="E6929" s="332"/>
    </row>
    <row r="6930" spans="5:5" x14ac:dyDescent="0.2">
      <c r="E6930" s="332"/>
    </row>
    <row r="6931" spans="5:5" x14ac:dyDescent="0.2">
      <c r="E6931" s="332"/>
    </row>
    <row r="6932" spans="5:5" x14ac:dyDescent="0.2">
      <c r="E6932" s="332"/>
    </row>
    <row r="6933" spans="5:5" x14ac:dyDescent="0.2">
      <c r="E6933" s="332"/>
    </row>
    <row r="6934" spans="5:5" x14ac:dyDescent="0.2">
      <c r="E6934" s="332"/>
    </row>
    <row r="6935" spans="5:5" x14ac:dyDescent="0.2">
      <c r="E6935" s="332"/>
    </row>
    <row r="6936" spans="5:5" x14ac:dyDescent="0.2">
      <c r="E6936" s="332"/>
    </row>
    <row r="6937" spans="5:5" x14ac:dyDescent="0.2">
      <c r="E6937" s="332"/>
    </row>
    <row r="6938" spans="5:5" x14ac:dyDescent="0.2">
      <c r="E6938" s="332"/>
    </row>
    <row r="6939" spans="5:5" x14ac:dyDescent="0.2">
      <c r="E6939" s="332"/>
    </row>
    <row r="6940" spans="5:5" x14ac:dyDescent="0.2">
      <c r="E6940" s="332"/>
    </row>
    <row r="6941" spans="5:5" x14ac:dyDescent="0.2">
      <c r="E6941" s="332"/>
    </row>
    <row r="6942" spans="5:5" x14ac:dyDescent="0.2">
      <c r="E6942" s="332"/>
    </row>
    <row r="6943" spans="5:5" x14ac:dyDescent="0.2">
      <c r="E6943" s="332"/>
    </row>
    <row r="6944" spans="5:5" x14ac:dyDescent="0.2">
      <c r="E6944" s="332"/>
    </row>
    <row r="6945" spans="5:5" x14ac:dyDescent="0.2">
      <c r="E6945" s="332"/>
    </row>
    <row r="6946" spans="5:5" x14ac:dyDescent="0.2">
      <c r="E6946" s="332"/>
    </row>
    <row r="6947" spans="5:5" x14ac:dyDescent="0.2">
      <c r="E6947" s="332"/>
    </row>
    <row r="6948" spans="5:5" x14ac:dyDescent="0.2">
      <c r="E6948" s="332"/>
    </row>
    <row r="6949" spans="5:5" x14ac:dyDescent="0.2">
      <c r="E6949" s="332"/>
    </row>
    <row r="6950" spans="5:5" x14ac:dyDescent="0.2">
      <c r="E6950" s="332"/>
    </row>
    <row r="6951" spans="5:5" x14ac:dyDescent="0.2">
      <c r="E6951" s="332"/>
    </row>
    <row r="6952" spans="5:5" x14ac:dyDescent="0.2">
      <c r="E6952" s="332"/>
    </row>
    <row r="6953" spans="5:5" x14ac:dyDescent="0.2">
      <c r="E6953" s="332"/>
    </row>
    <row r="6954" spans="5:5" x14ac:dyDescent="0.2">
      <c r="E6954" s="332"/>
    </row>
    <row r="6955" spans="5:5" x14ac:dyDescent="0.2">
      <c r="E6955" s="332"/>
    </row>
    <row r="6956" spans="5:5" x14ac:dyDescent="0.2">
      <c r="E6956" s="332"/>
    </row>
    <row r="6957" spans="5:5" x14ac:dyDescent="0.2">
      <c r="E6957" s="332"/>
    </row>
    <row r="6958" spans="5:5" x14ac:dyDescent="0.2">
      <c r="E6958" s="332"/>
    </row>
    <row r="6959" spans="5:5" x14ac:dyDescent="0.2">
      <c r="E6959" s="332"/>
    </row>
    <row r="6960" spans="5:5" x14ac:dyDescent="0.2">
      <c r="E6960" s="332"/>
    </row>
    <row r="6961" spans="5:5" x14ac:dyDescent="0.2">
      <c r="E6961" s="332"/>
    </row>
    <row r="6962" spans="5:5" x14ac:dyDescent="0.2">
      <c r="E6962" s="332"/>
    </row>
    <row r="6963" spans="5:5" x14ac:dyDescent="0.2">
      <c r="E6963" s="332"/>
    </row>
    <row r="6964" spans="5:5" x14ac:dyDescent="0.2">
      <c r="E6964" s="332"/>
    </row>
    <row r="6965" spans="5:5" x14ac:dyDescent="0.2">
      <c r="E6965" s="332"/>
    </row>
    <row r="6966" spans="5:5" x14ac:dyDescent="0.2">
      <c r="E6966" s="332"/>
    </row>
    <row r="6967" spans="5:5" x14ac:dyDescent="0.2">
      <c r="E6967" s="332"/>
    </row>
    <row r="6968" spans="5:5" x14ac:dyDescent="0.2">
      <c r="E6968" s="332"/>
    </row>
    <row r="6969" spans="5:5" x14ac:dyDescent="0.2">
      <c r="E6969" s="332"/>
    </row>
    <row r="6970" spans="5:5" x14ac:dyDescent="0.2">
      <c r="E6970" s="332"/>
    </row>
    <row r="6971" spans="5:5" x14ac:dyDescent="0.2">
      <c r="E6971" s="332"/>
    </row>
    <row r="6972" spans="5:5" x14ac:dyDescent="0.2">
      <c r="E6972" s="332"/>
    </row>
    <row r="6973" spans="5:5" x14ac:dyDescent="0.2">
      <c r="E6973" s="332"/>
    </row>
    <row r="6974" spans="5:5" x14ac:dyDescent="0.2">
      <c r="E6974" s="332"/>
    </row>
    <row r="6975" spans="5:5" x14ac:dyDescent="0.2">
      <c r="E6975" s="332"/>
    </row>
    <row r="6976" spans="5:5" x14ac:dyDescent="0.2">
      <c r="E6976" s="332"/>
    </row>
    <row r="6977" spans="5:5" x14ac:dyDescent="0.2">
      <c r="E6977" s="332"/>
    </row>
    <row r="6978" spans="5:5" x14ac:dyDescent="0.2">
      <c r="E6978" s="332"/>
    </row>
    <row r="6979" spans="5:5" x14ac:dyDescent="0.2">
      <c r="E6979" s="332"/>
    </row>
    <row r="6980" spans="5:5" x14ac:dyDescent="0.2">
      <c r="E6980" s="332"/>
    </row>
    <row r="6981" spans="5:5" x14ac:dyDescent="0.2">
      <c r="E6981" s="332"/>
    </row>
    <row r="6982" spans="5:5" x14ac:dyDescent="0.2">
      <c r="E6982" s="332"/>
    </row>
    <row r="6983" spans="5:5" x14ac:dyDescent="0.2">
      <c r="E6983" s="332"/>
    </row>
    <row r="6984" spans="5:5" x14ac:dyDescent="0.2">
      <c r="E6984" s="332"/>
    </row>
    <row r="6985" spans="5:5" x14ac:dyDescent="0.2">
      <c r="E6985" s="332"/>
    </row>
    <row r="6986" spans="5:5" x14ac:dyDescent="0.2">
      <c r="E6986" s="332"/>
    </row>
    <row r="6987" spans="5:5" x14ac:dyDescent="0.2">
      <c r="E6987" s="332"/>
    </row>
    <row r="6988" spans="5:5" x14ac:dyDescent="0.2">
      <c r="E6988" s="332"/>
    </row>
    <row r="6989" spans="5:5" x14ac:dyDescent="0.2">
      <c r="E6989" s="332"/>
    </row>
    <row r="6990" spans="5:5" x14ac:dyDescent="0.2">
      <c r="E6990" s="332"/>
    </row>
    <row r="6991" spans="5:5" x14ac:dyDescent="0.2">
      <c r="E6991" s="332"/>
    </row>
    <row r="6992" spans="5:5" x14ac:dyDescent="0.2">
      <c r="E6992" s="332"/>
    </row>
    <row r="6993" spans="5:5" x14ac:dyDescent="0.2">
      <c r="E6993" s="332"/>
    </row>
    <row r="6994" spans="5:5" x14ac:dyDescent="0.2">
      <c r="E6994" s="332"/>
    </row>
    <row r="6995" spans="5:5" x14ac:dyDescent="0.2">
      <c r="E6995" s="332"/>
    </row>
    <row r="6996" spans="5:5" x14ac:dyDescent="0.2">
      <c r="E6996" s="332"/>
    </row>
    <row r="6997" spans="5:5" x14ac:dyDescent="0.2">
      <c r="E6997" s="332"/>
    </row>
    <row r="6998" spans="5:5" x14ac:dyDescent="0.2">
      <c r="E6998" s="332"/>
    </row>
    <row r="6999" spans="5:5" x14ac:dyDescent="0.2">
      <c r="E6999" s="332"/>
    </row>
    <row r="7000" spans="5:5" x14ac:dyDescent="0.2">
      <c r="E7000" s="332"/>
    </row>
    <row r="7001" spans="5:5" x14ac:dyDescent="0.2">
      <c r="E7001" s="332"/>
    </row>
    <row r="7002" spans="5:5" x14ac:dyDescent="0.2">
      <c r="E7002" s="332"/>
    </row>
    <row r="7003" spans="5:5" x14ac:dyDescent="0.2">
      <c r="E7003" s="332"/>
    </row>
    <row r="7004" spans="5:5" x14ac:dyDescent="0.2">
      <c r="E7004" s="332"/>
    </row>
    <row r="7005" spans="5:5" x14ac:dyDescent="0.2">
      <c r="E7005" s="332"/>
    </row>
    <row r="7006" spans="5:5" x14ac:dyDescent="0.2">
      <c r="E7006" s="332"/>
    </row>
    <row r="7007" spans="5:5" x14ac:dyDescent="0.2">
      <c r="E7007" s="332"/>
    </row>
    <row r="7008" spans="5:5" x14ac:dyDescent="0.2">
      <c r="E7008" s="332"/>
    </row>
    <row r="7009" spans="5:5" x14ac:dyDescent="0.2">
      <c r="E7009" s="332"/>
    </row>
    <row r="7010" spans="5:5" x14ac:dyDescent="0.2">
      <c r="E7010" s="332"/>
    </row>
    <row r="7011" spans="5:5" x14ac:dyDescent="0.2">
      <c r="E7011" s="332"/>
    </row>
    <row r="7012" spans="5:5" x14ac:dyDescent="0.2">
      <c r="E7012" s="332"/>
    </row>
    <row r="7013" spans="5:5" x14ac:dyDescent="0.2">
      <c r="E7013" s="332"/>
    </row>
    <row r="7014" spans="5:5" x14ac:dyDescent="0.2">
      <c r="E7014" s="332"/>
    </row>
    <row r="7015" spans="5:5" x14ac:dyDescent="0.2">
      <c r="E7015" s="332"/>
    </row>
    <row r="7016" spans="5:5" x14ac:dyDescent="0.2">
      <c r="E7016" s="332"/>
    </row>
    <row r="7017" spans="5:5" x14ac:dyDescent="0.2">
      <c r="E7017" s="332"/>
    </row>
    <row r="7018" spans="5:5" x14ac:dyDescent="0.2">
      <c r="E7018" s="332"/>
    </row>
    <row r="7019" spans="5:5" x14ac:dyDescent="0.2">
      <c r="E7019" s="332"/>
    </row>
    <row r="7020" spans="5:5" x14ac:dyDescent="0.2">
      <c r="E7020" s="332"/>
    </row>
    <row r="7021" spans="5:5" x14ac:dyDescent="0.2">
      <c r="E7021" s="332"/>
    </row>
    <row r="7022" spans="5:5" x14ac:dyDescent="0.2">
      <c r="E7022" s="332"/>
    </row>
    <row r="7023" spans="5:5" x14ac:dyDescent="0.2">
      <c r="E7023" s="332"/>
    </row>
    <row r="7024" spans="5:5" x14ac:dyDescent="0.2">
      <c r="E7024" s="332"/>
    </row>
    <row r="7025" spans="5:5" x14ac:dyDescent="0.2">
      <c r="E7025" s="332"/>
    </row>
    <row r="7026" spans="5:5" x14ac:dyDescent="0.2">
      <c r="E7026" s="332"/>
    </row>
    <row r="7027" spans="5:5" x14ac:dyDescent="0.2">
      <c r="E7027" s="332"/>
    </row>
    <row r="7028" spans="5:5" x14ac:dyDescent="0.2">
      <c r="E7028" s="332"/>
    </row>
    <row r="7029" spans="5:5" x14ac:dyDescent="0.2">
      <c r="E7029" s="332"/>
    </row>
    <row r="7030" spans="5:5" x14ac:dyDescent="0.2">
      <c r="E7030" s="332"/>
    </row>
    <row r="7031" spans="5:5" x14ac:dyDescent="0.2">
      <c r="E7031" s="332"/>
    </row>
    <row r="7032" spans="5:5" x14ac:dyDescent="0.2">
      <c r="E7032" s="332"/>
    </row>
    <row r="7033" spans="5:5" x14ac:dyDescent="0.2">
      <c r="E7033" s="332"/>
    </row>
    <row r="7034" spans="5:5" x14ac:dyDescent="0.2">
      <c r="E7034" s="332"/>
    </row>
    <row r="7035" spans="5:5" x14ac:dyDescent="0.2">
      <c r="E7035" s="332"/>
    </row>
    <row r="7036" spans="5:5" x14ac:dyDescent="0.2">
      <c r="E7036" s="332"/>
    </row>
    <row r="7037" spans="5:5" x14ac:dyDescent="0.2">
      <c r="E7037" s="332"/>
    </row>
    <row r="7038" spans="5:5" x14ac:dyDescent="0.2">
      <c r="E7038" s="332"/>
    </row>
    <row r="7039" spans="5:5" x14ac:dyDescent="0.2">
      <c r="E7039" s="332"/>
    </row>
    <row r="7040" spans="5:5" x14ac:dyDescent="0.2">
      <c r="E7040" s="332"/>
    </row>
    <row r="7041" spans="5:5" x14ac:dyDescent="0.2">
      <c r="E7041" s="332"/>
    </row>
    <row r="7042" spans="5:5" x14ac:dyDescent="0.2">
      <c r="E7042" s="332"/>
    </row>
    <row r="7043" spans="5:5" x14ac:dyDescent="0.2">
      <c r="E7043" s="332"/>
    </row>
    <row r="7044" spans="5:5" x14ac:dyDescent="0.2">
      <c r="E7044" s="332"/>
    </row>
    <row r="7045" spans="5:5" x14ac:dyDescent="0.2">
      <c r="E7045" s="332"/>
    </row>
    <row r="7046" spans="5:5" x14ac:dyDescent="0.2">
      <c r="E7046" s="332"/>
    </row>
    <row r="7047" spans="5:5" x14ac:dyDescent="0.2">
      <c r="E7047" s="332"/>
    </row>
    <row r="7048" spans="5:5" x14ac:dyDescent="0.2">
      <c r="E7048" s="332"/>
    </row>
    <row r="7049" spans="5:5" x14ac:dyDescent="0.2">
      <c r="E7049" s="332"/>
    </row>
    <row r="7050" spans="5:5" x14ac:dyDescent="0.2">
      <c r="E7050" s="332"/>
    </row>
    <row r="7051" spans="5:5" x14ac:dyDescent="0.2">
      <c r="E7051" s="332"/>
    </row>
    <row r="7052" spans="5:5" x14ac:dyDescent="0.2">
      <c r="E7052" s="332"/>
    </row>
    <row r="7053" spans="5:5" x14ac:dyDescent="0.2">
      <c r="E7053" s="332"/>
    </row>
    <row r="7054" spans="5:5" x14ac:dyDescent="0.2">
      <c r="E7054" s="332"/>
    </row>
    <row r="7055" spans="5:5" x14ac:dyDescent="0.2">
      <c r="E7055" s="332"/>
    </row>
    <row r="7056" spans="5:5" x14ac:dyDescent="0.2">
      <c r="E7056" s="332"/>
    </row>
    <row r="7057" spans="5:5" x14ac:dyDescent="0.2">
      <c r="E7057" s="332"/>
    </row>
    <row r="7058" spans="5:5" x14ac:dyDescent="0.2">
      <c r="E7058" s="332"/>
    </row>
    <row r="7059" spans="5:5" x14ac:dyDescent="0.2">
      <c r="E7059" s="332"/>
    </row>
    <row r="7060" spans="5:5" x14ac:dyDescent="0.2">
      <c r="E7060" s="332"/>
    </row>
    <row r="7061" spans="5:5" x14ac:dyDescent="0.2">
      <c r="E7061" s="332"/>
    </row>
    <row r="7062" spans="5:5" x14ac:dyDescent="0.2">
      <c r="E7062" s="332"/>
    </row>
    <row r="7063" spans="5:5" x14ac:dyDescent="0.2">
      <c r="E7063" s="332"/>
    </row>
    <row r="7064" spans="5:5" x14ac:dyDescent="0.2">
      <c r="E7064" s="332"/>
    </row>
    <row r="7065" spans="5:5" x14ac:dyDescent="0.2">
      <c r="E7065" s="332"/>
    </row>
    <row r="7066" spans="5:5" x14ac:dyDescent="0.2">
      <c r="E7066" s="332"/>
    </row>
    <row r="7067" spans="5:5" x14ac:dyDescent="0.2">
      <c r="E7067" s="332"/>
    </row>
    <row r="7068" spans="5:5" x14ac:dyDescent="0.2">
      <c r="E7068" s="332"/>
    </row>
    <row r="7069" spans="5:5" x14ac:dyDescent="0.2">
      <c r="E7069" s="332"/>
    </row>
    <row r="7070" spans="5:5" x14ac:dyDescent="0.2">
      <c r="E7070" s="332"/>
    </row>
    <row r="7071" spans="5:5" x14ac:dyDescent="0.2">
      <c r="E7071" s="332"/>
    </row>
    <row r="7072" spans="5:5" x14ac:dyDescent="0.2">
      <c r="E7072" s="332"/>
    </row>
    <row r="7073" spans="5:5" x14ac:dyDescent="0.2">
      <c r="E7073" s="332"/>
    </row>
    <row r="7074" spans="5:5" x14ac:dyDescent="0.2">
      <c r="E7074" s="332"/>
    </row>
    <row r="7075" spans="5:5" x14ac:dyDescent="0.2">
      <c r="E7075" s="332"/>
    </row>
    <row r="7076" spans="5:5" x14ac:dyDescent="0.2">
      <c r="E7076" s="332"/>
    </row>
    <row r="7077" spans="5:5" x14ac:dyDescent="0.2">
      <c r="E7077" s="332"/>
    </row>
    <row r="7078" spans="5:5" x14ac:dyDescent="0.2">
      <c r="E7078" s="332"/>
    </row>
    <row r="7079" spans="5:5" x14ac:dyDescent="0.2">
      <c r="E7079" s="332"/>
    </row>
    <row r="7080" spans="5:5" x14ac:dyDescent="0.2">
      <c r="E7080" s="332"/>
    </row>
    <row r="7081" spans="5:5" x14ac:dyDescent="0.2">
      <c r="E7081" s="332"/>
    </row>
    <row r="7082" spans="5:5" x14ac:dyDescent="0.2">
      <c r="E7082" s="332"/>
    </row>
    <row r="7083" spans="5:5" x14ac:dyDescent="0.2">
      <c r="E7083" s="332"/>
    </row>
    <row r="7084" spans="5:5" x14ac:dyDescent="0.2">
      <c r="E7084" s="332"/>
    </row>
    <row r="7085" spans="5:5" x14ac:dyDescent="0.2">
      <c r="E7085" s="332"/>
    </row>
    <row r="7086" spans="5:5" x14ac:dyDescent="0.2">
      <c r="E7086" s="332"/>
    </row>
    <row r="7087" spans="5:5" x14ac:dyDescent="0.2">
      <c r="E7087" s="332"/>
    </row>
    <row r="7088" spans="5:5" x14ac:dyDescent="0.2">
      <c r="E7088" s="332"/>
    </row>
    <row r="7089" spans="5:5" x14ac:dyDescent="0.2">
      <c r="E7089" s="332"/>
    </row>
    <row r="7090" spans="5:5" x14ac:dyDescent="0.2">
      <c r="E7090" s="332"/>
    </row>
    <row r="7091" spans="5:5" x14ac:dyDescent="0.2">
      <c r="E7091" s="332"/>
    </row>
    <row r="7092" spans="5:5" x14ac:dyDescent="0.2">
      <c r="E7092" s="332"/>
    </row>
    <row r="7093" spans="5:5" x14ac:dyDescent="0.2">
      <c r="E7093" s="332"/>
    </row>
    <row r="7094" spans="5:5" x14ac:dyDescent="0.2">
      <c r="E7094" s="332"/>
    </row>
    <row r="7095" spans="5:5" x14ac:dyDescent="0.2">
      <c r="E7095" s="332"/>
    </row>
    <row r="7096" spans="5:5" x14ac:dyDescent="0.2">
      <c r="E7096" s="332"/>
    </row>
    <row r="7097" spans="5:5" x14ac:dyDescent="0.2">
      <c r="E7097" s="332"/>
    </row>
    <row r="7098" spans="5:5" x14ac:dyDescent="0.2">
      <c r="E7098" s="332"/>
    </row>
    <row r="7099" spans="5:5" x14ac:dyDescent="0.2">
      <c r="E7099" s="332"/>
    </row>
    <row r="7100" spans="5:5" x14ac:dyDescent="0.2">
      <c r="E7100" s="332"/>
    </row>
    <row r="7101" spans="5:5" x14ac:dyDescent="0.2">
      <c r="E7101" s="332"/>
    </row>
    <row r="7102" spans="5:5" x14ac:dyDescent="0.2">
      <c r="E7102" s="332"/>
    </row>
    <row r="7103" spans="5:5" x14ac:dyDescent="0.2">
      <c r="E7103" s="332"/>
    </row>
    <row r="7104" spans="5:5" x14ac:dyDescent="0.2">
      <c r="E7104" s="332"/>
    </row>
    <row r="7105" spans="5:5" x14ac:dyDescent="0.2">
      <c r="E7105" s="332"/>
    </row>
    <row r="7106" spans="5:5" x14ac:dyDescent="0.2">
      <c r="E7106" s="332"/>
    </row>
    <row r="7107" spans="5:5" x14ac:dyDescent="0.2">
      <c r="E7107" s="332"/>
    </row>
    <row r="7108" spans="5:5" x14ac:dyDescent="0.2">
      <c r="E7108" s="332"/>
    </row>
    <row r="7109" spans="5:5" x14ac:dyDescent="0.2">
      <c r="E7109" s="332"/>
    </row>
    <row r="7110" spans="5:5" x14ac:dyDescent="0.2">
      <c r="E7110" s="332"/>
    </row>
    <row r="7111" spans="5:5" x14ac:dyDescent="0.2">
      <c r="E7111" s="332"/>
    </row>
    <row r="7112" spans="5:5" x14ac:dyDescent="0.2">
      <c r="E7112" s="332"/>
    </row>
    <row r="7113" spans="5:5" x14ac:dyDescent="0.2">
      <c r="E7113" s="332"/>
    </row>
    <row r="7114" spans="5:5" x14ac:dyDescent="0.2">
      <c r="E7114" s="332"/>
    </row>
    <row r="7115" spans="5:5" x14ac:dyDescent="0.2">
      <c r="E7115" s="332"/>
    </row>
    <row r="7116" spans="5:5" x14ac:dyDescent="0.2">
      <c r="E7116" s="332"/>
    </row>
    <row r="7117" spans="5:5" x14ac:dyDescent="0.2">
      <c r="E7117" s="332"/>
    </row>
    <row r="7118" spans="5:5" x14ac:dyDescent="0.2">
      <c r="E7118" s="332"/>
    </row>
    <row r="7119" spans="5:5" x14ac:dyDescent="0.2">
      <c r="E7119" s="332"/>
    </row>
    <row r="7120" spans="5:5" x14ac:dyDescent="0.2">
      <c r="E7120" s="332"/>
    </row>
    <row r="7121" spans="5:5" x14ac:dyDescent="0.2">
      <c r="E7121" s="332"/>
    </row>
    <row r="7122" spans="5:5" x14ac:dyDescent="0.2">
      <c r="E7122" s="332"/>
    </row>
    <row r="7123" spans="5:5" x14ac:dyDescent="0.2">
      <c r="E7123" s="332"/>
    </row>
    <row r="7124" spans="5:5" x14ac:dyDescent="0.2">
      <c r="E7124" s="332"/>
    </row>
    <row r="7125" spans="5:5" x14ac:dyDescent="0.2">
      <c r="E7125" s="332"/>
    </row>
    <row r="7126" spans="5:5" x14ac:dyDescent="0.2">
      <c r="E7126" s="332"/>
    </row>
    <row r="7127" spans="5:5" x14ac:dyDescent="0.2">
      <c r="E7127" s="332"/>
    </row>
    <row r="7128" spans="5:5" x14ac:dyDescent="0.2">
      <c r="E7128" s="332"/>
    </row>
    <row r="7129" spans="5:5" x14ac:dyDescent="0.2">
      <c r="E7129" s="332"/>
    </row>
    <row r="7130" spans="5:5" x14ac:dyDescent="0.2">
      <c r="E7130" s="332"/>
    </row>
    <row r="7131" spans="5:5" x14ac:dyDescent="0.2">
      <c r="E7131" s="332"/>
    </row>
    <row r="7132" spans="5:5" x14ac:dyDescent="0.2">
      <c r="E7132" s="332"/>
    </row>
    <row r="7133" spans="5:5" x14ac:dyDescent="0.2">
      <c r="E7133" s="332"/>
    </row>
    <row r="7134" spans="5:5" x14ac:dyDescent="0.2">
      <c r="E7134" s="332"/>
    </row>
    <row r="7135" spans="5:5" x14ac:dyDescent="0.2">
      <c r="E7135" s="332"/>
    </row>
    <row r="7136" spans="5:5" x14ac:dyDescent="0.2">
      <c r="E7136" s="332"/>
    </row>
    <row r="7137" spans="5:5" x14ac:dyDescent="0.2">
      <c r="E7137" s="332"/>
    </row>
    <row r="7138" spans="5:5" x14ac:dyDescent="0.2">
      <c r="E7138" s="332"/>
    </row>
    <row r="7139" spans="5:5" x14ac:dyDescent="0.2">
      <c r="E7139" s="332"/>
    </row>
    <row r="7140" spans="5:5" x14ac:dyDescent="0.2">
      <c r="E7140" s="332"/>
    </row>
    <row r="7141" spans="5:5" x14ac:dyDescent="0.2">
      <c r="E7141" s="332"/>
    </row>
    <row r="7142" spans="5:5" x14ac:dyDescent="0.2">
      <c r="E7142" s="332"/>
    </row>
    <row r="7143" spans="5:5" x14ac:dyDescent="0.2">
      <c r="E7143" s="332"/>
    </row>
    <row r="7144" spans="5:5" x14ac:dyDescent="0.2">
      <c r="E7144" s="332"/>
    </row>
    <row r="7145" spans="5:5" x14ac:dyDescent="0.2">
      <c r="E7145" s="332"/>
    </row>
    <row r="7146" spans="5:5" x14ac:dyDescent="0.2">
      <c r="E7146" s="332"/>
    </row>
    <row r="7147" spans="5:5" x14ac:dyDescent="0.2">
      <c r="E7147" s="332"/>
    </row>
    <row r="7148" spans="5:5" x14ac:dyDescent="0.2">
      <c r="E7148" s="332"/>
    </row>
    <row r="7149" spans="5:5" x14ac:dyDescent="0.2">
      <c r="E7149" s="332"/>
    </row>
    <row r="7150" spans="5:5" x14ac:dyDescent="0.2">
      <c r="E7150" s="332"/>
    </row>
    <row r="7151" spans="5:5" x14ac:dyDescent="0.2">
      <c r="E7151" s="332"/>
    </row>
    <row r="7152" spans="5:5" x14ac:dyDescent="0.2">
      <c r="E7152" s="332"/>
    </row>
    <row r="7153" spans="5:5" x14ac:dyDescent="0.2">
      <c r="E7153" s="332"/>
    </row>
    <row r="7154" spans="5:5" x14ac:dyDescent="0.2">
      <c r="E7154" s="332"/>
    </row>
    <row r="7155" spans="5:5" x14ac:dyDescent="0.2">
      <c r="E7155" s="332"/>
    </row>
    <row r="7156" spans="5:5" x14ac:dyDescent="0.2">
      <c r="E7156" s="332"/>
    </row>
    <row r="7157" spans="5:5" x14ac:dyDescent="0.2">
      <c r="E7157" s="332"/>
    </row>
    <row r="7158" spans="5:5" x14ac:dyDescent="0.2">
      <c r="E7158" s="332"/>
    </row>
    <row r="7159" spans="5:5" x14ac:dyDescent="0.2">
      <c r="E7159" s="332"/>
    </row>
    <row r="7160" spans="5:5" x14ac:dyDescent="0.2">
      <c r="E7160" s="332"/>
    </row>
    <row r="7161" spans="5:5" x14ac:dyDescent="0.2">
      <c r="E7161" s="332"/>
    </row>
    <row r="7162" spans="5:5" x14ac:dyDescent="0.2">
      <c r="E7162" s="332"/>
    </row>
    <row r="7163" spans="5:5" x14ac:dyDescent="0.2">
      <c r="E7163" s="332"/>
    </row>
    <row r="7164" spans="5:5" x14ac:dyDescent="0.2">
      <c r="E7164" s="332"/>
    </row>
    <row r="7165" spans="5:5" x14ac:dyDescent="0.2">
      <c r="E7165" s="332"/>
    </row>
    <row r="7166" spans="5:5" x14ac:dyDescent="0.2">
      <c r="E7166" s="332"/>
    </row>
    <row r="7167" spans="5:5" x14ac:dyDescent="0.2">
      <c r="E7167" s="332"/>
    </row>
    <row r="7168" spans="5:5" x14ac:dyDescent="0.2">
      <c r="E7168" s="332"/>
    </row>
    <row r="7169" spans="5:5" x14ac:dyDescent="0.2">
      <c r="E7169" s="332"/>
    </row>
    <row r="7170" spans="5:5" x14ac:dyDescent="0.2">
      <c r="E7170" s="332"/>
    </row>
    <row r="7171" spans="5:5" x14ac:dyDescent="0.2">
      <c r="E7171" s="332"/>
    </row>
    <row r="7172" spans="5:5" x14ac:dyDescent="0.2">
      <c r="E7172" s="332"/>
    </row>
    <row r="7173" spans="5:5" x14ac:dyDescent="0.2">
      <c r="E7173" s="332"/>
    </row>
    <row r="7174" spans="5:5" x14ac:dyDescent="0.2">
      <c r="E7174" s="332"/>
    </row>
    <row r="7175" spans="5:5" x14ac:dyDescent="0.2">
      <c r="E7175" s="332"/>
    </row>
    <row r="7176" spans="5:5" x14ac:dyDescent="0.2">
      <c r="E7176" s="332"/>
    </row>
    <row r="7177" spans="5:5" x14ac:dyDescent="0.2">
      <c r="E7177" s="332"/>
    </row>
    <row r="7178" spans="5:5" x14ac:dyDescent="0.2">
      <c r="E7178" s="332"/>
    </row>
    <row r="7179" spans="5:5" x14ac:dyDescent="0.2">
      <c r="E7179" s="332"/>
    </row>
    <row r="7180" spans="5:5" x14ac:dyDescent="0.2">
      <c r="E7180" s="332"/>
    </row>
    <row r="7181" spans="5:5" x14ac:dyDescent="0.2">
      <c r="E7181" s="332"/>
    </row>
    <row r="7182" spans="5:5" x14ac:dyDescent="0.2">
      <c r="E7182" s="332"/>
    </row>
    <row r="7183" spans="5:5" x14ac:dyDescent="0.2">
      <c r="E7183" s="332"/>
    </row>
    <row r="7184" spans="5:5" x14ac:dyDescent="0.2">
      <c r="E7184" s="332"/>
    </row>
    <row r="7185" spans="5:5" x14ac:dyDescent="0.2">
      <c r="E7185" s="332"/>
    </row>
    <row r="7186" spans="5:5" x14ac:dyDescent="0.2">
      <c r="E7186" s="332"/>
    </row>
    <row r="7187" spans="5:5" x14ac:dyDescent="0.2">
      <c r="E7187" s="332"/>
    </row>
    <row r="7188" spans="5:5" x14ac:dyDescent="0.2">
      <c r="E7188" s="332"/>
    </row>
    <row r="7189" spans="5:5" x14ac:dyDescent="0.2">
      <c r="E7189" s="332"/>
    </row>
    <row r="7190" spans="5:5" x14ac:dyDescent="0.2">
      <c r="E7190" s="332"/>
    </row>
    <row r="7191" spans="5:5" x14ac:dyDescent="0.2">
      <c r="E7191" s="332"/>
    </row>
    <row r="7192" spans="5:5" x14ac:dyDescent="0.2">
      <c r="E7192" s="332"/>
    </row>
    <row r="7193" spans="5:5" x14ac:dyDescent="0.2">
      <c r="E7193" s="332"/>
    </row>
    <row r="7194" spans="5:5" x14ac:dyDescent="0.2">
      <c r="E7194" s="332"/>
    </row>
    <row r="7195" spans="5:5" x14ac:dyDescent="0.2">
      <c r="E7195" s="332"/>
    </row>
    <row r="7196" spans="5:5" x14ac:dyDescent="0.2">
      <c r="E7196" s="332"/>
    </row>
    <row r="7197" spans="5:5" x14ac:dyDescent="0.2">
      <c r="E7197" s="332"/>
    </row>
    <row r="7198" spans="5:5" x14ac:dyDescent="0.2">
      <c r="E7198" s="332"/>
    </row>
    <row r="7199" spans="5:5" x14ac:dyDescent="0.2">
      <c r="E7199" s="332"/>
    </row>
    <row r="7200" spans="5:5" x14ac:dyDescent="0.2">
      <c r="E7200" s="332"/>
    </row>
    <row r="7201" spans="5:5" x14ac:dyDescent="0.2">
      <c r="E7201" s="332"/>
    </row>
    <row r="7202" spans="5:5" x14ac:dyDescent="0.2">
      <c r="E7202" s="332"/>
    </row>
    <row r="7203" spans="5:5" x14ac:dyDescent="0.2">
      <c r="E7203" s="332"/>
    </row>
    <row r="7204" spans="5:5" x14ac:dyDescent="0.2">
      <c r="E7204" s="332"/>
    </row>
    <row r="7205" spans="5:5" x14ac:dyDescent="0.2">
      <c r="E7205" s="332"/>
    </row>
    <row r="7206" spans="5:5" x14ac:dyDescent="0.2">
      <c r="E7206" s="332"/>
    </row>
    <row r="7207" spans="5:5" x14ac:dyDescent="0.2">
      <c r="E7207" s="332"/>
    </row>
    <row r="7208" spans="5:5" x14ac:dyDescent="0.2">
      <c r="E7208" s="332"/>
    </row>
    <row r="7209" spans="5:5" x14ac:dyDescent="0.2">
      <c r="E7209" s="332"/>
    </row>
    <row r="7210" spans="5:5" x14ac:dyDescent="0.2">
      <c r="E7210" s="332"/>
    </row>
    <row r="7211" spans="5:5" x14ac:dyDescent="0.2">
      <c r="E7211" s="332"/>
    </row>
    <row r="7212" spans="5:5" x14ac:dyDescent="0.2">
      <c r="E7212" s="332"/>
    </row>
    <row r="7213" spans="5:5" x14ac:dyDescent="0.2">
      <c r="E7213" s="332"/>
    </row>
    <row r="7214" spans="5:5" x14ac:dyDescent="0.2">
      <c r="E7214" s="332"/>
    </row>
    <row r="7215" spans="5:5" x14ac:dyDescent="0.2">
      <c r="E7215" s="332"/>
    </row>
    <row r="7216" spans="5:5" x14ac:dyDescent="0.2">
      <c r="E7216" s="332"/>
    </row>
    <row r="7217" spans="5:5" x14ac:dyDescent="0.2">
      <c r="E7217" s="332"/>
    </row>
    <row r="7218" spans="5:5" x14ac:dyDescent="0.2">
      <c r="E7218" s="332"/>
    </row>
    <row r="7219" spans="5:5" x14ac:dyDescent="0.2">
      <c r="E7219" s="332"/>
    </row>
    <row r="7220" spans="5:5" x14ac:dyDescent="0.2">
      <c r="E7220" s="332"/>
    </row>
    <row r="7221" spans="5:5" x14ac:dyDescent="0.2">
      <c r="E7221" s="332"/>
    </row>
    <row r="7222" spans="5:5" x14ac:dyDescent="0.2">
      <c r="E7222" s="332"/>
    </row>
    <row r="7223" spans="5:5" x14ac:dyDescent="0.2">
      <c r="E7223" s="332"/>
    </row>
    <row r="7224" spans="5:5" x14ac:dyDescent="0.2">
      <c r="E7224" s="332"/>
    </row>
    <row r="7225" spans="5:5" x14ac:dyDescent="0.2">
      <c r="E7225" s="332"/>
    </row>
    <row r="7226" spans="5:5" x14ac:dyDescent="0.2">
      <c r="E7226" s="332"/>
    </row>
    <row r="7227" spans="5:5" x14ac:dyDescent="0.2">
      <c r="E7227" s="332"/>
    </row>
    <row r="7228" spans="5:5" x14ac:dyDescent="0.2">
      <c r="E7228" s="332"/>
    </row>
    <row r="7229" spans="5:5" x14ac:dyDescent="0.2">
      <c r="E7229" s="332"/>
    </row>
    <row r="7230" spans="5:5" x14ac:dyDescent="0.2">
      <c r="E7230" s="332"/>
    </row>
    <row r="7231" spans="5:5" x14ac:dyDescent="0.2">
      <c r="E7231" s="332"/>
    </row>
    <row r="7232" spans="5:5" x14ac:dyDescent="0.2">
      <c r="E7232" s="332"/>
    </row>
    <row r="7233" spans="5:5" x14ac:dyDescent="0.2">
      <c r="E7233" s="332"/>
    </row>
    <row r="7234" spans="5:5" x14ac:dyDescent="0.2">
      <c r="E7234" s="332"/>
    </row>
    <row r="7235" spans="5:5" x14ac:dyDescent="0.2">
      <c r="E7235" s="332"/>
    </row>
    <row r="7236" spans="5:5" x14ac:dyDescent="0.2">
      <c r="E7236" s="332"/>
    </row>
    <row r="7237" spans="5:5" x14ac:dyDescent="0.2">
      <c r="E7237" s="332"/>
    </row>
    <row r="7238" spans="5:5" x14ac:dyDescent="0.2">
      <c r="E7238" s="332"/>
    </row>
    <row r="7239" spans="5:5" x14ac:dyDescent="0.2">
      <c r="E7239" s="332"/>
    </row>
    <row r="7240" spans="5:5" x14ac:dyDescent="0.2">
      <c r="E7240" s="332"/>
    </row>
    <row r="7241" spans="5:5" x14ac:dyDescent="0.2">
      <c r="E7241" s="332"/>
    </row>
    <row r="7242" spans="5:5" x14ac:dyDescent="0.2">
      <c r="E7242" s="332"/>
    </row>
    <row r="7243" spans="5:5" x14ac:dyDescent="0.2">
      <c r="E7243" s="332"/>
    </row>
    <row r="7244" spans="5:5" x14ac:dyDescent="0.2">
      <c r="E7244" s="332"/>
    </row>
    <row r="7245" spans="5:5" x14ac:dyDescent="0.2">
      <c r="E7245" s="332"/>
    </row>
    <row r="7246" spans="5:5" x14ac:dyDescent="0.2">
      <c r="E7246" s="332"/>
    </row>
    <row r="7247" spans="5:5" x14ac:dyDescent="0.2">
      <c r="E7247" s="332"/>
    </row>
    <row r="7248" spans="5:5" x14ac:dyDescent="0.2">
      <c r="E7248" s="332"/>
    </row>
    <row r="7249" spans="5:5" x14ac:dyDescent="0.2">
      <c r="E7249" s="332"/>
    </row>
    <row r="7250" spans="5:5" x14ac:dyDescent="0.2">
      <c r="E7250" s="332"/>
    </row>
    <row r="7251" spans="5:5" x14ac:dyDescent="0.2">
      <c r="E7251" s="332"/>
    </row>
    <row r="7252" spans="5:5" x14ac:dyDescent="0.2">
      <c r="E7252" s="332"/>
    </row>
    <row r="7253" spans="5:5" x14ac:dyDescent="0.2">
      <c r="E7253" s="332"/>
    </row>
    <row r="7254" spans="5:5" x14ac:dyDescent="0.2">
      <c r="E7254" s="332"/>
    </row>
    <row r="7255" spans="5:5" x14ac:dyDescent="0.2">
      <c r="E7255" s="332"/>
    </row>
    <row r="7256" spans="5:5" x14ac:dyDescent="0.2">
      <c r="E7256" s="332"/>
    </row>
    <row r="7257" spans="5:5" x14ac:dyDescent="0.2">
      <c r="E7257" s="332"/>
    </row>
    <row r="7258" spans="5:5" x14ac:dyDescent="0.2">
      <c r="E7258" s="332"/>
    </row>
    <row r="7259" spans="5:5" x14ac:dyDescent="0.2">
      <c r="E7259" s="332"/>
    </row>
    <row r="7260" spans="5:5" x14ac:dyDescent="0.2">
      <c r="E7260" s="332"/>
    </row>
    <row r="7261" spans="5:5" x14ac:dyDescent="0.2">
      <c r="E7261" s="332"/>
    </row>
    <row r="7262" spans="5:5" x14ac:dyDescent="0.2">
      <c r="E7262" s="332"/>
    </row>
    <row r="7263" spans="5:5" x14ac:dyDescent="0.2">
      <c r="E7263" s="332"/>
    </row>
    <row r="7264" spans="5:5" x14ac:dyDescent="0.2">
      <c r="E7264" s="332"/>
    </row>
    <row r="7265" spans="5:5" x14ac:dyDescent="0.2">
      <c r="E7265" s="332"/>
    </row>
    <row r="7266" spans="5:5" x14ac:dyDescent="0.2">
      <c r="E7266" s="332"/>
    </row>
    <row r="7267" spans="5:5" x14ac:dyDescent="0.2">
      <c r="E7267" s="332"/>
    </row>
    <row r="7268" spans="5:5" x14ac:dyDescent="0.2">
      <c r="E7268" s="332"/>
    </row>
    <row r="7269" spans="5:5" x14ac:dyDescent="0.2">
      <c r="E7269" s="332"/>
    </row>
    <row r="7270" spans="5:5" x14ac:dyDescent="0.2">
      <c r="E7270" s="332"/>
    </row>
    <row r="7271" spans="5:5" x14ac:dyDescent="0.2">
      <c r="E7271" s="332"/>
    </row>
    <row r="7272" spans="5:5" x14ac:dyDescent="0.2">
      <c r="E7272" s="332"/>
    </row>
    <row r="7273" spans="5:5" x14ac:dyDescent="0.2">
      <c r="E7273" s="332"/>
    </row>
    <row r="7274" spans="5:5" x14ac:dyDescent="0.2">
      <c r="E7274" s="332"/>
    </row>
    <row r="7275" spans="5:5" x14ac:dyDescent="0.2">
      <c r="E7275" s="332"/>
    </row>
    <row r="7276" spans="5:5" x14ac:dyDescent="0.2">
      <c r="E7276" s="332"/>
    </row>
    <row r="7277" spans="5:5" x14ac:dyDescent="0.2">
      <c r="E7277" s="332"/>
    </row>
    <row r="7278" spans="5:5" x14ac:dyDescent="0.2">
      <c r="E7278" s="332"/>
    </row>
    <row r="7279" spans="5:5" x14ac:dyDescent="0.2">
      <c r="E7279" s="332"/>
    </row>
    <row r="7280" spans="5:5" x14ac:dyDescent="0.2">
      <c r="E7280" s="332"/>
    </row>
    <row r="7281" spans="5:5" x14ac:dyDescent="0.2">
      <c r="E7281" s="332"/>
    </row>
    <row r="7282" spans="5:5" x14ac:dyDescent="0.2">
      <c r="E7282" s="332"/>
    </row>
    <row r="7283" spans="5:5" x14ac:dyDescent="0.2">
      <c r="E7283" s="332"/>
    </row>
    <row r="7284" spans="5:5" x14ac:dyDescent="0.2">
      <c r="E7284" s="332"/>
    </row>
    <row r="7285" spans="5:5" x14ac:dyDescent="0.2">
      <c r="E7285" s="332"/>
    </row>
    <row r="7286" spans="5:5" x14ac:dyDescent="0.2">
      <c r="E7286" s="332"/>
    </row>
    <row r="7287" spans="5:5" x14ac:dyDescent="0.2">
      <c r="E7287" s="332"/>
    </row>
    <row r="7288" spans="5:5" x14ac:dyDescent="0.2">
      <c r="E7288" s="332"/>
    </row>
    <row r="7289" spans="5:5" x14ac:dyDescent="0.2">
      <c r="E7289" s="332"/>
    </row>
    <row r="7290" spans="5:5" x14ac:dyDescent="0.2">
      <c r="E7290" s="332"/>
    </row>
    <row r="7291" spans="5:5" x14ac:dyDescent="0.2">
      <c r="E7291" s="332"/>
    </row>
    <row r="7292" spans="5:5" x14ac:dyDescent="0.2">
      <c r="E7292" s="332"/>
    </row>
    <row r="7293" spans="5:5" x14ac:dyDescent="0.2">
      <c r="E7293" s="332"/>
    </row>
    <row r="7294" spans="5:5" x14ac:dyDescent="0.2">
      <c r="E7294" s="332"/>
    </row>
    <row r="7295" spans="5:5" x14ac:dyDescent="0.2">
      <c r="E7295" s="332"/>
    </row>
    <row r="7296" spans="5:5" x14ac:dyDescent="0.2">
      <c r="E7296" s="332"/>
    </row>
    <row r="7297" spans="5:5" x14ac:dyDescent="0.2">
      <c r="E7297" s="332"/>
    </row>
    <row r="7298" spans="5:5" x14ac:dyDescent="0.2">
      <c r="E7298" s="332"/>
    </row>
    <row r="7299" spans="5:5" x14ac:dyDescent="0.2">
      <c r="E7299" s="332"/>
    </row>
    <row r="7300" spans="5:5" x14ac:dyDescent="0.2">
      <c r="E7300" s="332"/>
    </row>
    <row r="7301" spans="5:5" x14ac:dyDescent="0.2">
      <c r="E7301" s="332"/>
    </row>
    <row r="7302" spans="5:5" x14ac:dyDescent="0.2">
      <c r="E7302" s="332"/>
    </row>
    <row r="7303" spans="5:5" x14ac:dyDescent="0.2">
      <c r="E7303" s="332"/>
    </row>
    <row r="7304" spans="5:5" x14ac:dyDescent="0.2">
      <c r="E7304" s="332"/>
    </row>
    <row r="7305" spans="5:5" x14ac:dyDescent="0.2">
      <c r="E7305" s="332"/>
    </row>
    <row r="7306" spans="5:5" x14ac:dyDescent="0.2">
      <c r="E7306" s="332"/>
    </row>
    <row r="7307" spans="5:5" x14ac:dyDescent="0.2">
      <c r="E7307" s="332"/>
    </row>
    <row r="7308" spans="5:5" x14ac:dyDescent="0.2">
      <c r="E7308" s="332"/>
    </row>
    <row r="7309" spans="5:5" x14ac:dyDescent="0.2">
      <c r="E7309" s="332"/>
    </row>
    <row r="7310" spans="5:5" x14ac:dyDescent="0.2">
      <c r="E7310" s="332"/>
    </row>
    <row r="7311" spans="5:5" x14ac:dyDescent="0.2">
      <c r="E7311" s="332"/>
    </row>
    <row r="7312" spans="5:5" x14ac:dyDescent="0.2">
      <c r="E7312" s="332"/>
    </row>
    <row r="7313" spans="5:5" x14ac:dyDescent="0.2">
      <c r="E7313" s="332"/>
    </row>
    <row r="7314" spans="5:5" x14ac:dyDescent="0.2">
      <c r="E7314" s="332"/>
    </row>
    <row r="7315" spans="5:5" x14ac:dyDescent="0.2">
      <c r="E7315" s="332"/>
    </row>
    <row r="7316" spans="5:5" x14ac:dyDescent="0.2">
      <c r="E7316" s="332"/>
    </row>
    <row r="7317" spans="5:5" x14ac:dyDescent="0.2">
      <c r="E7317" s="332"/>
    </row>
    <row r="7318" spans="5:5" x14ac:dyDescent="0.2">
      <c r="E7318" s="332"/>
    </row>
    <row r="7319" spans="5:5" x14ac:dyDescent="0.2">
      <c r="E7319" s="332"/>
    </row>
    <row r="7320" spans="5:5" x14ac:dyDescent="0.2">
      <c r="E7320" s="332"/>
    </row>
    <row r="7321" spans="5:5" x14ac:dyDescent="0.2">
      <c r="E7321" s="332"/>
    </row>
    <row r="7322" spans="5:5" x14ac:dyDescent="0.2">
      <c r="E7322" s="332"/>
    </row>
    <row r="7323" spans="5:5" x14ac:dyDescent="0.2">
      <c r="E7323" s="332"/>
    </row>
    <row r="7324" spans="5:5" x14ac:dyDescent="0.2">
      <c r="E7324" s="332"/>
    </row>
    <row r="7325" spans="5:5" x14ac:dyDescent="0.2">
      <c r="E7325" s="332"/>
    </row>
    <row r="7326" spans="5:5" x14ac:dyDescent="0.2">
      <c r="E7326" s="332"/>
    </row>
    <row r="7327" spans="5:5" x14ac:dyDescent="0.2">
      <c r="E7327" s="332"/>
    </row>
    <row r="7328" spans="5:5" x14ac:dyDescent="0.2">
      <c r="E7328" s="332"/>
    </row>
    <row r="7329" spans="5:5" x14ac:dyDescent="0.2">
      <c r="E7329" s="332"/>
    </row>
    <row r="7330" spans="5:5" x14ac:dyDescent="0.2">
      <c r="E7330" s="332"/>
    </row>
    <row r="7331" spans="5:5" x14ac:dyDescent="0.2">
      <c r="E7331" s="332"/>
    </row>
    <row r="7332" spans="5:5" x14ac:dyDescent="0.2">
      <c r="E7332" s="332"/>
    </row>
    <row r="7333" spans="5:5" x14ac:dyDescent="0.2">
      <c r="E7333" s="332"/>
    </row>
    <row r="7334" spans="5:5" x14ac:dyDescent="0.2">
      <c r="E7334" s="332"/>
    </row>
    <row r="7335" spans="5:5" x14ac:dyDescent="0.2">
      <c r="E7335" s="332"/>
    </row>
    <row r="7336" spans="5:5" x14ac:dyDescent="0.2">
      <c r="E7336" s="332"/>
    </row>
    <row r="7337" spans="5:5" x14ac:dyDescent="0.2">
      <c r="E7337" s="332"/>
    </row>
    <row r="7338" spans="5:5" x14ac:dyDescent="0.2">
      <c r="E7338" s="332"/>
    </row>
    <row r="7339" spans="5:5" x14ac:dyDescent="0.2">
      <c r="E7339" s="332"/>
    </row>
    <row r="7340" spans="5:5" x14ac:dyDescent="0.2">
      <c r="E7340" s="332"/>
    </row>
    <row r="7341" spans="5:5" x14ac:dyDescent="0.2">
      <c r="E7341" s="332"/>
    </row>
    <row r="7342" spans="5:5" x14ac:dyDescent="0.2">
      <c r="E7342" s="332"/>
    </row>
    <row r="7343" spans="5:5" x14ac:dyDescent="0.2">
      <c r="E7343" s="332"/>
    </row>
    <row r="7344" spans="5:5" x14ac:dyDescent="0.2">
      <c r="E7344" s="332"/>
    </row>
    <row r="7345" spans="5:5" x14ac:dyDescent="0.2">
      <c r="E7345" s="332"/>
    </row>
    <row r="7346" spans="5:5" x14ac:dyDescent="0.2">
      <c r="E7346" s="332"/>
    </row>
    <row r="7347" spans="5:5" x14ac:dyDescent="0.2">
      <c r="E7347" s="332"/>
    </row>
    <row r="7348" spans="5:5" x14ac:dyDescent="0.2">
      <c r="E7348" s="332"/>
    </row>
    <row r="7349" spans="5:5" x14ac:dyDescent="0.2">
      <c r="E7349" s="332"/>
    </row>
    <row r="7350" spans="5:5" x14ac:dyDescent="0.2">
      <c r="E7350" s="332"/>
    </row>
    <row r="7351" spans="5:5" x14ac:dyDescent="0.2">
      <c r="E7351" s="332"/>
    </row>
    <row r="7352" spans="5:5" x14ac:dyDescent="0.2">
      <c r="E7352" s="332"/>
    </row>
    <row r="7353" spans="5:5" x14ac:dyDescent="0.2">
      <c r="E7353" s="332"/>
    </row>
    <row r="7354" spans="5:5" x14ac:dyDescent="0.2">
      <c r="E7354" s="332"/>
    </row>
    <row r="7355" spans="5:5" x14ac:dyDescent="0.2">
      <c r="E7355" s="332"/>
    </row>
    <row r="7356" spans="5:5" x14ac:dyDescent="0.2">
      <c r="E7356" s="332"/>
    </row>
    <row r="7357" spans="5:5" x14ac:dyDescent="0.2">
      <c r="E7357" s="332"/>
    </row>
    <row r="7358" spans="5:5" x14ac:dyDescent="0.2">
      <c r="E7358" s="332"/>
    </row>
    <row r="7359" spans="5:5" x14ac:dyDescent="0.2">
      <c r="E7359" s="332"/>
    </row>
    <row r="7360" spans="5:5" x14ac:dyDescent="0.2">
      <c r="E7360" s="332"/>
    </row>
    <row r="7361" spans="5:5" x14ac:dyDescent="0.2">
      <c r="E7361" s="332"/>
    </row>
    <row r="7362" spans="5:5" x14ac:dyDescent="0.2">
      <c r="E7362" s="332"/>
    </row>
    <row r="7363" spans="5:5" x14ac:dyDescent="0.2">
      <c r="E7363" s="332"/>
    </row>
    <row r="7364" spans="5:5" x14ac:dyDescent="0.2">
      <c r="E7364" s="332"/>
    </row>
    <row r="7365" spans="5:5" x14ac:dyDescent="0.2">
      <c r="E7365" s="332"/>
    </row>
    <row r="7366" spans="5:5" x14ac:dyDescent="0.2">
      <c r="E7366" s="332"/>
    </row>
    <row r="7367" spans="5:5" x14ac:dyDescent="0.2">
      <c r="E7367" s="332"/>
    </row>
    <row r="7368" spans="5:5" x14ac:dyDescent="0.2">
      <c r="E7368" s="332"/>
    </row>
    <row r="7369" spans="5:5" x14ac:dyDescent="0.2">
      <c r="E7369" s="332"/>
    </row>
    <row r="7370" spans="5:5" x14ac:dyDescent="0.2">
      <c r="E7370" s="332"/>
    </row>
    <row r="7371" spans="5:5" x14ac:dyDescent="0.2">
      <c r="E7371" s="332"/>
    </row>
    <row r="7372" spans="5:5" x14ac:dyDescent="0.2">
      <c r="E7372" s="332"/>
    </row>
    <row r="7373" spans="5:5" x14ac:dyDescent="0.2">
      <c r="E7373" s="332"/>
    </row>
    <row r="7374" spans="5:5" x14ac:dyDescent="0.2">
      <c r="E7374" s="332"/>
    </row>
    <row r="7375" spans="5:5" x14ac:dyDescent="0.2">
      <c r="E7375" s="332"/>
    </row>
    <row r="7376" spans="5:5" x14ac:dyDescent="0.2">
      <c r="E7376" s="332"/>
    </row>
    <row r="7377" spans="5:5" x14ac:dyDescent="0.2">
      <c r="E7377" s="332"/>
    </row>
    <row r="7378" spans="5:5" x14ac:dyDescent="0.2">
      <c r="E7378" s="332"/>
    </row>
    <row r="7379" spans="5:5" x14ac:dyDescent="0.2">
      <c r="E7379" s="332"/>
    </row>
    <row r="7380" spans="5:5" x14ac:dyDescent="0.2">
      <c r="E7380" s="332"/>
    </row>
    <row r="7381" spans="5:5" x14ac:dyDescent="0.2">
      <c r="E7381" s="332"/>
    </row>
    <row r="7382" spans="5:5" x14ac:dyDescent="0.2">
      <c r="E7382" s="332"/>
    </row>
    <row r="7383" spans="5:5" x14ac:dyDescent="0.2">
      <c r="E7383" s="332"/>
    </row>
    <row r="7384" spans="5:5" x14ac:dyDescent="0.2">
      <c r="E7384" s="332"/>
    </row>
    <row r="7385" spans="5:5" x14ac:dyDescent="0.2">
      <c r="E7385" s="332"/>
    </row>
    <row r="7386" spans="5:5" x14ac:dyDescent="0.2">
      <c r="E7386" s="332"/>
    </row>
    <row r="7387" spans="5:5" x14ac:dyDescent="0.2">
      <c r="E7387" s="332"/>
    </row>
    <row r="7388" spans="5:5" x14ac:dyDescent="0.2">
      <c r="E7388" s="332"/>
    </row>
    <row r="7389" spans="5:5" x14ac:dyDescent="0.2">
      <c r="E7389" s="332"/>
    </row>
    <row r="7390" spans="5:5" x14ac:dyDescent="0.2">
      <c r="E7390" s="332"/>
    </row>
    <row r="7391" spans="5:5" x14ac:dyDescent="0.2">
      <c r="E7391" s="332"/>
    </row>
    <row r="7392" spans="5:5" x14ac:dyDescent="0.2">
      <c r="E7392" s="332"/>
    </row>
    <row r="7393" spans="5:5" x14ac:dyDescent="0.2">
      <c r="E7393" s="332"/>
    </row>
    <row r="7394" spans="5:5" x14ac:dyDescent="0.2">
      <c r="E7394" s="332"/>
    </row>
    <row r="7395" spans="5:5" x14ac:dyDescent="0.2">
      <c r="E7395" s="332"/>
    </row>
    <row r="7396" spans="5:5" x14ac:dyDescent="0.2">
      <c r="E7396" s="332"/>
    </row>
    <row r="7397" spans="5:5" x14ac:dyDescent="0.2">
      <c r="E7397" s="332"/>
    </row>
    <row r="7398" spans="5:5" x14ac:dyDescent="0.2">
      <c r="E7398" s="332"/>
    </row>
    <row r="7399" spans="5:5" x14ac:dyDescent="0.2">
      <c r="E7399" s="332"/>
    </row>
    <row r="7400" spans="5:5" x14ac:dyDescent="0.2">
      <c r="E7400" s="332"/>
    </row>
    <row r="7401" spans="5:5" x14ac:dyDescent="0.2">
      <c r="E7401" s="332"/>
    </row>
    <row r="7402" spans="5:5" x14ac:dyDescent="0.2">
      <c r="E7402" s="332"/>
    </row>
    <row r="7403" spans="5:5" x14ac:dyDescent="0.2">
      <c r="E7403" s="332"/>
    </row>
    <row r="7404" spans="5:5" x14ac:dyDescent="0.2">
      <c r="E7404" s="332"/>
    </row>
    <row r="7405" spans="5:5" x14ac:dyDescent="0.2">
      <c r="E7405" s="332"/>
    </row>
    <row r="7406" spans="5:5" x14ac:dyDescent="0.2">
      <c r="E7406" s="332"/>
    </row>
    <row r="7407" spans="5:5" x14ac:dyDescent="0.2">
      <c r="E7407" s="332"/>
    </row>
    <row r="7408" spans="5:5" x14ac:dyDescent="0.2">
      <c r="E7408" s="332"/>
    </row>
    <row r="7409" spans="5:5" x14ac:dyDescent="0.2">
      <c r="E7409" s="332"/>
    </row>
    <row r="7410" spans="5:5" x14ac:dyDescent="0.2">
      <c r="E7410" s="332"/>
    </row>
    <row r="7411" spans="5:5" x14ac:dyDescent="0.2">
      <c r="E7411" s="332"/>
    </row>
    <row r="7412" spans="5:5" x14ac:dyDescent="0.2">
      <c r="E7412" s="332"/>
    </row>
    <row r="7413" spans="5:5" x14ac:dyDescent="0.2">
      <c r="E7413" s="332"/>
    </row>
    <row r="7414" spans="5:5" x14ac:dyDescent="0.2">
      <c r="E7414" s="332"/>
    </row>
    <row r="7415" spans="5:5" x14ac:dyDescent="0.2">
      <c r="E7415" s="332"/>
    </row>
    <row r="7416" spans="5:5" x14ac:dyDescent="0.2">
      <c r="E7416" s="332"/>
    </row>
    <row r="7417" spans="5:5" x14ac:dyDescent="0.2">
      <c r="E7417" s="332"/>
    </row>
    <row r="7418" spans="5:5" x14ac:dyDescent="0.2">
      <c r="E7418" s="332"/>
    </row>
    <row r="7419" spans="5:5" x14ac:dyDescent="0.2">
      <c r="E7419" s="332"/>
    </row>
    <row r="7420" spans="5:5" x14ac:dyDescent="0.2">
      <c r="E7420" s="332"/>
    </row>
    <row r="7421" spans="5:5" x14ac:dyDescent="0.2">
      <c r="E7421" s="332"/>
    </row>
    <row r="7422" spans="5:5" x14ac:dyDescent="0.2">
      <c r="E7422" s="332"/>
    </row>
    <row r="7423" spans="5:5" x14ac:dyDescent="0.2">
      <c r="E7423" s="332"/>
    </row>
    <row r="7424" spans="5:5" x14ac:dyDescent="0.2">
      <c r="E7424" s="332"/>
    </row>
    <row r="7425" spans="5:5" x14ac:dyDescent="0.2">
      <c r="E7425" s="332"/>
    </row>
    <row r="7426" spans="5:5" x14ac:dyDescent="0.2">
      <c r="E7426" s="332"/>
    </row>
    <row r="7427" spans="5:5" x14ac:dyDescent="0.2">
      <c r="E7427" s="332"/>
    </row>
    <row r="7428" spans="5:5" x14ac:dyDescent="0.2">
      <c r="E7428" s="332"/>
    </row>
    <row r="7429" spans="5:5" x14ac:dyDescent="0.2">
      <c r="E7429" s="332"/>
    </row>
    <row r="7430" spans="5:5" x14ac:dyDescent="0.2">
      <c r="E7430" s="332"/>
    </row>
    <row r="7431" spans="5:5" x14ac:dyDescent="0.2">
      <c r="E7431" s="332"/>
    </row>
    <row r="7432" spans="5:5" x14ac:dyDescent="0.2">
      <c r="E7432" s="332"/>
    </row>
    <row r="7433" spans="5:5" x14ac:dyDescent="0.2">
      <c r="E7433" s="332"/>
    </row>
    <row r="7434" spans="5:5" x14ac:dyDescent="0.2">
      <c r="E7434" s="332"/>
    </row>
    <row r="7435" spans="5:5" x14ac:dyDescent="0.2">
      <c r="E7435" s="332"/>
    </row>
    <row r="7436" spans="5:5" x14ac:dyDescent="0.2">
      <c r="E7436" s="332"/>
    </row>
    <row r="7437" spans="5:5" x14ac:dyDescent="0.2">
      <c r="E7437" s="332"/>
    </row>
    <row r="7438" spans="5:5" x14ac:dyDescent="0.2">
      <c r="E7438" s="332"/>
    </row>
    <row r="7439" spans="5:5" x14ac:dyDescent="0.2">
      <c r="E7439" s="332"/>
    </row>
    <row r="7440" spans="5:5" x14ac:dyDescent="0.2">
      <c r="E7440" s="332"/>
    </row>
    <row r="7441" spans="5:5" x14ac:dyDescent="0.2">
      <c r="E7441" s="332"/>
    </row>
    <row r="7442" spans="5:5" x14ac:dyDescent="0.2">
      <c r="E7442" s="332"/>
    </row>
    <row r="7443" spans="5:5" x14ac:dyDescent="0.2">
      <c r="E7443" s="332"/>
    </row>
    <row r="7444" spans="5:5" x14ac:dyDescent="0.2">
      <c r="E7444" s="332"/>
    </row>
    <row r="7445" spans="5:5" x14ac:dyDescent="0.2">
      <c r="E7445" s="332"/>
    </row>
    <row r="7446" spans="5:5" x14ac:dyDescent="0.2">
      <c r="E7446" s="332"/>
    </row>
    <row r="7447" spans="5:5" x14ac:dyDescent="0.2">
      <c r="E7447" s="332"/>
    </row>
    <row r="7448" spans="5:5" x14ac:dyDescent="0.2">
      <c r="E7448" s="332"/>
    </row>
    <row r="7449" spans="5:5" x14ac:dyDescent="0.2">
      <c r="E7449" s="332"/>
    </row>
    <row r="7450" spans="5:5" x14ac:dyDescent="0.2">
      <c r="E7450" s="332"/>
    </row>
    <row r="7451" spans="5:5" x14ac:dyDescent="0.2">
      <c r="E7451" s="332"/>
    </row>
    <row r="7452" spans="5:5" x14ac:dyDescent="0.2">
      <c r="E7452" s="332"/>
    </row>
    <row r="7453" spans="5:5" x14ac:dyDescent="0.2">
      <c r="E7453" s="332"/>
    </row>
    <row r="7454" spans="5:5" x14ac:dyDescent="0.2">
      <c r="E7454" s="332"/>
    </row>
    <row r="7455" spans="5:5" x14ac:dyDescent="0.2">
      <c r="E7455" s="332"/>
    </row>
    <row r="7456" spans="5:5" x14ac:dyDescent="0.2">
      <c r="E7456" s="332"/>
    </row>
    <row r="7457" spans="5:5" x14ac:dyDescent="0.2">
      <c r="E7457" s="332"/>
    </row>
    <row r="7458" spans="5:5" x14ac:dyDescent="0.2">
      <c r="E7458" s="332"/>
    </row>
    <row r="7459" spans="5:5" x14ac:dyDescent="0.2">
      <c r="E7459" s="332"/>
    </row>
    <row r="7460" spans="5:5" x14ac:dyDescent="0.2">
      <c r="E7460" s="332"/>
    </row>
    <row r="7461" spans="5:5" x14ac:dyDescent="0.2">
      <c r="E7461" s="332"/>
    </row>
    <row r="7462" spans="5:5" x14ac:dyDescent="0.2">
      <c r="E7462" s="332"/>
    </row>
    <row r="7463" spans="5:5" x14ac:dyDescent="0.2">
      <c r="E7463" s="332"/>
    </row>
    <row r="7464" spans="5:5" x14ac:dyDescent="0.2">
      <c r="E7464" s="332"/>
    </row>
    <row r="7465" spans="5:5" x14ac:dyDescent="0.2">
      <c r="E7465" s="332"/>
    </row>
    <row r="7466" spans="5:5" x14ac:dyDescent="0.2">
      <c r="E7466" s="332"/>
    </row>
    <row r="7467" spans="5:5" x14ac:dyDescent="0.2">
      <c r="E7467" s="332"/>
    </row>
    <row r="7468" spans="5:5" x14ac:dyDescent="0.2">
      <c r="E7468" s="332"/>
    </row>
    <row r="7469" spans="5:5" x14ac:dyDescent="0.2">
      <c r="E7469" s="332"/>
    </row>
    <row r="7470" spans="5:5" x14ac:dyDescent="0.2">
      <c r="E7470" s="332"/>
    </row>
    <row r="7471" spans="5:5" x14ac:dyDescent="0.2">
      <c r="E7471" s="332"/>
    </row>
    <row r="7472" spans="5:5" x14ac:dyDescent="0.2">
      <c r="E7472" s="332"/>
    </row>
    <row r="7473" spans="5:5" x14ac:dyDescent="0.2">
      <c r="E7473" s="332"/>
    </row>
    <row r="7474" spans="5:5" x14ac:dyDescent="0.2">
      <c r="E7474" s="332"/>
    </row>
    <row r="7475" spans="5:5" x14ac:dyDescent="0.2">
      <c r="E7475" s="332"/>
    </row>
    <row r="7476" spans="5:5" x14ac:dyDescent="0.2">
      <c r="E7476" s="332"/>
    </row>
    <row r="7477" spans="5:5" x14ac:dyDescent="0.2">
      <c r="E7477" s="332"/>
    </row>
    <row r="7478" spans="5:5" x14ac:dyDescent="0.2">
      <c r="E7478" s="332"/>
    </row>
    <row r="7479" spans="5:5" x14ac:dyDescent="0.2">
      <c r="E7479" s="332"/>
    </row>
    <row r="7480" spans="5:5" x14ac:dyDescent="0.2">
      <c r="E7480" s="332"/>
    </row>
    <row r="7481" spans="5:5" x14ac:dyDescent="0.2">
      <c r="E7481" s="332"/>
    </row>
    <row r="7482" spans="5:5" x14ac:dyDescent="0.2">
      <c r="E7482" s="332"/>
    </row>
    <row r="7483" spans="5:5" x14ac:dyDescent="0.2">
      <c r="E7483" s="332"/>
    </row>
    <row r="7484" spans="5:5" x14ac:dyDescent="0.2">
      <c r="E7484" s="332"/>
    </row>
    <row r="7485" spans="5:5" x14ac:dyDescent="0.2">
      <c r="E7485" s="332"/>
    </row>
    <row r="7486" spans="5:5" x14ac:dyDescent="0.2">
      <c r="E7486" s="332"/>
    </row>
    <row r="7487" spans="5:5" x14ac:dyDescent="0.2">
      <c r="E7487" s="332"/>
    </row>
    <row r="7488" spans="5:5" x14ac:dyDescent="0.2">
      <c r="E7488" s="332"/>
    </row>
    <row r="7489" spans="5:5" x14ac:dyDescent="0.2">
      <c r="E7489" s="332"/>
    </row>
    <row r="7490" spans="5:5" x14ac:dyDescent="0.2">
      <c r="E7490" s="332"/>
    </row>
    <row r="7491" spans="5:5" x14ac:dyDescent="0.2">
      <c r="E7491" s="332"/>
    </row>
    <row r="7492" spans="5:5" x14ac:dyDescent="0.2">
      <c r="E7492" s="332"/>
    </row>
    <row r="7493" spans="5:5" x14ac:dyDescent="0.2">
      <c r="E7493" s="332"/>
    </row>
    <row r="7494" spans="5:5" x14ac:dyDescent="0.2">
      <c r="E7494" s="332"/>
    </row>
    <row r="7495" spans="5:5" x14ac:dyDescent="0.2">
      <c r="E7495" s="332"/>
    </row>
    <row r="7496" spans="5:5" x14ac:dyDescent="0.2">
      <c r="E7496" s="332"/>
    </row>
    <row r="7497" spans="5:5" x14ac:dyDescent="0.2">
      <c r="E7497" s="332"/>
    </row>
    <row r="7498" spans="5:5" x14ac:dyDescent="0.2">
      <c r="E7498" s="332"/>
    </row>
    <row r="7499" spans="5:5" x14ac:dyDescent="0.2">
      <c r="E7499" s="332"/>
    </row>
    <row r="7500" spans="5:5" x14ac:dyDescent="0.2">
      <c r="E7500" s="332"/>
    </row>
    <row r="7501" spans="5:5" x14ac:dyDescent="0.2">
      <c r="E7501" s="332"/>
    </row>
    <row r="7502" spans="5:5" x14ac:dyDescent="0.2">
      <c r="E7502" s="332"/>
    </row>
    <row r="7503" spans="5:5" x14ac:dyDescent="0.2">
      <c r="E7503" s="332"/>
    </row>
    <row r="7504" spans="5:5" x14ac:dyDescent="0.2">
      <c r="E7504" s="332"/>
    </row>
    <row r="7505" spans="5:5" x14ac:dyDescent="0.2">
      <c r="E7505" s="332"/>
    </row>
    <row r="7506" spans="5:5" x14ac:dyDescent="0.2">
      <c r="E7506" s="332"/>
    </row>
    <row r="7507" spans="5:5" x14ac:dyDescent="0.2">
      <c r="E7507" s="332"/>
    </row>
    <row r="7508" spans="5:5" x14ac:dyDescent="0.2">
      <c r="E7508" s="332"/>
    </row>
    <row r="7509" spans="5:5" x14ac:dyDescent="0.2">
      <c r="E7509" s="332"/>
    </row>
    <row r="7510" spans="5:5" x14ac:dyDescent="0.2">
      <c r="E7510" s="332"/>
    </row>
    <row r="7511" spans="5:5" x14ac:dyDescent="0.2">
      <c r="E7511" s="332"/>
    </row>
    <row r="7512" spans="5:5" x14ac:dyDescent="0.2">
      <c r="E7512" s="332"/>
    </row>
    <row r="7513" spans="5:5" x14ac:dyDescent="0.2">
      <c r="E7513" s="332"/>
    </row>
    <row r="7514" spans="5:5" x14ac:dyDescent="0.2">
      <c r="E7514" s="332"/>
    </row>
    <row r="7515" spans="5:5" x14ac:dyDescent="0.2">
      <c r="E7515" s="332"/>
    </row>
    <row r="7516" spans="5:5" x14ac:dyDescent="0.2">
      <c r="E7516" s="332"/>
    </row>
    <row r="7517" spans="5:5" x14ac:dyDescent="0.2">
      <c r="E7517" s="332"/>
    </row>
    <row r="7518" spans="5:5" x14ac:dyDescent="0.2">
      <c r="E7518" s="332"/>
    </row>
    <row r="7519" spans="5:5" x14ac:dyDescent="0.2">
      <c r="E7519" s="332"/>
    </row>
    <row r="7520" spans="5:5" x14ac:dyDescent="0.2">
      <c r="E7520" s="332"/>
    </row>
    <row r="7521" spans="5:5" x14ac:dyDescent="0.2">
      <c r="E7521" s="332"/>
    </row>
    <row r="7522" spans="5:5" x14ac:dyDescent="0.2">
      <c r="E7522" s="332"/>
    </row>
    <row r="7523" spans="5:5" x14ac:dyDescent="0.2">
      <c r="E7523" s="332"/>
    </row>
    <row r="7524" spans="5:5" x14ac:dyDescent="0.2">
      <c r="E7524" s="332"/>
    </row>
    <row r="7525" spans="5:5" x14ac:dyDescent="0.2">
      <c r="E7525" s="332"/>
    </row>
    <row r="7526" spans="5:5" x14ac:dyDescent="0.2">
      <c r="E7526" s="332"/>
    </row>
    <row r="7527" spans="5:5" x14ac:dyDescent="0.2">
      <c r="E7527" s="332"/>
    </row>
    <row r="7528" spans="5:5" x14ac:dyDescent="0.2">
      <c r="E7528" s="332"/>
    </row>
    <row r="7529" spans="5:5" x14ac:dyDescent="0.2">
      <c r="E7529" s="332"/>
    </row>
    <row r="7530" spans="5:5" x14ac:dyDescent="0.2">
      <c r="E7530" s="332"/>
    </row>
    <row r="7531" spans="5:5" x14ac:dyDescent="0.2">
      <c r="E7531" s="332"/>
    </row>
    <row r="7532" spans="5:5" x14ac:dyDescent="0.2">
      <c r="E7532" s="332"/>
    </row>
    <row r="7533" spans="5:5" x14ac:dyDescent="0.2">
      <c r="E7533" s="332"/>
    </row>
    <row r="7534" spans="5:5" x14ac:dyDescent="0.2">
      <c r="E7534" s="332"/>
    </row>
    <row r="7535" spans="5:5" x14ac:dyDescent="0.2">
      <c r="E7535" s="332"/>
    </row>
    <row r="7536" spans="5:5" x14ac:dyDescent="0.2">
      <c r="E7536" s="332"/>
    </row>
    <row r="7537" spans="5:5" x14ac:dyDescent="0.2">
      <c r="E7537" s="332"/>
    </row>
    <row r="7538" spans="5:5" x14ac:dyDescent="0.2">
      <c r="E7538" s="332"/>
    </row>
    <row r="7539" spans="5:5" x14ac:dyDescent="0.2">
      <c r="E7539" s="332"/>
    </row>
    <row r="7540" spans="5:5" x14ac:dyDescent="0.2">
      <c r="E7540" s="332"/>
    </row>
    <row r="7541" spans="5:5" x14ac:dyDescent="0.2">
      <c r="E7541" s="332"/>
    </row>
    <row r="7542" spans="5:5" x14ac:dyDescent="0.2">
      <c r="E7542" s="332"/>
    </row>
    <row r="7543" spans="5:5" x14ac:dyDescent="0.2">
      <c r="E7543" s="332"/>
    </row>
    <row r="7544" spans="5:5" x14ac:dyDescent="0.2">
      <c r="E7544" s="332"/>
    </row>
    <row r="7545" spans="5:5" x14ac:dyDescent="0.2">
      <c r="E7545" s="332"/>
    </row>
    <row r="7546" spans="5:5" x14ac:dyDescent="0.2">
      <c r="E7546" s="332"/>
    </row>
    <row r="7547" spans="5:5" x14ac:dyDescent="0.2">
      <c r="E7547" s="332"/>
    </row>
    <row r="7548" spans="5:5" x14ac:dyDescent="0.2">
      <c r="E7548" s="332"/>
    </row>
    <row r="7549" spans="5:5" x14ac:dyDescent="0.2">
      <c r="E7549" s="332"/>
    </row>
    <row r="7550" spans="5:5" x14ac:dyDescent="0.2">
      <c r="E7550" s="332"/>
    </row>
    <row r="7551" spans="5:5" x14ac:dyDescent="0.2">
      <c r="E7551" s="332"/>
    </row>
    <row r="7552" spans="5:5" x14ac:dyDescent="0.2">
      <c r="E7552" s="332"/>
    </row>
    <row r="7553" spans="5:5" x14ac:dyDescent="0.2">
      <c r="E7553" s="332"/>
    </row>
    <row r="7554" spans="5:5" x14ac:dyDescent="0.2">
      <c r="E7554" s="332"/>
    </row>
    <row r="7555" spans="5:5" x14ac:dyDescent="0.2">
      <c r="E7555" s="332"/>
    </row>
    <row r="7556" spans="5:5" x14ac:dyDescent="0.2">
      <c r="E7556" s="332"/>
    </row>
    <row r="7557" spans="5:5" x14ac:dyDescent="0.2">
      <c r="E7557" s="332"/>
    </row>
    <row r="7558" spans="5:5" x14ac:dyDescent="0.2">
      <c r="E7558" s="332"/>
    </row>
    <row r="7559" spans="5:5" x14ac:dyDescent="0.2">
      <c r="E7559" s="332"/>
    </row>
    <row r="7560" spans="5:5" x14ac:dyDescent="0.2">
      <c r="E7560" s="332"/>
    </row>
    <row r="7561" spans="5:5" x14ac:dyDescent="0.2">
      <c r="E7561" s="332"/>
    </row>
    <row r="7562" spans="5:5" x14ac:dyDescent="0.2">
      <c r="E7562" s="332"/>
    </row>
    <row r="7563" spans="5:5" x14ac:dyDescent="0.2">
      <c r="E7563" s="332"/>
    </row>
    <row r="7564" spans="5:5" x14ac:dyDescent="0.2">
      <c r="E7564" s="332"/>
    </row>
    <row r="7565" spans="5:5" x14ac:dyDescent="0.2">
      <c r="E7565" s="332"/>
    </row>
    <row r="7566" spans="5:5" x14ac:dyDescent="0.2">
      <c r="E7566" s="332"/>
    </row>
    <row r="7567" spans="5:5" x14ac:dyDescent="0.2">
      <c r="E7567" s="332"/>
    </row>
    <row r="7568" spans="5:5" x14ac:dyDescent="0.2">
      <c r="E7568" s="332"/>
    </row>
    <row r="7569" spans="5:5" x14ac:dyDescent="0.2">
      <c r="E7569" s="332"/>
    </row>
    <row r="7570" spans="5:5" x14ac:dyDescent="0.2">
      <c r="E7570" s="332"/>
    </row>
    <row r="7571" spans="5:5" x14ac:dyDescent="0.2">
      <c r="E7571" s="332"/>
    </row>
    <row r="7572" spans="5:5" x14ac:dyDescent="0.2">
      <c r="E7572" s="332"/>
    </row>
    <row r="7573" spans="5:5" x14ac:dyDescent="0.2">
      <c r="E7573" s="332"/>
    </row>
    <row r="7574" spans="5:5" x14ac:dyDescent="0.2">
      <c r="E7574" s="332"/>
    </row>
    <row r="7575" spans="5:5" x14ac:dyDescent="0.2">
      <c r="E7575" s="332"/>
    </row>
    <row r="7576" spans="5:5" x14ac:dyDescent="0.2">
      <c r="E7576" s="332"/>
    </row>
    <row r="7577" spans="5:5" x14ac:dyDescent="0.2">
      <c r="E7577" s="332"/>
    </row>
    <row r="7578" spans="5:5" x14ac:dyDescent="0.2">
      <c r="E7578" s="332"/>
    </row>
    <row r="7579" spans="5:5" x14ac:dyDescent="0.2">
      <c r="E7579" s="332"/>
    </row>
    <row r="7580" spans="5:5" x14ac:dyDescent="0.2">
      <c r="E7580" s="332"/>
    </row>
    <row r="7581" spans="5:5" x14ac:dyDescent="0.2">
      <c r="E7581" s="332"/>
    </row>
    <row r="7582" spans="5:5" x14ac:dyDescent="0.2">
      <c r="E7582" s="332"/>
    </row>
    <row r="7583" spans="5:5" x14ac:dyDescent="0.2">
      <c r="E7583" s="332"/>
    </row>
    <row r="7584" spans="5:5" x14ac:dyDescent="0.2">
      <c r="E7584" s="332"/>
    </row>
    <row r="7585" spans="5:5" x14ac:dyDescent="0.2">
      <c r="E7585" s="332"/>
    </row>
    <row r="7586" spans="5:5" x14ac:dyDescent="0.2">
      <c r="E7586" s="332"/>
    </row>
    <row r="7587" spans="5:5" x14ac:dyDescent="0.2">
      <c r="E7587" s="332"/>
    </row>
    <row r="7588" spans="5:5" x14ac:dyDescent="0.2">
      <c r="E7588" s="332"/>
    </row>
    <row r="7589" spans="5:5" x14ac:dyDescent="0.2">
      <c r="E7589" s="332"/>
    </row>
    <row r="7590" spans="5:5" x14ac:dyDescent="0.2">
      <c r="E7590" s="332"/>
    </row>
    <row r="7591" spans="5:5" x14ac:dyDescent="0.2">
      <c r="E7591" s="332"/>
    </row>
    <row r="7592" spans="5:5" x14ac:dyDescent="0.2">
      <c r="E7592" s="332"/>
    </row>
    <row r="7593" spans="5:5" x14ac:dyDescent="0.2">
      <c r="E7593" s="332"/>
    </row>
    <row r="7594" spans="5:5" x14ac:dyDescent="0.2">
      <c r="E7594" s="332"/>
    </row>
    <row r="7595" spans="5:5" x14ac:dyDescent="0.2">
      <c r="E7595" s="332"/>
    </row>
    <row r="7596" spans="5:5" x14ac:dyDescent="0.2">
      <c r="E7596" s="332"/>
    </row>
    <row r="7597" spans="5:5" x14ac:dyDescent="0.2">
      <c r="E7597" s="332"/>
    </row>
    <row r="7598" spans="5:5" x14ac:dyDescent="0.2">
      <c r="E7598" s="332"/>
    </row>
    <row r="7599" spans="5:5" x14ac:dyDescent="0.2">
      <c r="E7599" s="332"/>
    </row>
    <row r="7600" spans="5:5" x14ac:dyDescent="0.2">
      <c r="E7600" s="332"/>
    </row>
    <row r="7601" spans="5:5" x14ac:dyDescent="0.2">
      <c r="E7601" s="332"/>
    </row>
    <row r="7602" spans="5:5" x14ac:dyDescent="0.2">
      <c r="E7602" s="332"/>
    </row>
    <row r="7603" spans="5:5" x14ac:dyDescent="0.2">
      <c r="E7603" s="332"/>
    </row>
    <row r="7604" spans="5:5" x14ac:dyDescent="0.2">
      <c r="E7604" s="332"/>
    </row>
    <row r="7605" spans="5:5" x14ac:dyDescent="0.2">
      <c r="E7605" s="332"/>
    </row>
    <row r="7606" spans="5:5" x14ac:dyDescent="0.2">
      <c r="E7606" s="332"/>
    </row>
    <row r="7607" spans="5:5" x14ac:dyDescent="0.2">
      <c r="E7607" s="332"/>
    </row>
    <row r="7608" spans="5:5" x14ac:dyDescent="0.2">
      <c r="E7608" s="332"/>
    </row>
    <row r="7609" spans="5:5" x14ac:dyDescent="0.2">
      <c r="E7609" s="332"/>
    </row>
    <row r="7610" spans="5:5" x14ac:dyDescent="0.2">
      <c r="E7610" s="332"/>
    </row>
    <row r="7611" spans="5:5" x14ac:dyDescent="0.2">
      <c r="E7611" s="332"/>
    </row>
    <row r="7612" spans="5:5" x14ac:dyDescent="0.2">
      <c r="E7612" s="332"/>
    </row>
    <row r="7613" spans="5:5" x14ac:dyDescent="0.2">
      <c r="E7613" s="332"/>
    </row>
    <row r="7614" spans="5:5" x14ac:dyDescent="0.2">
      <c r="E7614" s="332"/>
    </row>
    <row r="7615" spans="5:5" x14ac:dyDescent="0.2">
      <c r="E7615" s="332"/>
    </row>
    <row r="7616" spans="5:5" x14ac:dyDescent="0.2">
      <c r="E7616" s="332"/>
    </row>
    <row r="7617" spans="5:5" x14ac:dyDescent="0.2">
      <c r="E7617" s="332"/>
    </row>
    <row r="7618" spans="5:5" x14ac:dyDescent="0.2">
      <c r="E7618" s="332"/>
    </row>
    <row r="7619" spans="5:5" x14ac:dyDescent="0.2">
      <c r="E7619" s="332"/>
    </row>
    <row r="7620" spans="5:5" x14ac:dyDescent="0.2">
      <c r="E7620" s="332"/>
    </row>
    <row r="7621" spans="5:5" x14ac:dyDescent="0.2">
      <c r="E7621" s="332"/>
    </row>
    <row r="7622" spans="5:5" x14ac:dyDescent="0.2">
      <c r="E7622" s="332"/>
    </row>
    <row r="7623" spans="5:5" x14ac:dyDescent="0.2">
      <c r="E7623" s="332"/>
    </row>
    <row r="7624" spans="5:5" x14ac:dyDescent="0.2">
      <c r="E7624" s="332"/>
    </row>
    <row r="7625" spans="5:5" x14ac:dyDescent="0.2">
      <c r="E7625" s="332"/>
    </row>
    <row r="7626" spans="5:5" x14ac:dyDescent="0.2">
      <c r="E7626" s="332"/>
    </row>
    <row r="7627" spans="5:5" x14ac:dyDescent="0.2">
      <c r="E7627" s="332"/>
    </row>
    <row r="7628" spans="5:5" x14ac:dyDescent="0.2">
      <c r="E7628" s="332"/>
    </row>
    <row r="7629" spans="5:5" x14ac:dyDescent="0.2">
      <c r="E7629" s="332"/>
    </row>
    <row r="7630" spans="5:5" x14ac:dyDescent="0.2">
      <c r="E7630" s="332"/>
    </row>
    <row r="7631" spans="5:5" x14ac:dyDescent="0.2">
      <c r="E7631" s="332"/>
    </row>
    <row r="7632" spans="5:5" x14ac:dyDescent="0.2">
      <c r="E7632" s="332"/>
    </row>
    <row r="7633" spans="5:5" x14ac:dyDescent="0.2">
      <c r="E7633" s="332"/>
    </row>
    <row r="7634" spans="5:5" x14ac:dyDescent="0.2">
      <c r="E7634" s="332"/>
    </row>
    <row r="7635" spans="5:5" x14ac:dyDescent="0.2">
      <c r="E7635" s="332"/>
    </row>
    <row r="7636" spans="5:5" x14ac:dyDescent="0.2">
      <c r="E7636" s="332"/>
    </row>
    <row r="7637" spans="5:5" x14ac:dyDescent="0.2">
      <c r="E7637" s="332"/>
    </row>
    <row r="7638" spans="5:5" x14ac:dyDescent="0.2">
      <c r="E7638" s="332"/>
    </row>
    <row r="7639" spans="5:5" x14ac:dyDescent="0.2">
      <c r="E7639" s="332"/>
    </row>
    <row r="7640" spans="5:5" x14ac:dyDescent="0.2">
      <c r="E7640" s="332"/>
    </row>
    <row r="7641" spans="5:5" x14ac:dyDescent="0.2">
      <c r="E7641" s="332"/>
    </row>
    <row r="7642" spans="5:5" x14ac:dyDescent="0.2">
      <c r="E7642" s="332"/>
    </row>
    <row r="7643" spans="5:5" x14ac:dyDescent="0.2">
      <c r="E7643" s="332"/>
    </row>
    <row r="7644" spans="5:5" x14ac:dyDescent="0.2">
      <c r="E7644" s="332"/>
    </row>
    <row r="7645" spans="5:5" x14ac:dyDescent="0.2">
      <c r="E7645" s="332"/>
    </row>
    <row r="7646" spans="5:5" x14ac:dyDescent="0.2">
      <c r="E7646" s="332"/>
    </row>
    <row r="7647" spans="5:5" x14ac:dyDescent="0.2">
      <c r="E7647" s="332"/>
    </row>
    <row r="7648" spans="5:5" x14ac:dyDescent="0.2">
      <c r="E7648" s="332"/>
    </row>
    <row r="7649" spans="5:5" x14ac:dyDescent="0.2">
      <c r="E7649" s="332"/>
    </row>
    <row r="7650" spans="5:5" x14ac:dyDescent="0.2">
      <c r="E7650" s="332"/>
    </row>
    <row r="7651" spans="5:5" x14ac:dyDescent="0.2">
      <c r="E7651" s="332"/>
    </row>
    <row r="7652" spans="5:5" x14ac:dyDescent="0.2">
      <c r="E7652" s="332"/>
    </row>
    <row r="7653" spans="5:5" x14ac:dyDescent="0.2">
      <c r="E7653" s="332"/>
    </row>
    <row r="7654" spans="5:5" x14ac:dyDescent="0.2">
      <c r="E7654" s="332"/>
    </row>
    <row r="7655" spans="5:5" x14ac:dyDescent="0.2">
      <c r="E7655" s="332"/>
    </row>
    <row r="7656" spans="5:5" x14ac:dyDescent="0.2">
      <c r="E7656" s="332"/>
    </row>
    <row r="7657" spans="5:5" x14ac:dyDescent="0.2">
      <c r="E7657" s="332"/>
    </row>
    <row r="7658" spans="5:5" x14ac:dyDescent="0.2">
      <c r="E7658" s="332"/>
    </row>
    <row r="7659" spans="5:5" x14ac:dyDescent="0.2">
      <c r="E7659" s="332"/>
    </row>
    <row r="7660" spans="5:5" x14ac:dyDescent="0.2">
      <c r="E7660" s="332"/>
    </row>
    <row r="7661" spans="5:5" x14ac:dyDescent="0.2">
      <c r="E7661" s="332"/>
    </row>
    <row r="7662" spans="5:5" x14ac:dyDescent="0.2">
      <c r="E7662" s="332"/>
    </row>
    <row r="7663" spans="5:5" x14ac:dyDescent="0.2">
      <c r="E7663" s="332"/>
    </row>
    <row r="7664" spans="5:5" x14ac:dyDescent="0.2">
      <c r="E7664" s="332"/>
    </row>
    <row r="7665" spans="5:5" x14ac:dyDescent="0.2">
      <c r="E7665" s="332"/>
    </row>
    <row r="7666" spans="5:5" x14ac:dyDescent="0.2">
      <c r="E7666" s="332"/>
    </row>
    <row r="7667" spans="5:5" x14ac:dyDescent="0.2">
      <c r="E7667" s="332"/>
    </row>
    <row r="7668" spans="5:5" x14ac:dyDescent="0.2">
      <c r="E7668" s="332"/>
    </row>
    <row r="7669" spans="5:5" x14ac:dyDescent="0.2">
      <c r="E7669" s="332"/>
    </row>
    <row r="7670" spans="5:5" x14ac:dyDescent="0.2">
      <c r="E7670" s="332"/>
    </row>
    <row r="7671" spans="5:5" x14ac:dyDescent="0.2">
      <c r="E7671" s="332"/>
    </row>
    <row r="7672" spans="5:5" x14ac:dyDescent="0.2">
      <c r="E7672" s="332"/>
    </row>
    <row r="7673" spans="5:5" x14ac:dyDescent="0.2">
      <c r="E7673" s="332"/>
    </row>
    <row r="7674" spans="5:5" x14ac:dyDescent="0.2">
      <c r="E7674" s="332"/>
    </row>
    <row r="7675" spans="5:5" x14ac:dyDescent="0.2">
      <c r="E7675" s="332"/>
    </row>
    <row r="7676" spans="5:5" x14ac:dyDescent="0.2">
      <c r="E7676" s="332"/>
    </row>
    <row r="7677" spans="5:5" x14ac:dyDescent="0.2">
      <c r="E7677" s="332"/>
    </row>
    <row r="7678" spans="5:5" x14ac:dyDescent="0.2">
      <c r="E7678" s="332"/>
    </row>
    <row r="7679" spans="5:5" x14ac:dyDescent="0.2">
      <c r="E7679" s="332"/>
    </row>
    <row r="7680" spans="5:5" x14ac:dyDescent="0.2">
      <c r="E7680" s="332"/>
    </row>
    <row r="7681" spans="5:5" x14ac:dyDescent="0.2">
      <c r="E7681" s="332"/>
    </row>
    <row r="7682" spans="5:5" x14ac:dyDescent="0.2">
      <c r="E7682" s="332"/>
    </row>
    <row r="7683" spans="5:5" x14ac:dyDescent="0.2">
      <c r="E7683" s="332"/>
    </row>
    <row r="7684" spans="5:5" x14ac:dyDescent="0.2">
      <c r="E7684" s="332"/>
    </row>
    <row r="7685" spans="5:5" x14ac:dyDescent="0.2">
      <c r="E7685" s="332"/>
    </row>
    <row r="7686" spans="5:5" x14ac:dyDescent="0.2">
      <c r="E7686" s="332"/>
    </row>
    <row r="7687" spans="5:5" x14ac:dyDescent="0.2">
      <c r="E7687" s="332"/>
    </row>
    <row r="7688" spans="5:5" x14ac:dyDescent="0.2">
      <c r="E7688" s="332"/>
    </row>
    <row r="7689" spans="5:5" x14ac:dyDescent="0.2">
      <c r="E7689" s="332"/>
    </row>
    <row r="7690" spans="5:5" x14ac:dyDescent="0.2">
      <c r="E7690" s="332"/>
    </row>
    <row r="7691" spans="5:5" x14ac:dyDescent="0.2">
      <c r="E7691" s="332"/>
    </row>
    <row r="7692" spans="5:5" x14ac:dyDescent="0.2">
      <c r="E7692" s="332"/>
    </row>
    <row r="7693" spans="5:5" x14ac:dyDescent="0.2">
      <c r="E7693" s="332"/>
    </row>
    <row r="7694" spans="5:5" x14ac:dyDescent="0.2">
      <c r="E7694" s="332"/>
    </row>
    <row r="7695" spans="5:5" x14ac:dyDescent="0.2">
      <c r="E7695" s="332"/>
    </row>
    <row r="7696" spans="5:5" x14ac:dyDescent="0.2">
      <c r="E7696" s="332"/>
    </row>
    <row r="7697" spans="5:5" x14ac:dyDescent="0.2">
      <c r="E7697" s="332"/>
    </row>
    <row r="7698" spans="5:5" x14ac:dyDescent="0.2">
      <c r="E7698" s="332"/>
    </row>
    <row r="7699" spans="5:5" x14ac:dyDescent="0.2">
      <c r="E7699" s="332"/>
    </row>
    <row r="7700" spans="5:5" x14ac:dyDescent="0.2">
      <c r="E7700" s="332"/>
    </row>
    <row r="7701" spans="5:5" x14ac:dyDescent="0.2">
      <c r="E7701" s="332"/>
    </row>
    <row r="7702" spans="5:5" x14ac:dyDescent="0.2">
      <c r="E7702" s="332"/>
    </row>
    <row r="7703" spans="5:5" x14ac:dyDescent="0.2">
      <c r="E7703" s="332"/>
    </row>
    <row r="7704" spans="5:5" x14ac:dyDescent="0.2">
      <c r="E7704" s="332"/>
    </row>
    <row r="7705" spans="5:5" x14ac:dyDescent="0.2">
      <c r="E7705" s="332"/>
    </row>
    <row r="7706" spans="5:5" x14ac:dyDescent="0.2">
      <c r="E7706" s="332"/>
    </row>
    <row r="7707" spans="5:5" x14ac:dyDescent="0.2">
      <c r="E7707" s="332"/>
    </row>
    <row r="7708" spans="5:5" x14ac:dyDescent="0.2">
      <c r="E7708" s="332"/>
    </row>
    <row r="7709" spans="5:5" x14ac:dyDescent="0.2">
      <c r="E7709" s="332"/>
    </row>
    <row r="7710" spans="5:5" x14ac:dyDescent="0.2">
      <c r="E7710" s="332"/>
    </row>
    <row r="7711" spans="5:5" x14ac:dyDescent="0.2">
      <c r="E7711" s="332"/>
    </row>
    <row r="7712" spans="5:5" x14ac:dyDescent="0.2">
      <c r="E7712" s="332"/>
    </row>
    <row r="7713" spans="5:5" x14ac:dyDescent="0.2">
      <c r="E7713" s="332"/>
    </row>
    <row r="7714" spans="5:5" x14ac:dyDescent="0.2">
      <c r="E7714" s="332"/>
    </row>
    <row r="7715" spans="5:5" x14ac:dyDescent="0.2">
      <c r="E7715" s="332"/>
    </row>
    <row r="7716" spans="5:5" x14ac:dyDescent="0.2">
      <c r="E7716" s="332"/>
    </row>
    <row r="7717" spans="5:5" x14ac:dyDescent="0.2">
      <c r="E7717" s="332"/>
    </row>
    <row r="7718" spans="5:5" x14ac:dyDescent="0.2">
      <c r="E7718" s="332"/>
    </row>
    <row r="7719" spans="5:5" x14ac:dyDescent="0.2">
      <c r="E7719" s="332"/>
    </row>
    <row r="7720" spans="5:5" x14ac:dyDescent="0.2">
      <c r="E7720" s="332"/>
    </row>
    <row r="7721" spans="5:5" x14ac:dyDescent="0.2">
      <c r="E7721" s="332"/>
    </row>
    <row r="7722" spans="5:5" x14ac:dyDescent="0.2">
      <c r="E7722" s="332"/>
    </row>
    <row r="7723" spans="5:5" x14ac:dyDescent="0.2">
      <c r="E7723" s="332"/>
    </row>
    <row r="7724" spans="5:5" x14ac:dyDescent="0.2">
      <c r="E7724" s="332"/>
    </row>
    <row r="7725" spans="5:5" x14ac:dyDescent="0.2">
      <c r="E7725" s="332"/>
    </row>
    <row r="7726" spans="5:5" x14ac:dyDescent="0.2">
      <c r="E7726" s="332"/>
    </row>
    <row r="7727" spans="5:5" x14ac:dyDescent="0.2">
      <c r="E7727" s="332"/>
    </row>
    <row r="7728" spans="5:5" x14ac:dyDescent="0.2">
      <c r="E7728" s="332"/>
    </row>
    <row r="7729" spans="5:5" x14ac:dyDescent="0.2">
      <c r="E7729" s="332"/>
    </row>
    <row r="7730" spans="5:5" x14ac:dyDescent="0.2">
      <c r="E7730" s="332"/>
    </row>
    <row r="7731" spans="5:5" x14ac:dyDescent="0.2">
      <c r="E7731" s="332"/>
    </row>
    <row r="7732" spans="5:5" x14ac:dyDescent="0.2">
      <c r="E7732" s="332"/>
    </row>
    <row r="7733" spans="5:5" x14ac:dyDescent="0.2">
      <c r="E7733" s="332"/>
    </row>
    <row r="7734" spans="5:5" x14ac:dyDescent="0.2">
      <c r="E7734" s="332"/>
    </row>
    <row r="7735" spans="5:5" x14ac:dyDescent="0.2">
      <c r="E7735" s="332"/>
    </row>
    <row r="7736" spans="5:5" x14ac:dyDescent="0.2">
      <c r="E7736" s="332"/>
    </row>
    <row r="7737" spans="5:5" x14ac:dyDescent="0.2">
      <c r="E7737" s="332"/>
    </row>
    <row r="7738" spans="5:5" x14ac:dyDescent="0.2">
      <c r="E7738" s="332"/>
    </row>
    <row r="7739" spans="5:5" x14ac:dyDescent="0.2">
      <c r="E7739" s="332"/>
    </row>
    <row r="7740" spans="5:5" x14ac:dyDescent="0.2">
      <c r="E7740" s="332"/>
    </row>
    <row r="7741" spans="5:5" x14ac:dyDescent="0.2">
      <c r="E7741" s="332"/>
    </row>
    <row r="7742" spans="5:5" x14ac:dyDescent="0.2">
      <c r="E7742" s="332"/>
    </row>
    <row r="7743" spans="5:5" x14ac:dyDescent="0.2">
      <c r="E7743" s="332"/>
    </row>
    <row r="7744" spans="5:5" x14ac:dyDescent="0.2">
      <c r="E7744" s="332"/>
    </row>
    <row r="7745" spans="5:5" x14ac:dyDescent="0.2">
      <c r="E7745" s="332"/>
    </row>
    <row r="7746" spans="5:5" x14ac:dyDescent="0.2">
      <c r="E7746" s="332"/>
    </row>
    <row r="7747" spans="5:5" x14ac:dyDescent="0.2">
      <c r="E7747" s="332"/>
    </row>
    <row r="7748" spans="5:5" x14ac:dyDescent="0.2">
      <c r="E7748" s="332"/>
    </row>
    <row r="7749" spans="5:5" x14ac:dyDescent="0.2">
      <c r="E7749" s="332"/>
    </row>
    <row r="7750" spans="5:5" x14ac:dyDescent="0.2">
      <c r="E7750" s="332"/>
    </row>
    <row r="7751" spans="5:5" x14ac:dyDescent="0.2">
      <c r="E7751" s="332"/>
    </row>
    <row r="7752" spans="5:5" x14ac:dyDescent="0.2">
      <c r="E7752" s="332"/>
    </row>
    <row r="7753" spans="5:5" x14ac:dyDescent="0.2">
      <c r="E7753" s="332"/>
    </row>
    <row r="7754" spans="5:5" x14ac:dyDescent="0.2">
      <c r="E7754" s="332"/>
    </row>
    <row r="7755" spans="5:5" x14ac:dyDescent="0.2">
      <c r="E7755" s="332"/>
    </row>
    <row r="7756" spans="5:5" x14ac:dyDescent="0.2">
      <c r="E7756" s="332"/>
    </row>
    <row r="7757" spans="5:5" x14ac:dyDescent="0.2">
      <c r="E7757" s="332"/>
    </row>
    <row r="7758" spans="5:5" x14ac:dyDescent="0.2">
      <c r="E7758" s="332"/>
    </row>
    <row r="7759" spans="5:5" x14ac:dyDescent="0.2">
      <c r="E7759" s="332"/>
    </row>
    <row r="7760" spans="5:5" x14ac:dyDescent="0.2">
      <c r="E7760" s="332"/>
    </row>
    <row r="7761" spans="5:5" x14ac:dyDescent="0.2">
      <c r="E7761" s="332"/>
    </row>
    <row r="7762" spans="5:5" x14ac:dyDescent="0.2">
      <c r="E7762" s="332"/>
    </row>
    <row r="7763" spans="5:5" x14ac:dyDescent="0.2">
      <c r="E7763" s="332"/>
    </row>
    <row r="7764" spans="5:5" x14ac:dyDescent="0.2">
      <c r="E7764" s="332"/>
    </row>
    <row r="7765" spans="5:5" x14ac:dyDescent="0.2">
      <c r="E7765" s="332"/>
    </row>
    <row r="7766" spans="5:5" x14ac:dyDescent="0.2">
      <c r="E7766" s="332"/>
    </row>
    <row r="7767" spans="5:5" x14ac:dyDescent="0.2">
      <c r="E7767" s="332"/>
    </row>
    <row r="7768" spans="5:5" x14ac:dyDescent="0.2">
      <c r="E7768" s="332"/>
    </row>
    <row r="7769" spans="5:5" x14ac:dyDescent="0.2">
      <c r="E7769" s="332"/>
    </row>
    <row r="7770" spans="5:5" x14ac:dyDescent="0.2">
      <c r="E7770" s="332"/>
    </row>
    <row r="7771" spans="5:5" x14ac:dyDescent="0.2">
      <c r="E7771" s="332"/>
    </row>
    <row r="7772" spans="5:5" x14ac:dyDescent="0.2">
      <c r="E7772" s="332"/>
    </row>
    <row r="7773" spans="5:5" x14ac:dyDescent="0.2">
      <c r="E7773" s="332"/>
    </row>
    <row r="7774" spans="5:5" x14ac:dyDescent="0.2">
      <c r="E7774" s="332"/>
    </row>
    <row r="7775" spans="5:5" x14ac:dyDescent="0.2">
      <c r="E7775" s="332"/>
    </row>
    <row r="7776" spans="5:5" x14ac:dyDescent="0.2">
      <c r="E7776" s="332"/>
    </row>
    <row r="7777" spans="5:5" x14ac:dyDescent="0.2">
      <c r="E7777" s="332"/>
    </row>
    <row r="7778" spans="5:5" x14ac:dyDescent="0.2">
      <c r="E7778" s="332"/>
    </row>
    <row r="7779" spans="5:5" x14ac:dyDescent="0.2">
      <c r="E7779" s="332"/>
    </row>
    <row r="7780" spans="5:5" x14ac:dyDescent="0.2">
      <c r="E7780" s="332"/>
    </row>
    <row r="7781" spans="5:5" x14ac:dyDescent="0.2">
      <c r="E7781" s="332"/>
    </row>
    <row r="7782" spans="5:5" x14ac:dyDescent="0.2">
      <c r="E7782" s="332"/>
    </row>
    <row r="7783" spans="5:5" x14ac:dyDescent="0.2">
      <c r="E7783" s="332"/>
    </row>
    <row r="7784" spans="5:5" x14ac:dyDescent="0.2">
      <c r="E7784" s="332"/>
    </row>
    <row r="7785" spans="5:5" x14ac:dyDescent="0.2">
      <c r="E7785" s="332"/>
    </row>
    <row r="7786" spans="5:5" x14ac:dyDescent="0.2">
      <c r="E7786" s="332"/>
    </row>
    <row r="7787" spans="5:5" x14ac:dyDescent="0.2">
      <c r="E7787" s="332"/>
    </row>
    <row r="7788" spans="5:5" x14ac:dyDescent="0.2">
      <c r="E7788" s="332"/>
    </row>
    <row r="7789" spans="5:5" x14ac:dyDescent="0.2">
      <c r="E7789" s="332"/>
    </row>
    <row r="7790" spans="5:5" x14ac:dyDescent="0.2">
      <c r="E7790" s="332"/>
    </row>
    <row r="7791" spans="5:5" x14ac:dyDescent="0.2">
      <c r="E7791" s="332"/>
    </row>
    <row r="7792" spans="5:5" x14ac:dyDescent="0.2">
      <c r="E7792" s="332"/>
    </row>
    <row r="7793" spans="5:5" x14ac:dyDescent="0.2">
      <c r="E7793" s="332"/>
    </row>
    <row r="7794" spans="5:5" x14ac:dyDescent="0.2">
      <c r="E7794" s="332"/>
    </row>
    <row r="7795" spans="5:5" x14ac:dyDescent="0.2">
      <c r="E7795" s="332"/>
    </row>
    <row r="7796" spans="5:5" x14ac:dyDescent="0.2">
      <c r="E7796" s="332"/>
    </row>
    <row r="7797" spans="5:5" x14ac:dyDescent="0.2">
      <c r="E7797" s="332"/>
    </row>
    <row r="7798" spans="5:5" x14ac:dyDescent="0.2">
      <c r="E7798" s="332"/>
    </row>
    <row r="7799" spans="5:5" x14ac:dyDescent="0.2">
      <c r="E7799" s="332"/>
    </row>
    <row r="7800" spans="5:5" x14ac:dyDescent="0.2">
      <c r="E7800" s="332"/>
    </row>
    <row r="7801" spans="5:5" x14ac:dyDescent="0.2">
      <c r="E7801" s="332"/>
    </row>
    <row r="7802" spans="5:5" x14ac:dyDescent="0.2">
      <c r="E7802" s="332"/>
    </row>
    <row r="7803" spans="5:5" x14ac:dyDescent="0.2">
      <c r="E7803" s="332"/>
    </row>
    <row r="7804" spans="5:5" x14ac:dyDescent="0.2">
      <c r="E7804" s="332"/>
    </row>
    <row r="7805" spans="5:5" x14ac:dyDescent="0.2">
      <c r="E7805" s="332"/>
    </row>
    <row r="7806" spans="5:5" x14ac:dyDescent="0.2">
      <c r="E7806" s="332"/>
    </row>
    <row r="7807" spans="5:5" x14ac:dyDescent="0.2">
      <c r="E7807" s="332"/>
    </row>
    <row r="7808" spans="5:5" x14ac:dyDescent="0.2">
      <c r="E7808" s="332"/>
    </row>
    <row r="7809" spans="5:5" x14ac:dyDescent="0.2">
      <c r="E7809" s="332"/>
    </row>
    <row r="7810" spans="5:5" x14ac:dyDescent="0.2">
      <c r="E7810" s="332"/>
    </row>
    <row r="7811" spans="5:5" x14ac:dyDescent="0.2">
      <c r="E7811" s="332"/>
    </row>
    <row r="7812" spans="5:5" x14ac:dyDescent="0.2">
      <c r="E7812" s="332"/>
    </row>
    <row r="7813" spans="5:5" x14ac:dyDescent="0.2">
      <c r="E7813" s="332"/>
    </row>
    <row r="7814" spans="5:5" x14ac:dyDescent="0.2">
      <c r="E7814" s="332"/>
    </row>
    <row r="7815" spans="5:5" x14ac:dyDescent="0.2">
      <c r="E7815" s="332"/>
    </row>
    <row r="7816" spans="5:5" x14ac:dyDescent="0.2">
      <c r="E7816" s="332"/>
    </row>
    <row r="7817" spans="5:5" x14ac:dyDescent="0.2">
      <c r="E7817" s="332"/>
    </row>
    <row r="7818" spans="5:5" x14ac:dyDescent="0.2">
      <c r="E7818" s="332"/>
    </row>
    <row r="7819" spans="5:5" x14ac:dyDescent="0.2">
      <c r="E7819" s="332"/>
    </row>
    <row r="7820" spans="5:5" x14ac:dyDescent="0.2">
      <c r="E7820" s="332"/>
    </row>
    <row r="7821" spans="5:5" x14ac:dyDescent="0.2">
      <c r="E7821" s="332"/>
    </row>
    <row r="7822" spans="5:5" x14ac:dyDescent="0.2">
      <c r="E7822" s="332"/>
    </row>
    <row r="7823" spans="5:5" x14ac:dyDescent="0.2">
      <c r="E7823" s="332"/>
    </row>
    <row r="7824" spans="5:5" x14ac:dyDescent="0.2">
      <c r="E7824" s="332"/>
    </row>
    <row r="7825" spans="5:5" x14ac:dyDescent="0.2">
      <c r="E7825" s="332"/>
    </row>
    <row r="7826" spans="5:5" x14ac:dyDescent="0.2">
      <c r="E7826" s="332"/>
    </row>
    <row r="7827" spans="5:5" x14ac:dyDescent="0.2">
      <c r="E7827" s="332"/>
    </row>
    <row r="7828" spans="5:5" x14ac:dyDescent="0.2">
      <c r="E7828" s="332"/>
    </row>
    <row r="7829" spans="5:5" x14ac:dyDescent="0.2">
      <c r="E7829" s="332"/>
    </row>
    <row r="7830" spans="5:5" x14ac:dyDescent="0.2">
      <c r="E7830" s="332"/>
    </row>
    <row r="7831" spans="5:5" x14ac:dyDescent="0.2">
      <c r="E7831" s="332"/>
    </row>
    <row r="7832" spans="5:5" x14ac:dyDescent="0.2">
      <c r="E7832" s="332"/>
    </row>
    <row r="7833" spans="5:5" x14ac:dyDescent="0.2">
      <c r="E7833" s="332"/>
    </row>
    <row r="7834" spans="5:5" x14ac:dyDescent="0.2">
      <c r="E7834" s="332"/>
    </row>
    <row r="7835" spans="5:5" x14ac:dyDescent="0.2">
      <c r="E7835" s="332"/>
    </row>
    <row r="7836" spans="5:5" x14ac:dyDescent="0.2">
      <c r="E7836" s="332"/>
    </row>
    <row r="7837" spans="5:5" x14ac:dyDescent="0.2">
      <c r="E7837" s="332"/>
    </row>
    <row r="7838" spans="5:5" x14ac:dyDescent="0.2">
      <c r="E7838" s="332"/>
    </row>
    <row r="7839" spans="5:5" x14ac:dyDescent="0.2">
      <c r="E7839" s="332"/>
    </row>
    <row r="7840" spans="5:5" x14ac:dyDescent="0.2">
      <c r="E7840" s="332"/>
    </row>
    <row r="7841" spans="5:5" x14ac:dyDescent="0.2">
      <c r="E7841" s="332"/>
    </row>
    <row r="7842" spans="5:5" x14ac:dyDescent="0.2">
      <c r="E7842" s="332"/>
    </row>
    <row r="7843" spans="5:5" x14ac:dyDescent="0.2">
      <c r="E7843" s="332"/>
    </row>
    <row r="7844" spans="5:5" x14ac:dyDescent="0.2">
      <c r="E7844" s="332"/>
    </row>
    <row r="7845" spans="5:5" x14ac:dyDescent="0.2">
      <c r="E7845" s="332"/>
    </row>
    <row r="7846" spans="5:5" x14ac:dyDescent="0.2">
      <c r="E7846" s="332"/>
    </row>
    <row r="7847" spans="5:5" x14ac:dyDescent="0.2">
      <c r="E7847" s="332"/>
    </row>
    <row r="7848" spans="5:5" x14ac:dyDescent="0.2">
      <c r="E7848" s="332"/>
    </row>
    <row r="7849" spans="5:5" x14ac:dyDescent="0.2">
      <c r="E7849" s="332"/>
    </row>
    <row r="7850" spans="5:5" x14ac:dyDescent="0.2">
      <c r="E7850" s="332"/>
    </row>
    <row r="7851" spans="5:5" x14ac:dyDescent="0.2">
      <c r="E7851" s="332"/>
    </row>
    <row r="7852" spans="5:5" x14ac:dyDescent="0.2">
      <c r="E7852" s="332"/>
    </row>
    <row r="7853" spans="5:5" x14ac:dyDescent="0.2">
      <c r="E7853" s="332"/>
    </row>
    <row r="7854" spans="5:5" x14ac:dyDescent="0.2">
      <c r="E7854" s="332"/>
    </row>
    <row r="7855" spans="5:5" x14ac:dyDescent="0.2">
      <c r="E7855" s="332"/>
    </row>
    <row r="7856" spans="5:5" x14ac:dyDescent="0.2">
      <c r="E7856" s="332"/>
    </row>
    <row r="7857" spans="5:5" x14ac:dyDescent="0.2">
      <c r="E7857" s="332"/>
    </row>
    <row r="7858" spans="5:5" x14ac:dyDescent="0.2">
      <c r="E7858" s="332"/>
    </row>
    <row r="7859" spans="5:5" x14ac:dyDescent="0.2">
      <c r="E7859" s="332"/>
    </row>
    <row r="7860" spans="5:5" x14ac:dyDescent="0.2">
      <c r="E7860" s="332"/>
    </row>
    <row r="7861" spans="5:5" x14ac:dyDescent="0.2">
      <c r="E7861" s="332"/>
    </row>
    <row r="7862" spans="5:5" x14ac:dyDescent="0.2">
      <c r="E7862" s="332"/>
    </row>
    <row r="7863" spans="5:5" x14ac:dyDescent="0.2">
      <c r="E7863" s="332"/>
    </row>
    <row r="7864" spans="5:5" x14ac:dyDescent="0.2">
      <c r="E7864" s="332"/>
    </row>
    <row r="7865" spans="5:5" x14ac:dyDescent="0.2">
      <c r="E7865" s="332"/>
    </row>
    <row r="7866" spans="5:5" x14ac:dyDescent="0.2">
      <c r="E7866" s="332"/>
    </row>
    <row r="7867" spans="5:5" x14ac:dyDescent="0.2">
      <c r="E7867" s="332"/>
    </row>
    <row r="7868" spans="5:5" x14ac:dyDescent="0.2">
      <c r="E7868" s="332"/>
    </row>
    <row r="7869" spans="5:5" x14ac:dyDescent="0.2">
      <c r="E7869" s="332"/>
    </row>
    <row r="7870" spans="5:5" x14ac:dyDescent="0.2">
      <c r="E7870" s="332"/>
    </row>
    <row r="7871" spans="5:5" x14ac:dyDescent="0.2">
      <c r="E7871" s="332"/>
    </row>
    <row r="7872" spans="5:5" x14ac:dyDescent="0.2">
      <c r="E7872" s="332"/>
    </row>
    <row r="7873" spans="5:5" x14ac:dyDescent="0.2">
      <c r="E7873" s="332"/>
    </row>
    <row r="7874" spans="5:5" x14ac:dyDescent="0.2">
      <c r="E7874" s="332"/>
    </row>
    <row r="7875" spans="5:5" x14ac:dyDescent="0.2">
      <c r="E7875" s="332"/>
    </row>
    <row r="7876" spans="5:5" x14ac:dyDescent="0.2">
      <c r="E7876" s="332"/>
    </row>
    <row r="7877" spans="5:5" x14ac:dyDescent="0.2">
      <c r="E7877" s="332"/>
    </row>
    <row r="7878" spans="5:5" x14ac:dyDescent="0.2">
      <c r="E7878" s="332"/>
    </row>
    <row r="7879" spans="5:5" x14ac:dyDescent="0.2">
      <c r="E7879" s="332"/>
    </row>
    <row r="7880" spans="5:5" x14ac:dyDescent="0.2">
      <c r="E7880" s="332"/>
    </row>
    <row r="7881" spans="5:5" x14ac:dyDescent="0.2">
      <c r="E7881" s="332"/>
    </row>
    <row r="7882" spans="5:5" x14ac:dyDescent="0.2">
      <c r="E7882" s="332"/>
    </row>
    <row r="7883" spans="5:5" x14ac:dyDescent="0.2">
      <c r="E7883" s="332"/>
    </row>
    <row r="7884" spans="5:5" x14ac:dyDescent="0.2">
      <c r="E7884" s="332"/>
    </row>
    <row r="7885" spans="5:5" x14ac:dyDescent="0.2">
      <c r="E7885" s="332"/>
    </row>
    <row r="7886" spans="5:5" x14ac:dyDescent="0.2">
      <c r="E7886" s="332"/>
    </row>
    <row r="7887" spans="5:5" x14ac:dyDescent="0.2">
      <c r="E7887" s="332"/>
    </row>
    <row r="7888" spans="5:5" x14ac:dyDescent="0.2">
      <c r="E7888" s="332"/>
    </row>
    <row r="7889" spans="5:5" x14ac:dyDescent="0.2">
      <c r="E7889" s="332"/>
    </row>
    <row r="7890" spans="5:5" x14ac:dyDescent="0.2">
      <c r="E7890" s="332"/>
    </row>
    <row r="7891" spans="5:5" x14ac:dyDescent="0.2">
      <c r="E7891" s="332"/>
    </row>
    <row r="7892" spans="5:5" x14ac:dyDescent="0.2">
      <c r="E7892" s="332"/>
    </row>
    <row r="7893" spans="5:5" x14ac:dyDescent="0.2">
      <c r="E7893" s="332"/>
    </row>
    <row r="7894" spans="5:5" x14ac:dyDescent="0.2">
      <c r="E7894" s="332"/>
    </row>
    <row r="7895" spans="5:5" x14ac:dyDescent="0.2">
      <c r="E7895" s="332"/>
    </row>
    <row r="7896" spans="5:5" x14ac:dyDescent="0.2">
      <c r="E7896" s="332"/>
    </row>
    <row r="7897" spans="5:5" x14ac:dyDescent="0.2">
      <c r="E7897" s="332"/>
    </row>
    <row r="7898" spans="5:5" x14ac:dyDescent="0.2">
      <c r="E7898" s="332"/>
    </row>
    <row r="7899" spans="5:5" x14ac:dyDescent="0.2">
      <c r="E7899" s="332"/>
    </row>
    <row r="7900" spans="5:5" x14ac:dyDescent="0.2">
      <c r="E7900" s="332"/>
    </row>
    <row r="7901" spans="5:5" x14ac:dyDescent="0.2">
      <c r="E7901" s="332"/>
    </row>
    <row r="7902" spans="5:5" x14ac:dyDescent="0.2">
      <c r="E7902" s="332"/>
    </row>
    <row r="7903" spans="5:5" x14ac:dyDescent="0.2">
      <c r="E7903" s="332"/>
    </row>
    <row r="7904" spans="5:5" x14ac:dyDescent="0.2">
      <c r="E7904" s="332"/>
    </row>
    <row r="7905" spans="5:5" x14ac:dyDescent="0.2">
      <c r="E7905" s="332"/>
    </row>
    <row r="7906" spans="5:5" x14ac:dyDescent="0.2">
      <c r="E7906" s="332"/>
    </row>
    <row r="7907" spans="5:5" x14ac:dyDescent="0.2">
      <c r="E7907" s="332"/>
    </row>
    <row r="7908" spans="5:5" x14ac:dyDescent="0.2">
      <c r="E7908" s="332"/>
    </row>
    <row r="7909" spans="5:5" x14ac:dyDescent="0.2">
      <c r="E7909" s="332"/>
    </row>
    <row r="7910" spans="5:5" x14ac:dyDescent="0.2">
      <c r="E7910" s="332"/>
    </row>
    <row r="7911" spans="5:5" x14ac:dyDescent="0.2">
      <c r="E7911" s="332"/>
    </row>
    <row r="7912" spans="5:5" x14ac:dyDescent="0.2">
      <c r="E7912" s="332"/>
    </row>
    <row r="7913" spans="5:5" x14ac:dyDescent="0.2">
      <c r="E7913" s="332"/>
    </row>
    <row r="7914" spans="5:5" x14ac:dyDescent="0.2">
      <c r="E7914" s="332"/>
    </row>
    <row r="7915" spans="5:5" x14ac:dyDescent="0.2">
      <c r="E7915" s="332"/>
    </row>
    <row r="7916" spans="5:5" x14ac:dyDescent="0.2">
      <c r="E7916" s="332"/>
    </row>
    <row r="7917" spans="5:5" x14ac:dyDescent="0.2">
      <c r="E7917" s="332"/>
    </row>
    <row r="7918" spans="5:5" x14ac:dyDescent="0.2">
      <c r="E7918" s="332"/>
    </row>
    <row r="7919" spans="5:5" x14ac:dyDescent="0.2">
      <c r="E7919" s="332"/>
    </row>
    <row r="7920" spans="5:5" x14ac:dyDescent="0.2">
      <c r="E7920" s="332"/>
    </row>
    <row r="7921" spans="5:5" x14ac:dyDescent="0.2">
      <c r="E7921" s="332"/>
    </row>
    <row r="7922" spans="5:5" x14ac:dyDescent="0.2">
      <c r="E7922" s="332"/>
    </row>
    <row r="7923" spans="5:5" x14ac:dyDescent="0.2">
      <c r="E7923" s="332"/>
    </row>
    <row r="7924" spans="5:5" x14ac:dyDescent="0.2">
      <c r="E7924" s="332"/>
    </row>
    <row r="7925" spans="5:5" x14ac:dyDescent="0.2">
      <c r="E7925" s="332"/>
    </row>
    <row r="7926" spans="5:5" x14ac:dyDescent="0.2">
      <c r="E7926" s="332"/>
    </row>
    <row r="7927" spans="5:5" x14ac:dyDescent="0.2">
      <c r="E7927" s="332"/>
    </row>
    <row r="7928" spans="5:5" x14ac:dyDescent="0.2">
      <c r="E7928" s="332"/>
    </row>
    <row r="7929" spans="5:5" x14ac:dyDescent="0.2">
      <c r="E7929" s="332"/>
    </row>
    <row r="7930" spans="5:5" x14ac:dyDescent="0.2">
      <c r="E7930" s="332"/>
    </row>
    <row r="7931" spans="5:5" x14ac:dyDescent="0.2">
      <c r="E7931" s="332"/>
    </row>
    <row r="7932" spans="5:5" x14ac:dyDescent="0.2">
      <c r="E7932" s="332"/>
    </row>
    <row r="7933" spans="5:5" x14ac:dyDescent="0.2">
      <c r="E7933" s="332"/>
    </row>
    <row r="7934" spans="5:5" x14ac:dyDescent="0.2">
      <c r="E7934" s="332"/>
    </row>
    <row r="7935" spans="5:5" x14ac:dyDescent="0.2">
      <c r="E7935" s="332"/>
    </row>
    <row r="7936" spans="5:5" x14ac:dyDescent="0.2">
      <c r="E7936" s="332"/>
    </row>
    <row r="7937" spans="5:5" x14ac:dyDescent="0.2">
      <c r="E7937" s="332"/>
    </row>
    <row r="7938" spans="5:5" x14ac:dyDescent="0.2">
      <c r="E7938" s="332"/>
    </row>
    <row r="7939" spans="5:5" x14ac:dyDescent="0.2">
      <c r="E7939" s="332"/>
    </row>
    <row r="7940" spans="5:5" x14ac:dyDescent="0.2">
      <c r="E7940" s="332"/>
    </row>
    <row r="7941" spans="5:5" x14ac:dyDescent="0.2">
      <c r="E7941" s="332"/>
    </row>
    <row r="7942" spans="5:5" x14ac:dyDescent="0.2">
      <c r="E7942" s="332"/>
    </row>
    <row r="7943" spans="5:5" x14ac:dyDescent="0.2">
      <c r="E7943" s="332"/>
    </row>
    <row r="7944" spans="5:5" x14ac:dyDescent="0.2">
      <c r="E7944" s="332"/>
    </row>
    <row r="7945" spans="5:5" x14ac:dyDescent="0.2">
      <c r="E7945" s="332"/>
    </row>
    <row r="7946" spans="5:5" x14ac:dyDescent="0.2">
      <c r="E7946" s="332"/>
    </row>
    <row r="7947" spans="5:5" x14ac:dyDescent="0.2">
      <c r="E7947" s="332"/>
    </row>
    <row r="7948" spans="5:5" x14ac:dyDescent="0.2">
      <c r="E7948" s="332"/>
    </row>
    <row r="7949" spans="5:5" x14ac:dyDescent="0.2">
      <c r="E7949" s="332"/>
    </row>
    <row r="7950" spans="5:5" x14ac:dyDescent="0.2">
      <c r="E7950" s="332"/>
    </row>
    <row r="7951" spans="5:5" x14ac:dyDescent="0.2">
      <c r="E7951" s="332"/>
    </row>
    <row r="7952" spans="5:5" x14ac:dyDescent="0.2">
      <c r="E7952" s="332"/>
    </row>
    <row r="7953" spans="5:5" x14ac:dyDescent="0.2">
      <c r="E7953" s="332"/>
    </row>
    <row r="7954" spans="5:5" x14ac:dyDescent="0.2">
      <c r="E7954" s="332"/>
    </row>
    <row r="7955" spans="5:5" x14ac:dyDescent="0.2">
      <c r="E7955" s="332"/>
    </row>
    <row r="7956" spans="5:5" x14ac:dyDescent="0.2">
      <c r="E7956" s="332"/>
    </row>
    <row r="7957" spans="5:5" x14ac:dyDescent="0.2">
      <c r="E7957" s="332"/>
    </row>
    <row r="7958" spans="5:5" x14ac:dyDescent="0.2">
      <c r="E7958" s="332"/>
    </row>
    <row r="7959" spans="5:5" x14ac:dyDescent="0.2">
      <c r="E7959" s="332"/>
    </row>
    <row r="7960" spans="5:5" x14ac:dyDescent="0.2">
      <c r="E7960" s="332"/>
    </row>
    <row r="7961" spans="5:5" x14ac:dyDescent="0.2">
      <c r="E7961" s="332"/>
    </row>
    <row r="7962" spans="5:5" x14ac:dyDescent="0.2">
      <c r="E7962" s="332"/>
    </row>
    <row r="7963" spans="5:5" x14ac:dyDescent="0.2">
      <c r="E7963" s="332"/>
    </row>
    <row r="7964" spans="5:5" x14ac:dyDescent="0.2">
      <c r="E7964" s="332"/>
    </row>
    <row r="7965" spans="5:5" x14ac:dyDescent="0.2">
      <c r="E7965" s="332"/>
    </row>
    <row r="7966" spans="5:5" x14ac:dyDescent="0.2">
      <c r="E7966" s="332"/>
    </row>
    <row r="7967" spans="5:5" x14ac:dyDescent="0.2">
      <c r="E7967" s="332"/>
    </row>
    <row r="7968" spans="5:5" x14ac:dyDescent="0.2">
      <c r="E7968" s="332"/>
    </row>
    <row r="7969" spans="5:5" x14ac:dyDescent="0.2">
      <c r="E7969" s="332"/>
    </row>
    <row r="7970" spans="5:5" x14ac:dyDescent="0.2">
      <c r="E7970" s="332"/>
    </row>
    <row r="7971" spans="5:5" x14ac:dyDescent="0.2">
      <c r="E7971" s="332"/>
    </row>
    <row r="7972" spans="5:5" x14ac:dyDescent="0.2">
      <c r="E7972" s="332"/>
    </row>
    <row r="7973" spans="5:5" x14ac:dyDescent="0.2">
      <c r="E7973" s="332"/>
    </row>
    <row r="7974" spans="5:5" x14ac:dyDescent="0.2">
      <c r="E7974" s="332"/>
    </row>
    <row r="7975" spans="5:5" x14ac:dyDescent="0.2">
      <c r="E7975" s="332"/>
    </row>
    <row r="7976" spans="5:5" x14ac:dyDescent="0.2">
      <c r="E7976" s="332"/>
    </row>
    <row r="7977" spans="5:5" x14ac:dyDescent="0.2">
      <c r="E7977" s="332"/>
    </row>
    <row r="7978" spans="5:5" x14ac:dyDescent="0.2">
      <c r="E7978" s="332"/>
    </row>
    <row r="7979" spans="5:5" x14ac:dyDescent="0.2">
      <c r="E7979" s="332"/>
    </row>
    <row r="7980" spans="5:5" x14ac:dyDescent="0.2">
      <c r="E7980" s="332"/>
    </row>
    <row r="7981" spans="5:5" x14ac:dyDescent="0.2">
      <c r="E7981" s="332"/>
    </row>
    <row r="7982" spans="5:5" x14ac:dyDescent="0.2">
      <c r="E7982" s="332"/>
    </row>
    <row r="7983" spans="5:5" x14ac:dyDescent="0.2">
      <c r="E7983" s="332"/>
    </row>
    <row r="7984" spans="5:5" x14ac:dyDescent="0.2">
      <c r="E7984" s="332"/>
    </row>
    <row r="7985" spans="5:5" x14ac:dyDescent="0.2">
      <c r="E7985" s="332"/>
    </row>
    <row r="7986" spans="5:5" x14ac:dyDescent="0.2">
      <c r="E7986" s="332"/>
    </row>
    <row r="7987" spans="5:5" x14ac:dyDescent="0.2">
      <c r="E7987" s="332"/>
    </row>
    <row r="7988" spans="5:5" x14ac:dyDescent="0.2">
      <c r="E7988" s="332"/>
    </row>
    <row r="7989" spans="5:5" x14ac:dyDescent="0.2">
      <c r="E7989" s="332"/>
    </row>
    <row r="7990" spans="5:5" x14ac:dyDescent="0.2">
      <c r="E7990" s="332"/>
    </row>
    <row r="7991" spans="5:5" x14ac:dyDescent="0.2">
      <c r="E7991" s="332"/>
    </row>
    <row r="7992" spans="5:5" x14ac:dyDescent="0.2">
      <c r="E7992" s="332"/>
    </row>
    <row r="7993" spans="5:5" x14ac:dyDescent="0.2">
      <c r="E7993" s="332"/>
    </row>
    <row r="7994" spans="5:5" x14ac:dyDescent="0.2">
      <c r="E7994" s="332"/>
    </row>
    <row r="7995" spans="5:5" x14ac:dyDescent="0.2">
      <c r="E7995" s="332"/>
    </row>
    <row r="7996" spans="5:5" x14ac:dyDescent="0.2">
      <c r="E7996" s="332"/>
    </row>
    <row r="7997" spans="5:5" x14ac:dyDescent="0.2">
      <c r="E7997" s="332"/>
    </row>
    <row r="7998" spans="5:5" x14ac:dyDescent="0.2">
      <c r="E7998" s="332"/>
    </row>
    <row r="7999" spans="5:5" x14ac:dyDescent="0.2">
      <c r="E7999" s="332"/>
    </row>
    <row r="8000" spans="5:5" x14ac:dyDescent="0.2">
      <c r="E8000" s="332"/>
    </row>
    <row r="8001" spans="5:5" x14ac:dyDescent="0.2">
      <c r="E8001" s="332"/>
    </row>
    <row r="8002" spans="5:5" x14ac:dyDescent="0.2">
      <c r="E8002" s="332"/>
    </row>
    <row r="8003" spans="5:5" x14ac:dyDescent="0.2">
      <c r="E8003" s="332"/>
    </row>
    <row r="8004" spans="5:5" x14ac:dyDescent="0.2">
      <c r="E8004" s="332"/>
    </row>
    <row r="8005" spans="5:5" x14ac:dyDescent="0.2">
      <c r="E8005" s="332"/>
    </row>
    <row r="8006" spans="5:5" x14ac:dyDescent="0.2">
      <c r="E8006" s="332"/>
    </row>
    <row r="8007" spans="5:5" x14ac:dyDescent="0.2">
      <c r="E8007" s="332"/>
    </row>
    <row r="8008" spans="5:5" x14ac:dyDescent="0.2">
      <c r="E8008" s="332"/>
    </row>
    <row r="8009" spans="5:5" x14ac:dyDescent="0.2">
      <c r="E8009" s="332"/>
    </row>
    <row r="8010" spans="5:5" x14ac:dyDescent="0.2">
      <c r="E8010" s="332"/>
    </row>
    <row r="8011" spans="5:5" x14ac:dyDescent="0.2">
      <c r="E8011" s="332"/>
    </row>
    <row r="8012" spans="5:5" x14ac:dyDescent="0.2">
      <c r="E8012" s="332"/>
    </row>
    <row r="8013" spans="5:5" x14ac:dyDescent="0.2">
      <c r="E8013" s="332"/>
    </row>
    <row r="8014" spans="5:5" x14ac:dyDescent="0.2">
      <c r="E8014" s="332"/>
    </row>
    <row r="8015" spans="5:5" x14ac:dyDescent="0.2">
      <c r="E8015" s="332"/>
    </row>
    <row r="8016" spans="5:5" x14ac:dyDescent="0.2">
      <c r="E8016" s="332"/>
    </row>
    <row r="8017" spans="5:5" x14ac:dyDescent="0.2">
      <c r="E8017" s="332"/>
    </row>
    <row r="8018" spans="5:5" x14ac:dyDescent="0.2">
      <c r="E8018" s="332"/>
    </row>
    <row r="8019" spans="5:5" x14ac:dyDescent="0.2">
      <c r="E8019" s="332"/>
    </row>
    <row r="8020" spans="5:5" x14ac:dyDescent="0.2">
      <c r="E8020" s="332"/>
    </row>
    <row r="8021" spans="5:5" x14ac:dyDescent="0.2">
      <c r="E8021" s="332"/>
    </row>
    <row r="8022" spans="5:5" x14ac:dyDescent="0.2">
      <c r="E8022" s="332"/>
    </row>
    <row r="8023" spans="5:5" x14ac:dyDescent="0.2">
      <c r="E8023" s="332"/>
    </row>
    <row r="8024" spans="5:5" x14ac:dyDescent="0.2">
      <c r="E8024" s="332"/>
    </row>
    <row r="8025" spans="5:5" x14ac:dyDescent="0.2">
      <c r="E8025" s="332"/>
    </row>
    <row r="8026" spans="5:5" x14ac:dyDescent="0.2">
      <c r="E8026" s="332"/>
    </row>
    <row r="8027" spans="5:5" x14ac:dyDescent="0.2">
      <c r="E8027" s="332"/>
    </row>
    <row r="8028" spans="5:5" x14ac:dyDescent="0.2">
      <c r="E8028" s="332"/>
    </row>
    <row r="8029" spans="5:5" x14ac:dyDescent="0.2">
      <c r="E8029" s="332"/>
    </row>
    <row r="8030" spans="5:5" x14ac:dyDescent="0.2">
      <c r="E8030" s="332"/>
    </row>
    <row r="8031" spans="5:5" x14ac:dyDescent="0.2">
      <c r="E8031" s="332"/>
    </row>
    <row r="8032" spans="5:5" x14ac:dyDescent="0.2">
      <c r="E8032" s="332"/>
    </row>
    <row r="8033" spans="5:5" x14ac:dyDescent="0.2">
      <c r="E8033" s="332"/>
    </row>
    <row r="8034" spans="5:5" x14ac:dyDescent="0.2">
      <c r="E8034" s="332"/>
    </row>
    <row r="8035" spans="5:5" x14ac:dyDescent="0.2">
      <c r="E8035" s="332"/>
    </row>
    <row r="8036" spans="5:5" x14ac:dyDescent="0.2">
      <c r="E8036" s="332"/>
    </row>
    <row r="8037" spans="5:5" x14ac:dyDescent="0.2">
      <c r="E8037" s="332"/>
    </row>
    <row r="8038" spans="5:5" x14ac:dyDescent="0.2">
      <c r="E8038" s="332"/>
    </row>
    <row r="8039" spans="5:5" x14ac:dyDescent="0.2">
      <c r="E8039" s="332"/>
    </row>
    <row r="8040" spans="5:5" x14ac:dyDescent="0.2">
      <c r="E8040" s="332"/>
    </row>
    <row r="8041" spans="5:5" x14ac:dyDescent="0.2">
      <c r="E8041" s="332"/>
    </row>
    <row r="8042" spans="5:5" x14ac:dyDescent="0.2">
      <c r="E8042" s="332"/>
    </row>
    <row r="8043" spans="5:5" x14ac:dyDescent="0.2">
      <c r="E8043" s="332"/>
    </row>
    <row r="8044" spans="5:5" x14ac:dyDescent="0.2">
      <c r="E8044" s="332"/>
    </row>
    <row r="8045" spans="5:5" x14ac:dyDescent="0.2">
      <c r="E8045" s="332"/>
    </row>
    <row r="8046" spans="5:5" x14ac:dyDescent="0.2">
      <c r="E8046" s="332"/>
    </row>
    <row r="8047" spans="5:5" x14ac:dyDescent="0.2">
      <c r="E8047" s="332"/>
    </row>
    <row r="8048" spans="5:5" x14ac:dyDescent="0.2">
      <c r="E8048" s="332"/>
    </row>
    <row r="8049" spans="5:5" x14ac:dyDescent="0.2">
      <c r="E8049" s="332"/>
    </row>
    <row r="8050" spans="5:5" x14ac:dyDescent="0.2">
      <c r="E8050" s="332"/>
    </row>
    <row r="8051" spans="5:5" x14ac:dyDescent="0.2">
      <c r="E8051" s="332"/>
    </row>
    <row r="8052" spans="5:5" x14ac:dyDescent="0.2">
      <c r="E8052" s="332"/>
    </row>
    <row r="8053" spans="5:5" x14ac:dyDescent="0.2">
      <c r="E8053" s="332"/>
    </row>
    <row r="8054" spans="5:5" x14ac:dyDescent="0.2">
      <c r="E8054" s="332"/>
    </row>
    <row r="8055" spans="5:5" x14ac:dyDescent="0.2">
      <c r="E8055" s="332"/>
    </row>
    <row r="8056" spans="5:5" x14ac:dyDescent="0.2">
      <c r="E8056" s="332"/>
    </row>
    <row r="8057" spans="5:5" x14ac:dyDescent="0.2">
      <c r="E8057" s="332"/>
    </row>
    <row r="8058" spans="5:5" x14ac:dyDescent="0.2">
      <c r="E8058" s="332"/>
    </row>
    <row r="8059" spans="5:5" x14ac:dyDescent="0.2">
      <c r="E8059" s="332"/>
    </row>
    <row r="8060" spans="5:5" x14ac:dyDescent="0.2">
      <c r="E8060" s="332"/>
    </row>
    <row r="8061" spans="5:5" x14ac:dyDescent="0.2">
      <c r="E8061" s="332"/>
    </row>
    <row r="8062" spans="5:5" x14ac:dyDescent="0.2">
      <c r="E8062" s="332"/>
    </row>
    <row r="8063" spans="5:5" x14ac:dyDescent="0.2">
      <c r="E8063" s="332"/>
    </row>
    <row r="8064" spans="5:5" x14ac:dyDescent="0.2">
      <c r="E8064" s="332"/>
    </row>
    <row r="8065" spans="5:5" x14ac:dyDescent="0.2">
      <c r="E8065" s="332"/>
    </row>
    <row r="8066" spans="5:5" x14ac:dyDescent="0.2">
      <c r="E8066" s="332"/>
    </row>
    <row r="8067" spans="5:5" x14ac:dyDescent="0.2">
      <c r="E8067" s="332"/>
    </row>
    <row r="8068" spans="5:5" x14ac:dyDescent="0.2">
      <c r="E8068" s="332"/>
    </row>
    <row r="8069" spans="5:5" x14ac:dyDescent="0.2">
      <c r="E8069" s="332"/>
    </row>
    <row r="8070" spans="5:5" x14ac:dyDescent="0.2">
      <c r="E8070" s="332"/>
    </row>
    <row r="8071" spans="5:5" x14ac:dyDescent="0.2">
      <c r="E8071" s="332"/>
    </row>
    <row r="8072" spans="5:5" x14ac:dyDescent="0.2">
      <c r="E8072" s="332"/>
    </row>
    <row r="8073" spans="5:5" x14ac:dyDescent="0.2">
      <c r="E8073" s="332"/>
    </row>
    <row r="8074" spans="5:5" x14ac:dyDescent="0.2">
      <c r="E8074" s="332"/>
    </row>
    <row r="8075" spans="5:5" x14ac:dyDescent="0.2">
      <c r="E8075" s="332"/>
    </row>
    <row r="8076" spans="5:5" x14ac:dyDescent="0.2">
      <c r="E8076" s="332"/>
    </row>
    <row r="8077" spans="5:5" x14ac:dyDescent="0.2">
      <c r="E8077" s="332"/>
    </row>
    <row r="8078" spans="5:5" x14ac:dyDescent="0.2">
      <c r="E8078" s="332"/>
    </row>
    <row r="8079" spans="5:5" x14ac:dyDescent="0.2">
      <c r="E8079" s="332"/>
    </row>
    <row r="8080" spans="5:5" x14ac:dyDescent="0.2">
      <c r="E8080" s="332"/>
    </row>
    <row r="8081" spans="5:5" x14ac:dyDescent="0.2">
      <c r="E8081" s="332"/>
    </row>
    <row r="8082" spans="5:5" x14ac:dyDescent="0.2">
      <c r="E8082" s="332"/>
    </row>
    <row r="8083" spans="5:5" x14ac:dyDescent="0.2">
      <c r="E8083" s="332"/>
    </row>
    <row r="8084" spans="5:5" x14ac:dyDescent="0.2">
      <c r="E8084" s="332"/>
    </row>
    <row r="8085" spans="5:5" x14ac:dyDescent="0.2">
      <c r="E8085" s="332"/>
    </row>
    <row r="8086" spans="5:5" x14ac:dyDescent="0.2">
      <c r="E8086" s="332"/>
    </row>
    <row r="8087" spans="5:5" x14ac:dyDescent="0.2">
      <c r="E8087" s="332"/>
    </row>
    <row r="8088" spans="5:5" x14ac:dyDescent="0.2">
      <c r="E8088" s="332"/>
    </row>
    <row r="8089" spans="5:5" x14ac:dyDescent="0.2">
      <c r="E8089" s="332"/>
    </row>
    <row r="8090" spans="5:5" x14ac:dyDescent="0.2">
      <c r="E8090" s="332"/>
    </row>
    <row r="8091" spans="5:5" x14ac:dyDescent="0.2">
      <c r="E8091" s="332"/>
    </row>
    <row r="8092" spans="5:5" x14ac:dyDescent="0.2">
      <c r="E8092" s="332"/>
    </row>
    <row r="8093" spans="5:5" x14ac:dyDescent="0.2">
      <c r="E8093" s="332"/>
    </row>
    <row r="8094" spans="5:5" x14ac:dyDescent="0.2">
      <c r="E8094" s="332"/>
    </row>
    <row r="8095" spans="5:5" x14ac:dyDescent="0.2">
      <c r="E8095" s="332"/>
    </row>
    <row r="8096" spans="5:5" x14ac:dyDescent="0.2">
      <c r="E8096" s="332"/>
    </row>
    <row r="8097" spans="5:5" x14ac:dyDescent="0.2">
      <c r="E8097" s="332"/>
    </row>
    <row r="8098" spans="5:5" x14ac:dyDescent="0.2">
      <c r="E8098" s="332"/>
    </row>
    <row r="8099" spans="5:5" x14ac:dyDescent="0.2">
      <c r="E8099" s="332"/>
    </row>
    <row r="8100" spans="5:5" x14ac:dyDescent="0.2">
      <c r="E8100" s="332"/>
    </row>
    <row r="8101" spans="5:5" x14ac:dyDescent="0.2">
      <c r="E8101" s="332"/>
    </row>
    <row r="8102" spans="5:5" x14ac:dyDescent="0.2">
      <c r="E8102" s="332"/>
    </row>
    <row r="8103" spans="5:5" x14ac:dyDescent="0.2">
      <c r="E8103" s="332"/>
    </row>
    <row r="8104" spans="5:5" x14ac:dyDescent="0.2">
      <c r="E8104" s="332"/>
    </row>
    <row r="8105" spans="5:5" x14ac:dyDescent="0.2">
      <c r="E8105" s="332"/>
    </row>
    <row r="8106" spans="5:5" x14ac:dyDescent="0.2">
      <c r="E8106" s="332"/>
    </row>
    <row r="8107" spans="5:5" x14ac:dyDescent="0.2">
      <c r="E8107" s="332"/>
    </row>
    <row r="8108" spans="5:5" x14ac:dyDescent="0.2">
      <c r="E8108" s="332"/>
    </row>
    <row r="8109" spans="5:5" x14ac:dyDescent="0.2">
      <c r="E8109" s="332"/>
    </row>
    <row r="8110" spans="5:5" x14ac:dyDescent="0.2">
      <c r="E8110" s="332"/>
    </row>
    <row r="8111" spans="5:5" x14ac:dyDescent="0.2">
      <c r="E8111" s="332"/>
    </row>
    <row r="8112" spans="5:5" x14ac:dyDescent="0.2">
      <c r="E8112" s="332"/>
    </row>
    <row r="8113" spans="5:5" x14ac:dyDescent="0.2">
      <c r="E8113" s="332"/>
    </row>
    <row r="8114" spans="5:5" x14ac:dyDescent="0.2">
      <c r="E8114" s="332"/>
    </row>
    <row r="8115" spans="5:5" x14ac:dyDescent="0.2">
      <c r="E8115" s="332"/>
    </row>
    <row r="8116" spans="5:5" x14ac:dyDescent="0.2">
      <c r="E8116" s="332"/>
    </row>
    <row r="8117" spans="5:5" x14ac:dyDescent="0.2">
      <c r="E8117" s="332"/>
    </row>
    <row r="8118" spans="5:5" x14ac:dyDescent="0.2">
      <c r="E8118" s="332"/>
    </row>
    <row r="8119" spans="5:5" x14ac:dyDescent="0.2">
      <c r="E8119" s="332"/>
    </row>
    <row r="8120" spans="5:5" x14ac:dyDescent="0.2">
      <c r="E8120" s="332"/>
    </row>
    <row r="8121" spans="5:5" x14ac:dyDescent="0.2">
      <c r="E8121" s="332"/>
    </row>
    <row r="8122" spans="5:5" x14ac:dyDescent="0.2">
      <c r="E8122" s="332"/>
    </row>
    <row r="8123" spans="5:5" x14ac:dyDescent="0.2">
      <c r="E8123" s="332"/>
    </row>
    <row r="8124" spans="5:5" x14ac:dyDescent="0.2">
      <c r="E8124" s="332"/>
    </row>
    <row r="8125" spans="5:5" x14ac:dyDescent="0.2">
      <c r="E8125" s="332"/>
    </row>
    <row r="8126" spans="5:5" x14ac:dyDescent="0.2">
      <c r="E8126" s="332"/>
    </row>
    <row r="8127" spans="5:5" x14ac:dyDescent="0.2">
      <c r="E8127" s="332"/>
    </row>
    <row r="8128" spans="5:5" x14ac:dyDescent="0.2">
      <c r="E8128" s="332"/>
    </row>
    <row r="8129" spans="5:5" x14ac:dyDescent="0.2">
      <c r="E8129" s="332"/>
    </row>
    <row r="8130" spans="5:5" x14ac:dyDescent="0.2">
      <c r="E8130" s="332"/>
    </row>
    <row r="8131" spans="5:5" x14ac:dyDescent="0.2">
      <c r="E8131" s="332"/>
    </row>
    <row r="8132" spans="5:5" x14ac:dyDescent="0.2">
      <c r="E8132" s="332"/>
    </row>
    <row r="8133" spans="5:5" x14ac:dyDescent="0.2">
      <c r="E8133" s="332"/>
    </row>
    <row r="8134" spans="5:5" x14ac:dyDescent="0.2">
      <c r="E8134" s="332"/>
    </row>
    <row r="8135" spans="5:5" x14ac:dyDescent="0.2">
      <c r="E8135" s="332"/>
    </row>
    <row r="8136" spans="5:5" x14ac:dyDescent="0.2">
      <c r="E8136" s="332"/>
    </row>
    <row r="8137" spans="5:5" x14ac:dyDescent="0.2">
      <c r="E8137" s="332"/>
    </row>
    <row r="8138" spans="5:5" x14ac:dyDescent="0.2">
      <c r="E8138" s="332"/>
    </row>
    <row r="8139" spans="5:5" x14ac:dyDescent="0.2">
      <c r="E8139" s="332"/>
    </row>
    <row r="8140" spans="5:5" x14ac:dyDescent="0.2">
      <c r="E8140" s="332"/>
    </row>
    <row r="8141" spans="5:5" x14ac:dyDescent="0.2">
      <c r="E8141" s="332"/>
    </row>
    <row r="8142" spans="5:5" x14ac:dyDescent="0.2">
      <c r="E8142" s="332"/>
    </row>
    <row r="8143" spans="5:5" x14ac:dyDescent="0.2">
      <c r="E8143" s="332"/>
    </row>
    <row r="8144" spans="5:5" x14ac:dyDescent="0.2">
      <c r="E8144" s="332"/>
    </row>
    <row r="8145" spans="5:5" x14ac:dyDescent="0.2">
      <c r="E8145" s="332"/>
    </row>
    <row r="8146" spans="5:5" x14ac:dyDescent="0.2">
      <c r="E8146" s="332"/>
    </row>
    <row r="8147" spans="5:5" x14ac:dyDescent="0.2">
      <c r="E8147" s="332"/>
    </row>
    <row r="8148" spans="5:5" x14ac:dyDescent="0.2">
      <c r="E8148" s="332"/>
    </row>
    <row r="8149" spans="5:5" x14ac:dyDescent="0.2">
      <c r="E8149" s="332"/>
    </row>
    <row r="8150" spans="5:5" x14ac:dyDescent="0.2">
      <c r="E8150" s="332"/>
    </row>
    <row r="8151" spans="5:5" x14ac:dyDescent="0.2">
      <c r="E8151" s="332"/>
    </row>
    <row r="8152" spans="5:5" x14ac:dyDescent="0.2">
      <c r="E8152" s="332"/>
    </row>
    <row r="8153" spans="5:5" x14ac:dyDescent="0.2">
      <c r="E8153" s="332"/>
    </row>
    <row r="8154" spans="5:5" x14ac:dyDescent="0.2">
      <c r="E8154" s="332"/>
    </row>
    <row r="8155" spans="5:5" x14ac:dyDescent="0.2">
      <c r="E8155" s="332"/>
    </row>
    <row r="8156" spans="5:5" x14ac:dyDescent="0.2">
      <c r="E8156" s="332"/>
    </row>
    <row r="8157" spans="5:5" x14ac:dyDescent="0.2">
      <c r="E8157" s="332"/>
    </row>
    <row r="8158" spans="5:5" x14ac:dyDescent="0.2">
      <c r="E8158" s="332"/>
    </row>
    <row r="8159" spans="5:5" x14ac:dyDescent="0.2">
      <c r="E8159" s="332"/>
    </row>
    <row r="8160" spans="5:5" x14ac:dyDescent="0.2">
      <c r="E8160" s="332"/>
    </row>
    <row r="8161" spans="5:5" x14ac:dyDescent="0.2">
      <c r="E8161" s="332"/>
    </row>
    <row r="8162" spans="5:5" x14ac:dyDescent="0.2">
      <c r="E8162" s="332"/>
    </row>
    <row r="8163" spans="5:5" x14ac:dyDescent="0.2">
      <c r="E8163" s="332"/>
    </row>
    <row r="8164" spans="5:5" x14ac:dyDescent="0.2">
      <c r="E8164" s="332"/>
    </row>
    <row r="8165" spans="5:5" x14ac:dyDescent="0.2">
      <c r="E8165" s="332"/>
    </row>
    <row r="8166" spans="5:5" x14ac:dyDescent="0.2">
      <c r="E8166" s="332"/>
    </row>
    <row r="8167" spans="5:5" x14ac:dyDescent="0.2">
      <c r="E8167" s="332"/>
    </row>
    <row r="8168" spans="5:5" x14ac:dyDescent="0.2">
      <c r="E8168" s="332"/>
    </row>
    <row r="8169" spans="5:5" x14ac:dyDescent="0.2">
      <c r="E8169" s="332"/>
    </row>
    <row r="8170" spans="5:5" x14ac:dyDescent="0.2">
      <c r="E8170" s="332"/>
    </row>
    <row r="8171" spans="5:5" x14ac:dyDescent="0.2">
      <c r="E8171" s="332"/>
    </row>
    <row r="8172" spans="5:5" x14ac:dyDescent="0.2">
      <c r="E8172" s="332"/>
    </row>
    <row r="8173" spans="5:5" x14ac:dyDescent="0.2">
      <c r="E8173" s="332"/>
    </row>
    <row r="8174" spans="5:5" x14ac:dyDescent="0.2">
      <c r="E8174" s="332"/>
    </row>
    <row r="8175" spans="5:5" x14ac:dyDescent="0.2">
      <c r="E8175" s="332"/>
    </row>
    <row r="8176" spans="5:5" x14ac:dyDescent="0.2">
      <c r="E8176" s="332"/>
    </row>
    <row r="8177" spans="5:5" x14ac:dyDescent="0.2">
      <c r="E8177" s="332"/>
    </row>
    <row r="8178" spans="5:5" x14ac:dyDescent="0.2">
      <c r="E8178" s="332"/>
    </row>
    <row r="8179" spans="5:5" x14ac:dyDescent="0.2">
      <c r="E8179" s="332"/>
    </row>
    <row r="8180" spans="5:5" x14ac:dyDescent="0.2">
      <c r="E8180" s="332"/>
    </row>
    <row r="8181" spans="5:5" x14ac:dyDescent="0.2">
      <c r="E8181" s="332"/>
    </row>
    <row r="8182" spans="5:5" x14ac:dyDescent="0.2">
      <c r="E8182" s="332"/>
    </row>
    <row r="8183" spans="5:5" x14ac:dyDescent="0.2">
      <c r="E8183" s="332"/>
    </row>
    <row r="8184" spans="5:5" x14ac:dyDescent="0.2">
      <c r="E8184" s="332"/>
    </row>
    <row r="8185" spans="5:5" x14ac:dyDescent="0.2">
      <c r="E8185" s="332"/>
    </row>
    <row r="8186" spans="5:5" x14ac:dyDescent="0.2">
      <c r="E8186" s="332"/>
    </row>
    <row r="8187" spans="5:5" x14ac:dyDescent="0.2">
      <c r="E8187" s="332"/>
    </row>
    <row r="8188" spans="5:5" x14ac:dyDescent="0.2">
      <c r="E8188" s="332"/>
    </row>
    <row r="8189" spans="5:5" x14ac:dyDescent="0.2">
      <c r="E8189" s="332"/>
    </row>
    <row r="8190" spans="5:5" x14ac:dyDescent="0.2">
      <c r="E8190" s="332"/>
    </row>
    <row r="8191" spans="5:5" x14ac:dyDescent="0.2">
      <c r="E8191" s="332"/>
    </row>
    <row r="8192" spans="5:5" x14ac:dyDescent="0.2">
      <c r="E8192" s="332"/>
    </row>
    <row r="8193" spans="5:5" x14ac:dyDescent="0.2">
      <c r="E8193" s="332"/>
    </row>
    <row r="8194" spans="5:5" x14ac:dyDescent="0.2">
      <c r="E8194" s="332"/>
    </row>
    <row r="8195" spans="5:5" x14ac:dyDescent="0.2">
      <c r="E8195" s="332"/>
    </row>
    <row r="8196" spans="5:5" x14ac:dyDescent="0.2">
      <c r="E8196" s="332"/>
    </row>
    <row r="8197" spans="5:5" x14ac:dyDescent="0.2">
      <c r="E8197" s="332"/>
    </row>
    <row r="8198" spans="5:5" x14ac:dyDescent="0.2">
      <c r="E8198" s="332"/>
    </row>
    <row r="8199" spans="5:5" x14ac:dyDescent="0.2">
      <c r="E8199" s="332"/>
    </row>
    <row r="8200" spans="5:5" x14ac:dyDescent="0.2">
      <c r="E8200" s="332"/>
    </row>
    <row r="8201" spans="5:5" x14ac:dyDescent="0.2">
      <c r="E8201" s="332"/>
    </row>
    <row r="8202" spans="5:5" x14ac:dyDescent="0.2">
      <c r="E8202" s="332"/>
    </row>
    <row r="8203" spans="5:5" x14ac:dyDescent="0.2">
      <c r="E8203" s="332"/>
    </row>
    <row r="8204" spans="5:5" x14ac:dyDescent="0.2">
      <c r="E8204" s="332"/>
    </row>
    <row r="8205" spans="5:5" x14ac:dyDescent="0.2">
      <c r="E8205" s="332"/>
    </row>
    <row r="8206" spans="5:5" x14ac:dyDescent="0.2">
      <c r="E8206" s="332"/>
    </row>
    <row r="8207" spans="5:5" x14ac:dyDescent="0.2">
      <c r="E8207" s="332"/>
    </row>
    <row r="8208" spans="5:5" x14ac:dyDescent="0.2">
      <c r="E8208" s="332"/>
    </row>
    <row r="8209" spans="5:5" x14ac:dyDescent="0.2">
      <c r="E8209" s="332"/>
    </row>
    <row r="8210" spans="5:5" x14ac:dyDescent="0.2">
      <c r="E8210" s="332"/>
    </row>
    <row r="8211" spans="5:5" x14ac:dyDescent="0.2">
      <c r="E8211" s="332"/>
    </row>
    <row r="8212" spans="5:5" x14ac:dyDescent="0.2">
      <c r="E8212" s="332"/>
    </row>
    <row r="8213" spans="5:5" x14ac:dyDescent="0.2">
      <c r="E8213" s="332"/>
    </row>
    <row r="8214" spans="5:5" x14ac:dyDescent="0.2">
      <c r="E8214" s="332"/>
    </row>
    <row r="8215" spans="5:5" x14ac:dyDescent="0.2">
      <c r="E8215" s="332"/>
    </row>
    <row r="8216" spans="5:5" x14ac:dyDescent="0.2">
      <c r="E8216" s="332"/>
    </row>
    <row r="8217" spans="5:5" x14ac:dyDescent="0.2">
      <c r="E8217" s="332"/>
    </row>
    <row r="8218" spans="5:5" x14ac:dyDescent="0.2">
      <c r="E8218" s="332"/>
    </row>
    <row r="8219" spans="5:5" x14ac:dyDescent="0.2">
      <c r="E8219" s="332"/>
    </row>
    <row r="8220" spans="5:5" x14ac:dyDescent="0.2">
      <c r="E8220" s="332"/>
    </row>
    <row r="8221" spans="5:5" x14ac:dyDescent="0.2">
      <c r="E8221" s="332"/>
    </row>
    <row r="8222" spans="5:5" x14ac:dyDescent="0.2">
      <c r="E8222" s="332"/>
    </row>
    <row r="8223" spans="5:5" x14ac:dyDescent="0.2">
      <c r="E8223" s="332"/>
    </row>
    <row r="8224" spans="5:5" x14ac:dyDescent="0.2">
      <c r="E8224" s="332"/>
    </row>
    <row r="8225" spans="5:5" x14ac:dyDescent="0.2">
      <c r="E8225" s="332"/>
    </row>
    <row r="8226" spans="5:5" x14ac:dyDescent="0.2">
      <c r="E8226" s="332"/>
    </row>
    <row r="8227" spans="5:5" x14ac:dyDescent="0.2">
      <c r="E8227" s="332"/>
    </row>
    <row r="8228" spans="5:5" x14ac:dyDescent="0.2">
      <c r="E8228" s="332"/>
    </row>
    <row r="8229" spans="5:5" x14ac:dyDescent="0.2">
      <c r="E8229" s="332"/>
    </row>
    <row r="8230" spans="5:5" x14ac:dyDescent="0.2">
      <c r="E8230" s="332"/>
    </row>
    <row r="8231" spans="5:5" x14ac:dyDescent="0.2">
      <c r="E8231" s="332"/>
    </row>
    <row r="8232" spans="5:5" x14ac:dyDescent="0.2">
      <c r="E8232" s="332"/>
    </row>
    <row r="8233" spans="5:5" x14ac:dyDescent="0.2">
      <c r="E8233" s="332"/>
    </row>
    <row r="8234" spans="5:5" x14ac:dyDescent="0.2">
      <c r="E8234" s="332"/>
    </row>
    <row r="8235" spans="5:5" x14ac:dyDescent="0.2">
      <c r="E8235" s="332"/>
    </row>
    <row r="8236" spans="5:5" x14ac:dyDescent="0.2">
      <c r="E8236" s="332"/>
    </row>
    <row r="8237" spans="5:5" x14ac:dyDescent="0.2">
      <c r="E8237" s="332"/>
    </row>
    <row r="8238" spans="5:5" x14ac:dyDescent="0.2">
      <c r="E8238" s="332"/>
    </row>
    <row r="8239" spans="5:5" x14ac:dyDescent="0.2">
      <c r="E8239" s="332"/>
    </row>
    <row r="8240" spans="5:5" x14ac:dyDescent="0.2">
      <c r="E8240" s="332"/>
    </row>
    <row r="8241" spans="5:5" x14ac:dyDescent="0.2">
      <c r="E8241" s="332"/>
    </row>
    <row r="8242" spans="5:5" x14ac:dyDescent="0.2">
      <c r="E8242" s="332"/>
    </row>
    <row r="8243" spans="5:5" x14ac:dyDescent="0.2">
      <c r="E8243" s="332"/>
    </row>
    <row r="8244" spans="5:5" x14ac:dyDescent="0.2">
      <c r="E8244" s="332"/>
    </row>
    <row r="8245" spans="5:5" x14ac:dyDescent="0.2">
      <c r="E8245" s="332"/>
    </row>
    <row r="8246" spans="5:5" x14ac:dyDescent="0.2">
      <c r="E8246" s="332"/>
    </row>
    <row r="8247" spans="5:5" x14ac:dyDescent="0.2">
      <c r="E8247" s="332"/>
    </row>
    <row r="8248" spans="5:5" x14ac:dyDescent="0.2">
      <c r="E8248" s="332"/>
    </row>
    <row r="8249" spans="5:5" x14ac:dyDescent="0.2">
      <c r="E8249" s="332"/>
    </row>
    <row r="8250" spans="5:5" x14ac:dyDescent="0.2">
      <c r="E8250" s="332"/>
    </row>
    <row r="8251" spans="5:5" x14ac:dyDescent="0.2">
      <c r="E8251" s="332"/>
    </row>
    <row r="8252" spans="5:5" x14ac:dyDescent="0.2">
      <c r="E8252" s="332"/>
    </row>
    <row r="8253" spans="5:5" x14ac:dyDescent="0.2">
      <c r="E8253" s="332"/>
    </row>
    <row r="8254" spans="5:5" x14ac:dyDescent="0.2">
      <c r="E8254" s="332"/>
    </row>
    <row r="8255" spans="5:5" x14ac:dyDescent="0.2">
      <c r="E8255" s="332"/>
    </row>
    <row r="8256" spans="5:5" x14ac:dyDescent="0.2">
      <c r="E8256" s="332"/>
    </row>
    <row r="8257" spans="5:5" x14ac:dyDescent="0.2">
      <c r="E8257" s="332"/>
    </row>
    <row r="8258" spans="5:5" x14ac:dyDescent="0.2">
      <c r="E8258" s="332"/>
    </row>
    <row r="8259" spans="5:5" x14ac:dyDescent="0.2">
      <c r="E8259" s="332"/>
    </row>
    <row r="8260" spans="5:5" x14ac:dyDescent="0.2">
      <c r="E8260" s="332"/>
    </row>
    <row r="8261" spans="5:5" x14ac:dyDescent="0.2">
      <c r="E8261" s="332"/>
    </row>
    <row r="8262" spans="5:5" x14ac:dyDescent="0.2">
      <c r="E8262" s="332"/>
    </row>
    <row r="8263" spans="5:5" x14ac:dyDescent="0.2">
      <c r="E8263" s="332"/>
    </row>
    <row r="8264" spans="5:5" x14ac:dyDescent="0.2">
      <c r="E8264" s="332"/>
    </row>
    <row r="8265" spans="5:5" x14ac:dyDescent="0.2">
      <c r="E8265" s="332"/>
    </row>
    <row r="8266" spans="5:5" x14ac:dyDescent="0.2">
      <c r="E8266" s="332"/>
    </row>
    <row r="8267" spans="5:5" x14ac:dyDescent="0.2">
      <c r="E8267" s="332"/>
    </row>
    <row r="8268" spans="5:5" x14ac:dyDescent="0.2">
      <c r="E8268" s="332"/>
    </row>
    <row r="8269" spans="5:5" x14ac:dyDescent="0.2">
      <c r="E8269" s="332"/>
    </row>
    <row r="8270" spans="5:5" x14ac:dyDescent="0.2">
      <c r="E8270" s="332"/>
    </row>
    <row r="8271" spans="5:5" x14ac:dyDescent="0.2">
      <c r="E8271" s="332"/>
    </row>
    <row r="8272" spans="5:5" x14ac:dyDescent="0.2">
      <c r="E8272" s="332"/>
    </row>
    <row r="8273" spans="5:5" x14ac:dyDescent="0.2">
      <c r="E8273" s="332"/>
    </row>
    <row r="8274" spans="5:5" x14ac:dyDescent="0.2">
      <c r="E8274" s="332"/>
    </row>
    <row r="8275" spans="5:5" x14ac:dyDescent="0.2">
      <c r="E8275" s="332"/>
    </row>
    <row r="8276" spans="5:5" x14ac:dyDescent="0.2">
      <c r="E8276" s="332"/>
    </row>
    <row r="8277" spans="5:5" x14ac:dyDescent="0.2">
      <c r="E8277" s="332"/>
    </row>
    <row r="8278" spans="5:5" x14ac:dyDescent="0.2">
      <c r="E8278" s="332"/>
    </row>
    <row r="8279" spans="5:5" x14ac:dyDescent="0.2">
      <c r="E8279" s="332"/>
    </row>
    <row r="8280" spans="5:5" x14ac:dyDescent="0.2">
      <c r="E8280" s="332"/>
    </row>
    <row r="8281" spans="5:5" x14ac:dyDescent="0.2">
      <c r="E8281" s="332"/>
    </row>
    <row r="8282" spans="5:5" x14ac:dyDescent="0.2">
      <c r="E8282" s="332"/>
    </row>
    <row r="8283" spans="5:5" x14ac:dyDescent="0.2">
      <c r="E8283" s="332"/>
    </row>
    <row r="8284" spans="5:5" x14ac:dyDescent="0.2">
      <c r="E8284" s="332"/>
    </row>
    <row r="8285" spans="5:5" x14ac:dyDescent="0.2">
      <c r="E8285" s="332"/>
    </row>
    <row r="8286" spans="5:5" x14ac:dyDescent="0.2">
      <c r="E8286" s="332"/>
    </row>
    <row r="8287" spans="5:5" x14ac:dyDescent="0.2">
      <c r="E8287" s="332"/>
    </row>
    <row r="8288" spans="5:5" x14ac:dyDescent="0.2">
      <c r="E8288" s="332"/>
    </row>
    <row r="8289" spans="5:5" x14ac:dyDescent="0.2">
      <c r="E8289" s="332"/>
    </row>
    <row r="8290" spans="5:5" x14ac:dyDescent="0.2">
      <c r="E8290" s="332"/>
    </row>
    <row r="8291" spans="5:5" x14ac:dyDescent="0.2">
      <c r="E8291" s="332"/>
    </row>
    <row r="8292" spans="5:5" x14ac:dyDescent="0.2">
      <c r="E8292" s="332"/>
    </row>
    <row r="8293" spans="5:5" x14ac:dyDescent="0.2">
      <c r="E8293" s="332"/>
    </row>
    <row r="8294" spans="5:5" x14ac:dyDescent="0.2">
      <c r="E8294" s="332"/>
    </row>
    <row r="8295" spans="5:5" x14ac:dyDescent="0.2">
      <c r="E8295" s="332"/>
    </row>
    <row r="8296" spans="5:5" x14ac:dyDescent="0.2">
      <c r="E8296" s="332"/>
    </row>
    <row r="8297" spans="5:5" x14ac:dyDescent="0.2">
      <c r="E8297" s="332"/>
    </row>
    <row r="8298" spans="5:5" x14ac:dyDescent="0.2">
      <c r="E8298" s="332"/>
    </row>
    <row r="8299" spans="5:5" x14ac:dyDescent="0.2">
      <c r="E8299" s="332"/>
    </row>
    <row r="8300" spans="5:5" x14ac:dyDescent="0.2">
      <c r="E8300" s="332"/>
    </row>
    <row r="8301" spans="5:5" x14ac:dyDescent="0.2">
      <c r="E8301" s="332"/>
    </row>
    <row r="8302" spans="5:5" x14ac:dyDescent="0.2">
      <c r="E8302" s="332"/>
    </row>
    <row r="8303" spans="5:5" x14ac:dyDescent="0.2">
      <c r="E8303" s="332"/>
    </row>
    <row r="8304" spans="5:5" x14ac:dyDescent="0.2">
      <c r="E8304" s="332"/>
    </row>
    <row r="8305" spans="5:5" x14ac:dyDescent="0.2">
      <c r="E8305" s="332"/>
    </row>
    <row r="8306" spans="5:5" x14ac:dyDescent="0.2">
      <c r="E8306" s="332"/>
    </row>
    <row r="8307" spans="5:5" x14ac:dyDescent="0.2">
      <c r="E8307" s="332"/>
    </row>
    <row r="8308" spans="5:5" x14ac:dyDescent="0.2">
      <c r="E8308" s="332"/>
    </row>
    <row r="8309" spans="5:5" x14ac:dyDescent="0.2">
      <c r="E8309" s="332"/>
    </row>
    <row r="8310" spans="5:5" x14ac:dyDescent="0.2">
      <c r="E8310" s="332"/>
    </row>
    <row r="8311" spans="5:5" x14ac:dyDescent="0.2">
      <c r="E8311" s="332"/>
    </row>
    <row r="8312" spans="5:5" x14ac:dyDescent="0.2">
      <c r="E8312" s="332"/>
    </row>
    <row r="8313" spans="5:5" x14ac:dyDescent="0.2">
      <c r="E8313" s="332"/>
    </row>
    <row r="8314" spans="5:5" x14ac:dyDescent="0.2">
      <c r="E8314" s="332"/>
    </row>
    <row r="8315" spans="5:5" x14ac:dyDescent="0.2">
      <c r="E8315" s="332"/>
    </row>
    <row r="8316" spans="5:5" x14ac:dyDescent="0.2">
      <c r="E8316" s="332"/>
    </row>
    <row r="8317" spans="5:5" x14ac:dyDescent="0.2">
      <c r="E8317" s="332"/>
    </row>
    <row r="8318" spans="5:5" x14ac:dyDescent="0.2">
      <c r="E8318" s="332"/>
    </row>
    <row r="8319" spans="5:5" x14ac:dyDescent="0.2">
      <c r="E8319" s="332"/>
    </row>
    <row r="8320" spans="5:5" x14ac:dyDescent="0.2">
      <c r="E8320" s="332"/>
    </row>
    <row r="8321" spans="5:5" x14ac:dyDescent="0.2">
      <c r="E8321" s="332"/>
    </row>
    <row r="8322" spans="5:5" x14ac:dyDescent="0.2">
      <c r="E8322" s="332"/>
    </row>
    <row r="8323" spans="5:5" x14ac:dyDescent="0.2">
      <c r="E8323" s="332"/>
    </row>
    <row r="8324" spans="5:5" x14ac:dyDescent="0.2">
      <c r="E8324" s="332"/>
    </row>
    <row r="8325" spans="5:5" x14ac:dyDescent="0.2">
      <c r="E8325" s="332"/>
    </row>
    <row r="8326" spans="5:5" x14ac:dyDescent="0.2">
      <c r="E8326" s="332"/>
    </row>
    <row r="8327" spans="5:5" x14ac:dyDescent="0.2">
      <c r="E8327" s="332"/>
    </row>
    <row r="8328" spans="5:5" x14ac:dyDescent="0.2">
      <c r="E8328" s="332"/>
    </row>
    <row r="8329" spans="5:5" x14ac:dyDescent="0.2">
      <c r="E8329" s="332"/>
    </row>
    <row r="8330" spans="5:5" x14ac:dyDescent="0.2">
      <c r="E8330" s="332"/>
    </row>
    <row r="8331" spans="5:5" x14ac:dyDescent="0.2">
      <c r="E8331" s="332"/>
    </row>
    <row r="8332" spans="5:5" x14ac:dyDescent="0.2">
      <c r="E8332" s="332"/>
    </row>
    <row r="8333" spans="5:5" x14ac:dyDescent="0.2">
      <c r="E8333" s="332"/>
    </row>
    <row r="8334" spans="5:5" x14ac:dyDescent="0.2">
      <c r="E8334" s="332"/>
    </row>
    <row r="8335" spans="5:5" x14ac:dyDescent="0.2">
      <c r="E8335" s="332"/>
    </row>
    <row r="8336" spans="5:5" x14ac:dyDescent="0.2">
      <c r="E8336" s="332"/>
    </row>
    <row r="8337" spans="5:5" x14ac:dyDescent="0.2">
      <c r="E8337" s="332"/>
    </row>
    <row r="8338" spans="5:5" x14ac:dyDescent="0.2">
      <c r="E8338" s="332"/>
    </row>
    <row r="8339" spans="5:5" x14ac:dyDescent="0.2">
      <c r="E8339" s="332"/>
    </row>
    <row r="8340" spans="5:5" x14ac:dyDescent="0.2">
      <c r="E8340" s="332"/>
    </row>
    <row r="8341" spans="5:5" x14ac:dyDescent="0.2">
      <c r="E8341" s="332"/>
    </row>
    <row r="8342" spans="5:5" x14ac:dyDescent="0.2">
      <c r="E8342" s="332"/>
    </row>
    <row r="8343" spans="5:5" x14ac:dyDescent="0.2">
      <c r="E8343" s="332"/>
    </row>
    <row r="8344" spans="5:5" x14ac:dyDescent="0.2">
      <c r="E8344" s="332"/>
    </row>
    <row r="8345" spans="5:5" x14ac:dyDescent="0.2">
      <c r="E8345" s="332"/>
    </row>
    <row r="8346" spans="5:5" x14ac:dyDescent="0.2">
      <c r="E8346" s="332"/>
    </row>
    <row r="8347" spans="5:5" x14ac:dyDescent="0.2">
      <c r="E8347" s="332"/>
    </row>
    <row r="8348" spans="5:5" x14ac:dyDescent="0.2">
      <c r="E8348" s="332"/>
    </row>
    <row r="8349" spans="5:5" x14ac:dyDescent="0.2">
      <c r="E8349" s="332"/>
    </row>
    <row r="8350" spans="5:5" x14ac:dyDescent="0.2">
      <c r="E8350" s="332"/>
    </row>
    <row r="8351" spans="5:5" x14ac:dyDescent="0.2">
      <c r="E8351" s="332"/>
    </row>
    <row r="8352" spans="5:5" x14ac:dyDescent="0.2">
      <c r="E8352" s="332"/>
    </row>
    <row r="8353" spans="5:5" x14ac:dyDescent="0.2">
      <c r="E8353" s="332"/>
    </row>
    <row r="8354" spans="5:5" x14ac:dyDescent="0.2">
      <c r="E8354" s="332"/>
    </row>
    <row r="8355" spans="5:5" x14ac:dyDescent="0.2">
      <c r="E8355" s="332"/>
    </row>
    <row r="8356" spans="5:5" x14ac:dyDescent="0.2">
      <c r="E8356" s="332"/>
    </row>
    <row r="8357" spans="5:5" x14ac:dyDescent="0.2">
      <c r="E8357" s="332"/>
    </row>
    <row r="8358" spans="5:5" x14ac:dyDescent="0.2">
      <c r="E8358" s="332"/>
    </row>
    <row r="8359" spans="5:5" x14ac:dyDescent="0.2">
      <c r="E8359" s="332"/>
    </row>
    <row r="8360" spans="5:5" x14ac:dyDescent="0.2">
      <c r="E8360" s="332"/>
    </row>
    <row r="8361" spans="5:5" x14ac:dyDescent="0.2">
      <c r="E8361" s="332"/>
    </row>
    <row r="8362" spans="5:5" x14ac:dyDescent="0.2">
      <c r="E8362" s="332"/>
    </row>
    <row r="8363" spans="5:5" x14ac:dyDescent="0.2">
      <c r="E8363" s="332"/>
    </row>
    <row r="8364" spans="5:5" x14ac:dyDescent="0.2">
      <c r="E8364" s="332"/>
    </row>
    <row r="8365" spans="5:5" x14ac:dyDescent="0.2">
      <c r="E8365" s="332"/>
    </row>
    <row r="8366" spans="5:5" x14ac:dyDescent="0.2">
      <c r="E8366" s="332"/>
    </row>
    <row r="8367" spans="5:5" x14ac:dyDescent="0.2">
      <c r="E8367" s="332"/>
    </row>
    <row r="8368" spans="5:5" x14ac:dyDescent="0.2">
      <c r="E8368" s="332"/>
    </row>
    <row r="8369" spans="5:5" x14ac:dyDescent="0.2">
      <c r="E8369" s="332"/>
    </row>
    <row r="8370" spans="5:5" x14ac:dyDescent="0.2">
      <c r="E8370" s="332"/>
    </row>
    <row r="8371" spans="5:5" x14ac:dyDescent="0.2">
      <c r="E8371" s="332"/>
    </row>
    <row r="8372" spans="5:5" x14ac:dyDescent="0.2">
      <c r="E8372" s="332"/>
    </row>
    <row r="8373" spans="5:5" x14ac:dyDescent="0.2">
      <c r="E8373" s="332"/>
    </row>
    <row r="8374" spans="5:5" x14ac:dyDescent="0.2">
      <c r="E8374" s="332"/>
    </row>
    <row r="8375" spans="5:5" x14ac:dyDescent="0.2">
      <c r="E8375" s="332"/>
    </row>
    <row r="8376" spans="5:5" x14ac:dyDescent="0.2">
      <c r="E8376" s="332"/>
    </row>
    <row r="8377" spans="5:5" x14ac:dyDescent="0.2">
      <c r="E8377" s="332"/>
    </row>
    <row r="8378" spans="5:5" x14ac:dyDescent="0.2">
      <c r="E8378" s="332"/>
    </row>
    <row r="8379" spans="5:5" x14ac:dyDescent="0.2">
      <c r="E8379" s="332"/>
    </row>
    <row r="8380" spans="5:5" x14ac:dyDescent="0.2">
      <c r="E8380" s="332"/>
    </row>
    <row r="8381" spans="5:5" x14ac:dyDescent="0.2">
      <c r="E8381" s="332"/>
    </row>
    <row r="8382" spans="5:5" x14ac:dyDescent="0.2">
      <c r="E8382" s="332"/>
    </row>
    <row r="8383" spans="5:5" x14ac:dyDescent="0.2">
      <c r="E8383" s="332"/>
    </row>
    <row r="8384" spans="5:5" x14ac:dyDescent="0.2">
      <c r="E8384" s="332"/>
    </row>
    <row r="8385" spans="5:5" x14ac:dyDescent="0.2">
      <c r="E8385" s="332"/>
    </row>
    <row r="8386" spans="5:5" x14ac:dyDescent="0.2">
      <c r="E8386" s="332"/>
    </row>
    <row r="8387" spans="5:5" x14ac:dyDescent="0.2">
      <c r="E8387" s="332"/>
    </row>
    <row r="8388" spans="5:5" x14ac:dyDescent="0.2">
      <c r="E8388" s="332"/>
    </row>
    <row r="8389" spans="5:5" x14ac:dyDescent="0.2">
      <c r="E8389" s="332"/>
    </row>
    <row r="8390" spans="5:5" x14ac:dyDescent="0.2">
      <c r="E8390" s="332"/>
    </row>
    <row r="8391" spans="5:5" x14ac:dyDescent="0.2">
      <c r="E8391" s="332"/>
    </row>
    <row r="8392" spans="5:5" x14ac:dyDescent="0.2">
      <c r="E8392" s="332"/>
    </row>
    <row r="8393" spans="5:5" x14ac:dyDescent="0.2">
      <c r="E8393" s="332"/>
    </row>
    <row r="8394" spans="5:5" x14ac:dyDescent="0.2">
      <c r="E8394" s="332"/>
    </row>
    <row r="8395" spans="5:5" x14ac:dyDescent="0.2">
      <c r="E8395" s="332"/>
    </row>
    <row r="8396" spans="5:5" x14ac:dyDescent="0.2">
      <c r="E8396" s="332"/>
    </row>
    <row r="8397" spans="5:5" x14ac:dyDescent="0.2">
      <c r="E8397" s="332"/>
    </row>
    <row r="8398" spans="5:5" x14ac:dyDescent="0.2">
      <c r="E8398" s="332"/>
    </row>
    <row r="8399" spans="5:5" x14ac:dyDescent="0.2">
      <c r="E8399" s="332"/>
    </row>
    <row r="8400" spans="5:5" x14ac:dyDescent="0.2">
      <c r="E8400" s="332"/>
    </row>
    <row r="8401" spans="5:5" x14ac:dyDescent="0.2">
      <c r="E8401" s="332"/>
    </row>
    <row r="8402" spans="5:5" x14ac:dyDescent="0.2">
      <c r="E8402" s="332"/>
    </row>
    <row r="8403" spans="5:5" x14ac:dyDescent="0.2">
      <c r="E8403" s="332"/>
    </row>
    <row r="8404" spans="5:5" x14ac:dyDescent="0.2">
      <c r="E8404" s="332"/>
    </row>
    <row r="8405" spans="5:5" x14ac:dyDescent="0.2">
      <c r="E8405" s="332"/>
    </row>
    <row r="8406" spans="5:5" x14ac:dyDescent="0.2">
      <c r="E8406" s="332"/>
    </row>
    <row r="8407" spans="5:5" x14ac:dyDescent="0.2">
      <c r="E8407" s="332"/>
    </row>
    <row r="8408" spans="5:5" x14ac:dyDescent="0.2">
      <c r="E8408" s="332"/>
    </row>
    <row r="8409" spans="5:5" x14ac:dyDescent="0.2">
      <c r="E8409" s="332"/>
    </row>
    <row r="8410" spans="5:5" x14ac:dyDescent="0.2">
      <c r="E8410" s="332"/>
    </row>
    <row r="8411" spans="5:5" x14ac:dyDescent="0.2">
      <c r="E8411" s="332"/>
    </row>
    <row r="8412" spans="5:5" x14ac:dyDescent="0.2">
      <c r="E8412" s="332"/>
    </row>
    <row r="8413" spans="5:5" x14ac:dyDescent="0.2">
      <c r="E8413" s="332"/>
    </row>
    <row r="8414" spans="5:5" x14ac:dyDescent="0.2">
      <c r="E8414" s="332"/>
    </row>
    <row r="8415" spans="5:5" x14ac:dyDescent="0.2">
      <c r="E8415" s="332"/>
    </row>
    <row r="8416" spans="5:5" x14ac:dyDescent="0.2">
      <c r="E8416" s="332"/>
    </row>
    <row r="8417" spans="5:5" x14ac:dyDescent="0.2">
      <c r="E8417" s="332"/>
    </row>
    <row r="8418" spans="5:5" x14ac:dyDescent="0.2">
      <c r="E8418" s="332"/>
    </row>
    <row r="8419" spans="5:5" x14ac:dyDescent="0.2">
      <c r="E8419" s="332"/>
    </row>
    <row r="8420" spans="5:5" x14ac:dyDescent="0.2">
      <c r="E8420" s="332"/>
    </row>
    <row r="8421" spans="5:5" x14ac:dyDescent="0.2">
      <c r="E8421" s="332"/>
    </row>
    <row r="8422" spans="5:5" x14ac:dyDescent="0.2">
      <c r="E8422" s="332"/>
    </row>
    <row r="8423" spans="5:5" x14ac:dyDescent="0.2">
      <c r="E8423" s="332"/>
    </row>
    <row r="8424" spans="5:5" x14ac:dyDescent="0.2">
      <c r="E8424" s="332"/>
    </row>
    <row r="8425" spans="5:5" x14ac:dyDescent="0.2">
      <c r="E8425" s="332"/>
    </row>
    <row r="8426" spans="5:5" x14ac:dyDescent="0.2">
      <c r="E8426" s="332"/>
    </row>
    <row r="8427" spans="5:5" x14ac:dyDescent="0.2">
      <c r="E8427" s="332"/>
    </row>
    <row r="8428" spans="5:5" x14ac:dyDescent="0.2">
      <c r="E8428" s="332"/>
    </row>
    <row r="8429" spans="5:5" x14ac:dyDescent="0.2">
      <c r="E8429" s="332"/>
    </row>
    <row r="8430" spans="5:5" x14ac:dyDescent="0.2">
      <c r="E8430" s="332"/>
    </row>
    <row r="8431" spans="5:5" x14ac:dyDescent="0.2">
      <c r="E8431" s="332"/>
    </row>
    <row r="8432" spans="5:5" x14ac:dyDescent="0.2">
      <c r="E8432" s="332"/>
    </row>
    <row r="8433" spans="5:5" x14ac:dyDescent="0.2">
      <c r="E8433" s="332"/>
    </row>
    <row r="8434" spans="5:5" x14ac:dyDescent="0.2">
      <c r="E8434" s="332"/>
    </row>
    <row r="8435" spans="5:5" x14ac:dyDescent="0.2">
      <c r="E8435" s="332"/>
    </row>
    <row r="8436" spans="5:5" x14ac:dyDescent="0.2">
      <c r="E8436" s="332"/>
    </row>
    <row r="8437" spans="5:5" x14ac:dyDescent="0.2">
      <c r="E8437" s="332"/>
    </row>
    <row r="8438" spans="5:5" x14ac:dyDescent="0.2">
      <c r="E8438" s="332"/>
    </row>
    <row r="8439" spans="5:5" x14ac:dyDescent="0.2">
      <c r="E8439" s="332"/>
    </row>
    <row r="8440" spans="5:5" x14ac:dyDescent="0.2">
      <c r="E8440" s="332"/>
    </row>
    <row r="8441" spans="5:5" x14ac:dyDescent="0.2">
      <c r="E8441" s="332"/>
    </row>
    <row r="8442" spans="5:5" x14ac:dyDescent="0.2">
      <c r="E8442" s="332"/>
    </row>
    <row r="8443" spans="5:5" x14ac:dyDescent="0.2">
      <c r="E8443" s="332"/>
    </row>
    <row r="8444" spans="5:5" x14ac:dyDescent="0.2">
      <c r="E8444" s="332"/>
    </row>
    <row r="8445" spans="5:5" x14ac:dyDescent="0.2">
      <c r="E8445" s="332"/>
    </row>
    <row r="8446" spans="5:5" x14ac:dyDescent="0.2">
      <c r="E8446" s="332"/>
    </row>
    <row r="8447" spans="5:5" x14ac:dyDescent="0.2">
      <c r="E8447" s="332"/>
    </row>
    <row r="8448" spans="5:5" x14ac:dyDescent="0.2">
      <c r="E8448" s="332"/>
    </row>
    <row r="8449" spans="5:5" x14ac:dyDescent="0.2">
      <c r="E8449" s="332"/>
    </row>
    <row r="8450" spans="5:5" x14ac:dyDescent="0.2">
      <c r="E8450" s="332"/>
    </row>
    <row r="8451" spans="5:5" x14ac:dyDescent="0.2">
      <c r="E8451" s="332"/>
    </row>
    <row r="8452" spans="5:5" x14ac:dyDescent="0.2">
      <c r="E8452" s="332"/>
    </row>
    <row r="8453" spans="5:5" x14ac:dyDescent="0.2">
      <c r="E8453" s="332"/>
    </row>
    <row r="8454" spans="5:5" x14ac:dyDescent="0.2">
      <c r="E8454" s="332"/>
    </row>
    <row r="8455" spans="5:5" x14ac:dyDescent="0.2">
      <c r="E8455" s="332"/>
    </row>
    <row r="8456" spans="5:5" x14ac:dyDescent="0.2">
      <c r="E8456" s="332"/>
    </row>
    <row r="8457" spans="5:5" x14ac:dyDescent="0.2">
      <c r="E8457" s="332"/>
    </row>
    <row r="8458" spans="5:5" x14ac:dyDescent="0.2">
      <c r="E8458" s="332"/>
    </row>
    <row r="8459" spans="5:5" x14ac:dyDescent="0.2">
      <c r="E8459" s="332"/>
    </row>
    <row r="8460" spans="5:5" x14ac:dyDescent="0.2">
      <c r="E8460" s="332"/>
    </row>
    <row r="8461" spans="5:5" x14ac:dyDescent="0.2">
      <c r="E8461" s="332"/>
    </row>
    <row r="8462" spans="5:5" x14ac:dyDescent="0.2">
      <c r="E8462" s="332"/>
    </row>
    <row r="8463" spans="5:5" x14ac:dyDescent="0.2">
      <c r="E8463" s="332"/>
    </row>
    <row r="8464" spans="5:5" x14ac:dyDescent="0.2">
      <c r="E8464" s="332"/>
    </row>
    <row r="8465" spans="5:5" x14ac:dyDescent="0.2">
      <c r="E8465" s="332"/>
    </row>
    <row r="8466" spans="5:5" x14ac:dyDescent="0.2">
      <c r="E8466" s="332"/>
    </row>
    <row r="8467" spans="5:5" x14ac:dyDescent="0.2">
      <c r="E8467" s="332"/>
    </row>
    <row r="8468" spans="5:5" x14ac:dyDescent="0.2">
      <c r="E8468" s="332"/>
    </row>
    <row r="8469" spans="5:5" x14ac:dyDescent="0.2">
      <c r="E8469" s="332"/>
    </row>
    <row r="8470" spans="5:5" x14ac:dyDescent="0.2">
      <c r="E8470" s="332"/>
    </row>
    <row r="8471" spans="5:5" x14ac:dyDescent="0.2">
      <c r="E8471" s="332"/>
    </row>
    <row r="8472" spans="5:5" x14ac:dyDescent="0.2">
      <c r="E8472" s="332"/>
    </row>
    <row r="8473" spans="5:5" x14ac:dyDescent="0.2">
      <c r="E8473" s="332"/>
    </row>
    <row r="8474" spans="5:5" x14ac:dyDescent="0.2">
      <c r="E8474" s="332"/>
    </row>
    <row r="8475" spans="5:5" x14ac:dyDescent="0.2">
      <c r="E8475" s="332"/>
    </row>
    <row r="8476" spans="5:5" x14ac:dyDescent="0.2">
      <c r="E8476" s="332"/>
    </row>
    <row r="8477" spans="5:5" x14ac:dyDescent="0.2">
      <c r="E8477" s="332"/>
    </row>
    <row r="8478" spans="5:5" x14ac:dyDescent="0.2">
      <c r="E8478" s="332"/>
    </row>
    <row r="8479" spans="5:5" x14ac:dyDescent="0.2">
      <c r="E8479" s="332"/>
    </row>
    <row r="8480" spans="5:5" x14ac:dyDescent="0.2">
      <c r="E8480" s="332"/>
    </row>
    <row r="8481" spans="5:5" x14ac:dyDescent="0.2">
      <c r="E8481" s="332"/>
    </row>
    <row r="8482" spans="5:5" x14ac:dyDescent="0.2">
      <c r="E8482" s="332"/>
    </row>
    <row r="8483" spans="5:5" x14ac:dyDescent="0.2">
      <c r="E8483" s="332"/>
    </row>
    <row r="8484" spans="5:5" x14ac:dyDescent="0.2">
      <c r="E8484" s="332"/>
    </row>
    <row r="8485" spans="5:5" x14ac:dyDescent="0.2">
      <c r="E8485" s="332"/>
    </row>
    <row r="8486" spans="5:5" x14ac:dyDescent="0.2">
      <c r="E8486" s="332"/>
    </row>
    <row r="8487" spans="5:5" x14ac:dyDescent="0.2">
      <c r="E8487" s="332"/>
    </row>
    <row r="8488" spans="5:5" x14ac:dyDescent="0.2">
      <c r="E8488" s="332"/>
    </row>
    <row r="8489" spans="5:5" x14ac:dyDescent="0.2">
      <c r="E8489" s="332"/>
    </row>
    <row r="8490" spans="5:5" x14ac:dyDescent="0.2">
      <c r="E8490" s="332"/>
    </row>
    <row r="8491" spans="5:5" x14ac:dyDescent="0.2">
      <c r="E8491" s="332"/>
    </row>
    <row r="8492" spans="5:5" x14ac:dyDescent="0.2">
      <c r="E8492" s="332"/>
    </row>
    <row r="8493" spans="5:5" x14ac:dyDescent="0.2">
      <c r="E8493" s="332"/>
    </row>
    <row r="8494" spans="5:5" x14ac:dyDescent="0.2">
      <c r="E8494" s="332"/>
    </row>
    <row r="8495" spans="5:5" x14ac:dyDescent="0.2">
      <c r="E8495" s="332"/>
    </row>
    <row r="8496" spans="5:5" x14ac:dyDescent="0.2">
      <c r="E8496" s="332"/>
    </row>
    <row r="8497" spans="5:5" x14ac:dyDescent="0.2">
      <c r="E8497" s="332"/>
    </row>
    <row r="8498" spans="5:5" x14ac:dyDescent="0.2">
      <c r="E8498" s="332"/>
    </row>
    <row r="8499" spans="5:5" x14ac:dyDescent="0.2">
      <c r="E8499" s="332"/>
    </row>
    <row r="8500" spans="5:5" x14ac:dyDescent="0.2">
      <c r="E8500" s="332"/>
    </row>
    <row r="8501" spans="5:5" x14ac:dyDescent="0.2">
      <c r="E8501" s="332"/>
    </row>
    <row r="8502" spans="5:5" x14ac:dyDescent="0.2">
      <c r="E8502" s="332"/>
    </row>
    <row r="8503" spans="5:5" x14ac:dyDescent="0.2">
      <c r="E8503" s="332"/>
    </row>
    <row r="8504" spans="5:5" x14ac:dyDescent="0.2">
      <c r="E8504" s="332"/>
    </row>
    <row r="8505" spans="5:5" x14ac:dyDescent="0.2">
      <c r="E8505" s="332"/>
    </row>
    <row r="8506" spans="5:5" x14ac:dyDescent="0.2">
      <c r="E8506" s="332"/>
    </row>
    <row r="8507" spans="5:5" x14ac:dyDescent="0.2">
      <c r="E8507" s="332"/>
    </row>
    <row r="8508" spans="5:5" x14ac:dyDescent="0.2">
      <c r="E8508" s="332"/>
    </row>
    <row r="8509" spans="5:5" x14ac:dyDescent="0.2">
      <c r="E8509" s="332"/>
    </row>
    <row r="8510" spans="5:5" x14ac:dyDescent="0.2">
      <c r="E8510" s="332"/>
    </row>
    <row r="8511" spans="5:5" x14ac:dyDescent="0.2">
      <c r="E8511" s="332"/>
    </row>
    <row r="8512" spans="5:5" x14ac:dyDescent="0.2">
      <c r="E8512" s="332"/>
    </row>
    <row r="8513" spans="5:5" x14ac:dyDescent="0.2">
      <c r="E8513" s="332"/>
    </row>
    <row r="8514" spans="5:5" x14ac:dyDescent="0.2">
      <c r="E8514" s="332"/>
    </row>
    <row r="8515" spans="5:5" x14ac:dyDescent="0.2">
      <c r="E8515" s="332"/>
    </row>
    <row r="8516" spans="5:5" x14ac:dyDescent="0.2">
      <c r="E8516" s="332"/>
    </row>
    <row r="8517" spans="5:5" x14ac:dyDescent="0.2">
      <c r="E8517" s="332"/>
    </row>
    <row r="8518" spans="5:5" x14ac:dyDescent="0.2">
      <c r="E8518" s="332"/>
    </row>
    <row r="8519" spans="5:5" x14ac:dyDescent="0.2">
      <c r="E8519" s="332"/>
    </row>
    <row r="8520" spans="5:5" x14ac:dyDescent="0.2">
      <c r="E8520" s="332"/>
    </row>
    <row r="8521" spans="5:5" x14ac:dyDescent="0.2">
      <c r="E8521" s="332"/>
    </row>
    <row r="8522" spans="5:5" x14ac:dyDescent="0.2">
      <c r="E8522" s="332"/>
    </row>
    <row r="8523" spans="5:5" x14ac:dyDescent="0.2">
      <c r="E8523" s="332"/>
    </row>
    <row r="8524" spans="5:5" x14ac:dyDescent="0.2">
      <c r="E8524" s="332"/>
    </row>
    <row r="8525" spans="5:5" x14ac:dyDescent="0.2">
      <c r="E8525" s="332"/>
    </row>
    <row r="8526" spans="5:5" x14ac:dyDescent="0.2">
      <c r="E8526" s="332"/>
    </row>
    <row r="8527" spans="5:5" x14ac:dyDescent="0.2">
      <c r="E8527" s="332"/>
    </row>
    <row r="8528" spans="5:5" x14ac:dyDescent="0.2">
      <c r="E8528" s="332"/>
    </row>
    <row r="8529" spans="5:5" x14ac:dyDescent="0.2">
      <c r="E8529" s="332"/>
    </row>
    <row r="8530" spans="5:5" x14ac:dyDescent="0.2">
      <c r="E8530" s="332"/>
    </row>
    <row r="8531" spans="5:5" x14ac:dyDescent="0.2">
      <c r="E8531" s="332"/>
    </row>
    <row r="8532" spans="5:5" x14ac:dyDescent="0.2">
      <c r="E8532" s="332"/>
    </row>
    <row r="8533" spans="5:5" x14ac:dyDescent="0.2">
      <c r="E8533" s="332"/>
    </row>
    <row r="8534" spans="5:5" x14ac:dyDescent="0.2">
      <c r="E8534" s="332"/>
    </row>
    <row r="8535" spans="5:5" x14ac:dyDescent="0.2">
      <c r="E8535" s="332"/>
    </row>
    <row r="8536" spans="5:5" x14ac:dyDescent="0.2">
      <c r="E8536" s="332"/>
    </row>
    <row r="8537" spans="5:5" x14ac:dyDescent="0.2">
      <c r="E8537" s="332"/>
    </row>
    <row r="8538" spans="5:5" x14ac:dyDescent="0.2">
      <c r="E8538" s="332"/>
    </row>
    <row r="8539" spans="5:5" x14ac:dyDescent="0.2">
      <c r="E8539" s="332"/>
    </row>
    <row r="8540" spans="5:5" x14ac:dyDescent="0.2">
      <c r="E8540" s="332"/>
    </row>
    <row r="8541" spans="5:5" x14ac:dyDescent="0.2">
      <c r="E8541" s="332"/>
    </row>
    <row r="8542" spans="5:5" x14ac:dyDescent="0.2">
      <c r="E8542" s="332"/>
    </row>
    <row r="8543" spans="5:5" x14ac:dyDescent="0.2">
      <c r="E8543" s="332"/>
    </row>
    <row r="8544" spans="5:5" x14ac:dyDescent="0.2">
      <c r="E8544" s="332"/>
    </row>
    <row r="8545" spans="5:5" x14ac:dyDescent="0.2">
      <c r="E8545" s="332"/>
    </row>
    <row r="8546" spans="5:5" x14ac:dyDescent="0.2">
      <c r="E8546" s="332"/>
    </row>
    <row r="8547" spans="5:5" x14ac:dyDescent="0.2">
      <c r="E8547" s="332"/>
    </row>
    <row r="8548" spans="5:5" x14ac:dyDescent="0.2">
      <c r="E8548" s="332"/>
    </row>
    <row r="8549" spans="5:5" x14ac:dyDescent="0.2">
      <c r="E8549" s="332"/>
    </row>
    <row r="8550" spans="5:5" x14ac:dyDescent="0.2">
      <c r="E8550" s="332"/>
    </row>
    <row r="8551" spans="5:5" x14ac:dyDescent="0.2">
      <c r="E8551" s="332"/>
    </row>
    <row r="8552" spans="5:5" x14ac:dyDescent="0.2">
      <c r="E8552" s="332"/>
    </row>
    <row r="8553" spans="5:5" x14ac:dyDescent="0.2">
      <c r="E8553" s="332"/>
    </row>
    <row r="8554" spans="5:5" x14ac:dyDescent="0.2">
      <c r="E8554" s="332"/>
    </row>
    <row r="8555" spans="5:5" x14ac:dyDescent="0.2">
      <c r="E8555" s="332"/>
    </row>
    <row r="8556" spans="5:5" x14ac:dyDescent="0.2">
      <c r="E8556" s="332"/>
    </row>
    <row r="8557" spans="5:5" x14ac:dyDescent="0.2">
      <c r="E8557" s="332"/>
    </row>
    <row r="8558" spans="5:5" x14ac:dyDescent="0.2">
      <c r="E8558" s="332"/>
    </row>
    <row r="8559" spans="5:5" x14ac:dyDescent="0.2">
      <c r="E8559" s="332"/>
    </row>
    <row r="8560" spans="5:5" x14ac:dyDescent="0.2">
      <c r="E8560" s="332"/>
    </row>
    <row r="8561" spans="5:5" x14ac:dyDescent="0.2">
      <c r="E8561" s="332"/>
    </row>
    <row r="8562" spans="5:5" x14ac:dyDescent="0.2">
      <c r="E8562" s="332"/>
    </row>
    <row r="8563" spans="5:5" x14ac:dyDescent="0.2">
      <c r="E8563" s="332"/>
    </row>
    <row r="8564" spans="5:5" x14ac:dyDescent="0.2">
      <c r="E8564" s="332"/>
    </row>
    <row r="8565" spans="5:5" x14ac:dyDescent="0.2">
      <c r="E8565" s="332"/>
    </row>
    <row r="8566" spans="5:5" x14ac:dyDescent="0.2">
      <c r="E8566" s="332"/>
    </row>
    <row r="8567" spans="5:5" x14ac:dyDescent="0.2">
      <c r="E8567" s="332"/>
    </row>
    <row r="8568" spans="5:5" x14ac:dyDescent="0.2">
      <c r="E8568" s="332"/>
    </row>
    <row r="8569" spans="5:5" x14ac:dyDescent="0.2">
      <c r="E8569" s="332"/>
    </row>
    <row r="8570" spans="5:5" x14ac:dyDescent="0.2">
      <c r="E8570" s="332"/>
    </row>
    <row r="8571" spans="5:5" x14ac:dyDescent="0.2">
      <c r="E8571" s="332"/>
    </row>
    <row r="8572" spans="5:5" x14ac:dyDescent="0.2">
      <c r="E8572" s="332"/>
    </row>
    <row r="8573" spans="5:5" x14ac:dyDescent="0.2">
      <c r="E8573" s="332"/>
    </row>
    <row r="8574" spans="5:5" x14ac:dyDescent="0.2">
      <c r="E8574" s="332"/>
    </row>
    <row r="8575" spans="5:5" x14ac:dyDescent="0.2">
      <c r="E8575" s="332"/>
    </row>
    <row r="8576" spans="5:5" x14ac:dyDescent="0.2">
      <c r="E8576" s="332"/>
    </row>
    <row r="8577" spans="5:5" x14ac:dyDescent="0.2">
      <c r="E8577" s="332"/>
    </row>
    <row r="8578" spans="5:5" x14ac:dyDescent="0.2">
      <c r="E8578" s="332"/>
    </row>
    <row r="8579" spans="5:5" x14ac:dyDescent="0.2">
      <c r="E8579" s="332"/>
    </row>
    <row r="8580" spans="5:5" x14ac:dyDescent="0.2">
      <c r="E8580" s="332"/>
    </row>
    <row r="8581" spans="5:5" x14ac:dyDescent="0.2">
      <c r="E8581" s="332"/>
    </row>
    <row r="8582" spans="5:5" x14ac:dyDescent="0.2">
      <c r="E8582" s="332"/>
    </row>
    <row r="8583" spans="5:5" x14ac:dyDescent="0.2">
      <c r="E8583" s="332"/>
    </row>
    <row r="8584" spans="5:5" x14ac:dyDescent="0.2">
      <c r="E8584" s="332"/>
    </row>
    <row r="8585" spans="5:5" x14ac:dyDescent="0.2">
      <c r="E8585" s="332"/>
    </row>
    <row r="8586" spans="5:5" x14ac:dyDescent="0.2">
      <c r="E8586" s="332"/>
    </row>
    <row r="8587" spans="5:5" x14ac:dyDescent="0.2">
      <c r="E8587" s="332"/>
    </row>
    <row r="8588" spans="5:5" x14ac:dyDescent="0.2">
      <c r="E8588" s="332"/>
    </row>
    <row r="8589" spans="5:5" x14ac:dyDescent="0.2">
      <c r="E8589" s="332"/>
    </row>
    <row r="8590" spans="5:5" x14ac:dyDescent="0.2">
      <c r="E8590" s="332"/>
    </row>
    <row r="8591" spans="5:5" x14ac:dyDescent="0.2">
      <c r="E8591" s="332"/>
    </row>
    <row r="8592" spans="5:5" x14ac:dyDescent="0.2">
      <c r="E8592" s="332"/>
    </row>
    <row r="8593" spans="5:5" x14ac:dyDescent="0.2">
      <c r="E8593" s="332"/>
    </row>
    <row r="8594" spans="5:5" x14ac:dyDescent="0.2">
      <c r="E8594" s="332"/>
    </row>
    <row r="8595" spans="5:5" x14ac:dyDescent="0.2">
      <c r="E8595" s="332"/>
    </row>
    <row r="8596" spans="5:5" x14ac:dyDescent="0.2">
      <c r="E8596" s="332"/>
    </row>
    <row r="8597" spans="5:5" x14ac:dyDescent="0.2">
      <c r="E8597" s="332"/>
    </row>
    <row r="8598" spans="5:5" x14ac:dyDescent="0.2">
      <c r="E8598" s="332"/>
    </row>
    <row r="8599" spans="5:5" x14ac:dyDescent="0.2">
      <c r="E8599" s="332"/>
    </row>
    <row r="8600" spans="5:5" x14ac:dyDescent="0.2">
      <c r="E8600" s="332"/>
    </row>
    <row r="8601" spans="5:5" x14ac:dyDescent="0.2">
      <c r="E8601" s="332"/>
    </row>
    <row r="8602" spans="5:5" x14ac:dyDescent="0.2">
      <c r="E8602" s="332"/>
    </row>
    <row r="8603" spans="5:5" x14ac:dyDescent="0.2">
      <c r="E8603" s="332"/>
    </row>
    <row r="8604" spans="5:5" x14ac:dyDescent="0.2">
      <c r="E8604" s="332"/>
    </row>
    <row r="8605" spans="5:5" x14ac:dyDescent="0.2">
      <c r="E8605" s="332"/>
    </row>
    <row r="8606" spans="5:5" x14ac:dyDescent="0.2">
      <c r="E8606" s="332"/>
    </row>
    <row r="8607" spans="5:5" x14ac:dyDescent="0.2">
      <c r="E8607" s="332"/>
    </row>
    <row r="8608" spans="5:5" x14ac:dyDescent="0.2">
      <c r="E8608" s="332"/>
    </row>
    <row r="8609" spans="5:5" x14ac:dyDescent="0.2">
      <c r="E8609" s="332"/>
    </row>
    <row r="8610" spans="5:5" x14ac:dyDescent="0.2">
      <c r="E8610" s="332"/>
    </row>
    <row r="8611" spans="5:5" x14ac:dyDescent="0.2">
      <c r="E8611" s="332"/>
    </row>
    <row r="8612" spans="5:5" x14ac:dyDescent="0.2">
      <c r="E8612" s="332"/>
    </row>
    <row r="8613" spans="5:5" x14ac:dyDescent="0.2">
      <c r="E8613" s="332"/>
    </row>
    <row r="8614" spans="5:5" x14ac:dyDescent="0.2">
      <c r="E8614" s="332"/>
    </row>
    <row r="8615" spans="5:5" x14ac:dyDescent="0.2">
      <c r="E8615" s="332"/>
    </row>
    <row r="8616" spans="5:5" x14ac:dyDescent="0.2">
      <c r="E8616" s="332"/>
    </row>
    <row r="8617" spans="5:5" x14ac:dyDescent="0.2">
      <c r="E8617" s="332"/>
    </row>
    <row r="8618" spans="5:5" x14ac:dyDescent="0.2">
      <c r="E8618" s="332"/>
    </row>
    <row r="8619" spans="5:5" x14ac:dyDescent="0.2">
      <c r="E8619" s="332"/>
    </row>
    <row r="8620" spans="5:5" x14ac:dyDescent="0.2">
      <c r="E8620" s="332"/>
    </row>
    <row r="8621" spans="5:5" x14ac:dyDescent="0.2">
      <c r="E8621" s="332"/>
    </row>
    <row r="8622" spans="5:5" x14ac:dyDescent="0.2">
      <c r="E8622" s="332"/>
    </row>
    <row r="8623" spans="5:5" x14ac:dyDescent="0.2">
      <c r="E8623" s="332"/>
    </row>
    <row r="8624" spans="5:5" x14ac:dyDescent="0.2">
      <c r="E8624" s="332"/>
    </row>
    <row r="8625" spans="5:5" x14ac:dyDescent="0.2">
      <c r="E8625" s="332"/>
    </row>
    <row r="8626" spans="5:5" x14ac:dyDescent="0.2">
      <c r="E8626" s="332"/>
    </row>
    <row r="8627" spans="5:5" x14ac:dyDescent="0.2">
      <c r="E8627" s="332"/>
    </row>
    <row r="8628" spans="5:5" x14ac:dyDescent="0.2">
      <c r="E8628" s="332"/>
    </row>
    <row r="8629" spans="5:5" x14ac:dyDescent="0.2">
      <c r="E8629" s="332"/>
    </row>
    <row r="8630" spans="5:5" x14ac:dyDescent="0.2">
      <c r="E8630" s="332"/>
    </row>
    <row r="8631" spans="5:5" x14ac:dyDescent="0.2">
      <c r="E8631" s="332"/>
    </row>
    <row r="8632" spans="5:5" x14ac:dyDescent="0.2">
      <c r="E8632" s="332"/>
    </row>
    <row r="8633" spans="5:5" x14ac:dyDescent="0.2">
      <c r="E8633" s="332"/>
    </row>
    <row r="8634" spans="5:5" x14ac:dyDescent="0.2">
      <c r="E8634" s="332"/>
    </row>
    <row r="8635" spans="5:5" x14ac:dyDescent="0.2">
      <c r="E8635" s="332"/>
    </row>
    <row r="8636" spans="5:5" x14ac:dyDescent="0.2">
      <c r="E8636" s="332"/>
    </row>
    <row r="8637" spans="5:5" x14ac:dyDescent="0.2">
      <c r="E8637" s="332"/>
    </row>
    <row r="8638" spans="5:5" x14ac:dyDescent="0.2">
      <c r="E8638" s="332"/>
    </row>
    <row r="8639" spans="5:5" x14ac:dyDescent="0.2">
      <c r="E8639" s="332"/>
    </row>
    <row r="8640" spans="5:5" x14ac:dyDescent="0.2">
      <c r="E8640" s="332"/>
    </row>
    <row r="8641" spans="5:5" x14ac:dyDescent="0.2">
      <c r="E8641" s="332"/>
    </row>
    <row r="8642" spans="5:5" x14ac:dyDescent="0.2">
      <c r="E8642" s="332"/>
    </row>
    <row r="8643" spans="5:5" x14ac:dyDescent="0.2">
      <c r="E8643" s="332"/>
    </row>
    <row r="8644" spans="5:5" x14ac:dyDescent="0.2">
      <c r="E8644" s="332"/>
    </row>
    <row r="8645" spans="5:5" x14ac:dyDescent="0.2">
      <c r="E8645" s="332"/>
    </row>
    <row r="8646" spans="5:5" x14ac:dyDescent="0.2">
      <c r="E8646" s="332"/>
    </row>
    <row r="8647" spans="5:5" x14ac:dyDescent="0.2">
      <c r="E8647" s="332"/>
    </row>
    <row r="8648" spans="5:5" x14ac:dyDescent="0.2">
      <c r="E8648" s="332"/>
    </row>
    <row r="8649" spans="5:5" x14ac:dyDescent="0.2">
      <c r="E8649" s="332"/>
    </row>
    <row r="8650" spans="5:5" x14ac:dyDescent="0.2">
      <c r="E8650" s="332"/>
    </row>
    <row r="8651" spans="5:5" x14ac:dyDescent="0.2">
      <c r="E8651" s="332"/>
    </row>
    <row r="8652" spans="5:5" x14ac:dyDescent="0.2">
      <c r="E8652" s="332"/>
    </row>
    <row r="8653" spans="5:5" x14ac:dyDescent="0.2">
      <c r="E8653" s="332"/>
    </row>
    <row r="8654" spans="5:5" x14ac:dyDescent="0.2">
      <c r="E8654" s="332"/>
    </row>
    <row r="8655" spans="5:5" x14ac:dyDescent="0.2">
      <c r="E8655" s="332"/>
    </row>
    <row r="8656" spans="5:5" x14ac:dyDescent="0.2">
      <c r="E8656" s="332"/>
    </row>
    <row r="8657" spans="5:5" x14ac:dyDescent="0.2">
      <c r="E8657" s="332"/>
    </row>
    <row r="8658" spans="5:5" x14ac:dyDescent="0.2">
      <c r="E8658" s="332"/>
    </row>
    <row r="8659" spans="5:5" x14ac:dyDescent="0.2">
      <c r="E8659" s="332"/>
    </row>
    <row r="8660" spans="5:5" x14ac:dyDescent="0.2">
      <c r="E8660" s="332"/>
    </row>
    <row r="8661" spans="5:5" x14ac:dyDescent="0.2">
      <c r="E8661" s="332"/>
    </row>
    <row r="8662" spans="5:5" x14ac:dyDescent="0.2">
      <c r="E8662" s="332"/>
    </row>
    <row r="8663" spans="5:5" x14ac:dyDescent="0.2">
      <c r="E8663" s="332"/>
    </row>
    <row r="8664" spans="5:5" x14ac:dyDescent="0.2">
      <c r="E8664" s="332"/>
    </row>
    <row r="8665" spans="5:5" x14ac:dyDescent="0.2">
      <c r="E8665" s="332"/>
    </row>
    <row r="8666" spans="5:5" x14ac:dyDescent="0.2">
      <c r="E8666" s="332"/>
    </row>
    <row r="8667" spans="5:5" x14ac:dyDescent="0.2">
      <c r="E8667" s="332"/>
    </row>
    <row r="8668" spans="5:5" x14ac:dyDescent="0.2">
      <c r="E8668" s="332"/>
    </row>
    <row r="8669" spans="5:5" x14ac:dyDescent="0.2">
      <c r="E8669" s="332"/>
    </row>
    <row r="8670" spans="5:5" x14ac:dyDescent="0.2">
      <c r="E8670" s="332"/>
    </row>
    <row r="8671" spans="5:5" x14ac:dyDescent="0.2">
      <c r="E8671" s="332"/>
    </row>
    <row r="8672" spans="5:5" x14ac:dyDescent="0.2">
      <c r="E8672" s="332"/>
    </row>
    <row r="8673" spans="5:5" x14ac:dyDescent="0.2">
      <c r="E8673" s="332"/>
    </row>
    <row r="8674" spans="5:5" x14ac:dyDescent="0.2">
      <c r="E8674" s="332"/>
    </row>
    <row r="8675" spans="5:5" x14ac:dyDescent="0.2">
      <c r="E8675" s="332"/>
    </row>
    <row r="8676" spans="5:5" x14ac:dyDescent="0.2">
      <c r="E8676" s="332"/>
    </row>
    <row r="8677" spans="5:5" x14ac:dyDescent="0.2">
      <c r="E8677" s="332"/>
    </row>
    <row r="8678" spans="5:5" x14ac:dyDescent="0.2">
      <c r="E8678" s="332"/>
    </row>
    <row r="8679" spans="5:5" x14ac:dyDescent="0.2">
      <c r="E8679" s="332"/>
    </row>
    <row r="8680" spans="5:5" x14ac:dyDescent="0.2">
      <c r="E8680" s="332"/>
    </row>
    <row r="8681" spans="5:5" x14ac:dyDescent="0.2">
      <c r="E8681" s="332"/>
    </row>
    <row r="8682" spans="5:5" x14ac:dyDescent="0.2">
      <c r="E8682" s="332"/>
    </row>
    <row r="8683" spans="5:5" x14ac:dyDescent="0.2">
      <c r="E8683" s="332"/>
    </row>
    <row r="8684" spans="5:5" x14ac:dyDescent="0.2">
      <c r="E8684" s="332"/>
    </row>
    <row r="8685" spans="5:5" x14ac:dyDescent="0.2">
      <c r="E8685" s="332"/>
    </row>
    <row r="8686" spans="5:5" x14ac:dyDescent="0.2">
      <c r="E8686" s="332"/>
    </row>
    <row r="8687" spans="5:5" x14ac:dyDescent="0.2">
      <c r="E8687" s="332"/>
    </row>
    <row r="8688" spans="5:5" x14ac:dyDescent="0.2">
      <c r="E8688" s="332"/>
    </row>
    <row r="8689" spans="5:5" x14ac:dyDescent="0.2">
      <c r="E8689" s="332"/>
    </row>
    <row r="8690" spans="5:5" x14ac:dyDescent="0.2">
      <c r="E8690" s="332"/>
    </row>
    <row r="8691" spans="5:5" x14ac:dyDescent="0.2">
      <c r="E8691" s="332"/>
    </row>
    <row r="8692" spans="5:5" x14ac:dyDescent="0.2">
      <c r="E8692" s="332"/>
    </row>
    <row r="8693" spans="5:5" x14ac:dyDescent="0.2">
      <c r="E8693" s="332"/>
    </row>
    <row r="8694" spans="5:5" x14ac:dyDescent="0.2">
      <c r="E8694" s="332"/>
    </row>
    <row r="8695" spans="5:5" x14ac:dyDescent="0.2">
      <c r="E8695" s="332"/>
    </row>
    <row r="8696" spans="5:5" x14ac:dyDescent="0.2">
      <c r="E8696" s="332"/>
    </row>
    <row r="8697" spans="5:5" x14ac:dyDescent="0.2">
      <c r="E8697" s="332"/>
    </row>
    <row r="8698" spans="5:5" x14ac:dyDescent="0.2">
      <c r="E8698" s="332"/>
    </row>
    <row r="8699" spans="5:5" x14ac:dyDescent="0.2">
      <c r="E8699" s="332"/>
    </row>
    <row r="8700" spans="5:5" x14ac:dyDescent="0.2">
      <c r="E8700" s="332"/>
    </row>
    <row r="8701" spans="5:5" x14ac:dyDescent="0.2">
      <c r="E8701" s="332"/>
    </row>
    <row r="8702" spans="5:5" x14ac:dyDescent="0.2">
      <c r="E8702" s="332"/>
    </row>
    <row r="8703" spans="5:5" x14ac:dyDescent="0.2">
      <c r="E8703" s="332"/>
    </row>
    <row r="8704" spans="5:5" x14ac:dyDescent="0.2">
      <c r="E8704" s="332"/>
    </row>
    <row r="8705" spans="5:5" x14ac:dyDescent="0.2">
      <c r="E8705" s="332"/>
    </row>
    <row r="8706" spans="5:5" x14ac:dyDescent="0.2">
      <c r="E8706" s="332"/>
    </row>
    <row r="8707" spans="5:5" x14ac:dyDescent="0.2">
      <c r="E8707" s="332"/>
    </row>
    <row r="8708" spans="5:5" x14ac:dyDescent="0.2">
      <c r="E8708" s="332"/>
    </row>
    <row r="8709" spans="5:5" x14ac:dyDescent="0.2">
      <c r="E8709" s="332"/>
    </row>
    <row r="8710" spans="5:5" x14ac:dyDescent="0.2">
      <c r="E8710" s="332"/>
    </row>
    <row r="8711" spans="5:5" x14ac:dyDescent="0.2">
      <c r="E8711" s="332"/>
    </row>
    <row r="8712" spans="5:5" x14ac:dyDescent="0.2">
      <c r="E8712" s="332"/>
    </row>
    <row r="8713" spans="5:5" x14ac:dyDescent="0.2">
      <c r="E8713" s="332"/>
    </row>
    <row r="8714" spans="5:5" x14ac:dyDescent="0.2">
      <c r="E8714" s="332"/>
    </row>
    <row r="8715" spans="5:5" x14ac:dyDescent="0.2">
      <c r="E8715" s="332"/>
    </row>
    <row r="8716" spans="5:5" x14ac:dyDescent="0.2">
      <c r="E8716" s="332"/>
    </row>
    <row r="8717" spans="5:5" x14ac:dyDescent="0.2">
      <c r="E8717" s="332"/>
    </row>
    <row r="8718" spans="5:5" x14ac:dyDescent="0.2">
      <c r="E8718" s="332"/>
    </row>
    <row r="8719" spans="5:5" x14ac:dyDescent="0.2">
      <c r="E8719" s="332"/>
    </row>
    <row r="8720" spans="5:5" x14ac:dyDescent="0.2">
      <c r="E8720" s="332"/>
    </row>
    <row r="8721" spans="5:5" x14ac:dyDescent="0.2">
      <c r="E8721" s="332"/>
    </row>
    <row r="8722" spans="5:5" x14ac:dyDescent="0.2">
      <c r="E8722" s="332"/>
    </row>
    <row r="8723" spans="5:5" x14ac:dyDescent="0.2">
      <c r="E8723" s="332"/>
    </row>
    <row r="8724" spans="5:5" x14ac:dyDescent="0.2">
      <c r="E8724" s="332"/>
    </row>
    <row r="8725" spans="5:5" x14ac:dyDescent="0.2">
      <c r="E8725" s="332"/>
    </row>
    <row r="8726" spans="5:5" x14ac:dyDescent="0.2">
      <c r="E8726" s="332"/>
    </row>
    <row r="8727" spans="5:5" x14ac:dyDescent="0.2">
      <c r="E8727" s="332"/>
    </row>
    <row r="8728" spans="5:5" x14ac:dyDescent="0.2">
      <c r="E8728" s="332"/>
    </row>
    <row r="8729" spans="5:5" x14ac:dyDescent="0.2">
      <c r="E8729" s="332"/>
    </row>
    <row r="8730" spans="5:5" x14ac:dyDescent="0.2">
      <c r="E8730" s="332"/>
    </row>
    <row r="8731" spans="5:5" x14ac:dyDescent="0.2">
      <c r="E8731" s="332"/>
    </row>
    <row r="8732" spans="5:5" x14ac:dyDescent="0.2">
      <c r="E8732" s="332"/>
    </row>
    <row r="8733" spans="5:5" x14ac:dyDescent="0.2">
      <c r="E8733" s="332"/>
    </row>
    <row r="8734" spans="5:5" x14ac:dyDescent="0.2">
      <c r="E8734" s="332"/>
    </row>
    <row r="8735" spans="5:5" x14ac:dyDescent="0.2">
      <c r="E8735" s="332"/>
    </row>
    <row r="8736" spans="5:5" x14ac:dyDescent="0.2">
      <c r="E8736" s="332"/>
    </row>
    <row r="8737" spans="5:5" x14ac:dyDescent="0.2">
      <c r="E8737" s="332"/>
    </row>
    <row r="8738" spans="5:5" x14ac:dyDescent="0.2">
      <c r="E8738" s="332"/>
    </row>
    <row r="8739" spans="5:5" x14ac:dyDescent="0.2">
      <c r="E8739" s="332"/>
    </row>
    <row r="8740" spans="5:5" x14ac:dyDescent="0.2">
      <c r="E8740" s="332"/>
    </row>
    <row r="8741" spans="5:5" x14ac:dyDescent="0.2">
      <c r="E8741" s="332"/>
    </row>
    <row r="8742" spans="5:5" x14ac:dyDescent="0.2">
      <c r="E8742" s="332"/>
    </row>
    <row r="8743" spans="5:5" x14ac:dyDescent="0.2">
      <c r="E8743" s="332"/>
    </row>
    <row r="8744" spans="5:5" x14ac:dyDescent="0.2">
      <c r="E8744" s="332"/>
    </row>
    <row r="8745" spans="5:5" x14ac:dyDescent="0.2">
      <c r="E8745" s="332"/>
    </row>
    <row r="8746" spans="5:5" x14ac:dyDescent="0.2">
      <c r="E8746" s="332"/>
    </row>
    <row r="8747" spans="5:5" x14ac:dyDescent="0.2">
      <c r="E8747" s="332"/>
    </row>
    <row r="8748" spans="5:5" x14ac:dyDescent="0.2">
      <c r="E8748" s="332"/>
    </row>
    <row r="8749" spans="5:5" x14ac:dyDescent="0.2">
      <c r="E8749" s="332"/>
    </row>
    <row r="8750" spans="5:5" x14ac:dyDescent="0.2">
      <c r="E8750" s="332"/>
    </row>
    <row r="8751" spans="5:5" x14ac:dyDescent="0.2">
      <c r="E8751" s="332"/>
    </row>
    <row r="8752" spans="5:5" x14ac:dyDescent="0.2">
      <c r="E8752" s="332"/>
    </row>
    <row r="8753" spans="5:5" x14ac:dyDescent="0.2">
      <c r="E8753" s="332"/>
    </row>
    <row r="8754" spans="5:5" x14ac:dyDescent="0.2">
      <c r="E8754" s="332"/>
    </row>
    <row r="8755" spans="5:5" x14ac:dyDescent="0.2">
      <c r="E8755" s="332"/>
    </row>
    <row r="8756" spans="5:5" x14ac:dyDescent="0.2">
      <c r="E8756" s="332"/>
    </row>
    <row r="8757" spans="5:5" x14ac:dyDescent="0.2">
      <c r="E8757" s="332"/>
    </row>
    <row r="8758" spans="5:5" x14ac:dyDescent="0.2">
      <c r="E8758" s="332"/>
    </row>
    <row r="8759" spans="5:5" x14ac:dyDescent="0.2">
      <c r="E8759" s="332"/>
    </row>
    <row r="8760" spans="5:5" x14ac:dyDescent="0.2">
      <c r="E8760" s="332"/>
    </row>
    <row r="8761" spans="5:5" x14ac:dyDescent="0.2">
      <c r="E8761" s="332"/>
    </row>
    <row r="8762" spans="5:5" x14ac:dyDescent="0.2">
      <c r="E8762" s="332"/>
    </row>
    <row r="8763" spans="5:5" x14ac:dyDescent="0.2">
      <c r="E8763" s="332"/>
    </row>
    <row r="8764" spans="5:5" x14ac:dyDescent="0.2">
      <c r="E8764" s="332"/>
    </row>
    <row r="8765" spans="5:5" x14ac:dyDescent="0.2">
      <c r="E8765" s="332"/>
    </row>
    <row r="8766" spans="5:5" x14ac:dyDescent="0.2">
      <c r="E8766" s="332"/>
    </row>
    <row r="8767" spans="5:5" x14ac:dyDescent="0.2">
      <c r="E8767" s="332"/>
    </row>
    <row r="8768" spans="5:5" x14ac:dyDescent="0.2">
      <c r="E8768" s="332"/>
    </row>
    <row r="8769" spans="5:5" x14ac:dyDescent="0.2">
      <c r="E8769" s="332"/>
    </row>
    <row r="8770" spans="5:5" x14ac:dyDescent="0.2">
      <c r="E8770" s="332"/>
    </row>
    <row r="8771" spans="5:5" x14ac:dyDescent="0.2">
      <c r="E8771" s="332"/>
    </row>
    <row r="8772" spans="5:5" x14ac:dyDescent="0.2">
      <c r="E8772" s="332"/>
    </row>
    <row r="8773" spans="5:5" x14ac:dyDescent="0.2">
      <c r="E8773" s="332"/>
    </row>
    <row r="8774" spans="5:5" x14ac:dyDescent="0.2">
      <c r="E8774" s="332"/>
    </row>
    <row r="8775" spans="5:5" x14ac:dyDescent="0.2">
      <c r="E8775" s="332"/>
    </row>
    <row r="8776" spans="5:5" x14ac:dyDescent="0.2">
      <c r="E8776" s="332"/>
    </row>
    <row r="8777" spans="5:5" x14ac:dyDescent="0.2">
      <c r="E8777" s="332"/>
    </row>
    <row r="8778" spans="5:5" x14ac:dyDescent="0.2">
      <c r="E8778" s="332"/>
    </row>
    <row r="8779" spans="5:5" x14ac:dyDescent="0.2">
      <c r="E8779" s="332"/>
    </row>
    <row r="8780" spans="5:5" x14ac:dyDescent="0.2">
      <c r="E8780" s="332"/>
    </row>
    <row r="8781" spans="5:5" x14ac:dyDescent="0.2">
      <c r="E8781" s="332"/>
    </row>
    <row r="8782" spans="5:5" x14ac:dyDescent="0.2">
      <c r="E8782" s="332"/>
    </row>
    <row r="8783" spans="5:5" x14ac:dyDescent="0.2">
      <c r="E8783" s="332"/>
    </row>
    <row r="8784" spans="5:5" x14ac:dyDescent="0.2">
      <c r="E8784" s="332"/>
    </row>
    <row r="8785" spans="5:5" x14ac:dyDescent="0.2">
      <c r="E8785" s="332"/>
    </row>
    <row r="8786" spans="5:5" x14ac:dyDescent="0.2">
      <c r="E8786" s="332"/>
    </row>
    <row r="8787" spans="5:5" x14ac:dyDescent="0.2">
      <c r="E8787" s="332"/>
    </row>
    <row r="8788" spans="5:5" x14ac:dyDescent="0.2">
      <c r="E8788" s="332"/>
    </row>
    <row r="8789" spans="5:5" x14ac:dyDescent="0.2">
      <c r="E8789" s="332"/>
    </row>
    <row r="8790" spans="5:5" x14ac:dyDescent="0.2">
      <c r="E8790" s="332"/>
    </row>
    <row r="8791" spans="5:5" x14ac:dyDescent="0.2">
      <c r="E8791" s="332"/>
    </row>
    <row r="8792" spans="5:5" x14ac:dyDescent="0.2">
      <c r="E8792" s="332"/>
    </row>
    <row r="8793" spans="5:5" x14ac:dyDescent="0.2">
      <c r="E8793" s="332"/>
    </row>
    <row r="8794" spans="5:5" x14ac:dyDescent="0.2">
      <c r="E8794" s="332"/>
    </row>
    <row r="8795" spans="5:5" x14ac:dyDescent="0.2">
      <c r="E8795" s="332"/>
    </row>
    <row r="8796" spans="5:5" x14ac:dyDescent="0.2">
      <c r="E8796" s="332"/>
    </row>
    <row r="8797" spans="5:5" x14ac:dyDescent="0.2">
      <c r="E8797" s="332"/>
    </row>
    <row r="8798" spans="5:5" x14ac:dyDescent="0.2">
      <c r="E8798" s="332"/>
    </row>
    <row r="8799" spans="5:5" x14ac:dyDescent="0.2">
      <c r="E8799" s="332"/>
    </row>
    <row r="8800" spans="5:5" x14ac:dyDescent="0.2">
      <c r="E8800" s="332"/>
    </row>
    <row r="8801" spans="5:5" x14ac:dyDescent="0.2">
      <c r="E8801" s="332"/>
    </row>
    <row r="8802" spans="5:5" x14ac:dyDescent="0.2">
      <c r="E8802" s="332"/>
    </row>
    <row r="8803" spans="5:5" x14ac:dyDescent="0.2">
      <c r="E8803" s="332"/>
    </row>
    <row r="8804" spans="5:5" x14ac:dyDescent="0.2">
      <c r="E8804" s="332"/>
    </row>
    <row r="8805" spans="5:5" x14ac:dyDescent="0.2">
      <c r="E8805" s="332"/>
    </row>
    <row r="8806" spans="5:5" x14ac:dyDescent="0.2">
      <c r="E8806" s="332"/>
    </row>
    <row r="8807" spans="5:5" x14ac:dyDescent="0.2">
      <c r="E8807" s="332"/>
    </row>
    <row r="8808" spans="5:5" x14ac:dyDescent="0.2">
      <c r="E8808" s="332"/>
    </row>
    <row r="8809" spans="5:5" x14ac:dyDescent="0.2">
      <c r="E8809" s="332"/>
    </row>
    <row r="8810" spans="5:5" x14ac:dyDescent="0.2">
      <c r="E8810" s="332"/>
    </row>
    <row r="8811" spans="5:5" x14ac:dyDescent="0.2">
      <c r="E8811" s="332"/>
    </row>
    <row r="8812" spans="5:5" x14ac:dyDescent="0.2">
      <c r="E8812" s="332"/>
    </row>
    <row r="8813" spans="5:5" x14ac:dyDescent="0.2">
      <c r="E8813" s="332"/>
    </row>
    <row r="8814" spans="5:5" x14ac:dyDescent="0.2">
      <c r="E8814" s="332"/>
    </row>
    <row r="8815" spans="5:5" x14ac:dyDescent="0.2">
      <c r="E8815" s="332"/>
    </row>
    <row r="8816" spans="5:5" x14ac:dyDescent="0.2">
      <c r="E8816" s="332"/>
    </row>
    <row r="8817" spans="5:5" x14ac:dyDescent="0.2">
      <c r="E8817" s="332"/>
    </row>
    <row r="8818" spans="5:5" x14ac:dyDescent="0.2">
      <c r="E8818" s="332"/>
    </row>
    <row r="8819" spans="5:5" x14ac:dyDescent="0.2">
      <c r="E8819" s="332"/>
    </row>
    <row r="8820" spans="5:5" x14ac:dyDescent="0.2">
      <c r="E8820" s="332"/>
    </row>
    <row r="8821" spans="5:5" x14ac:dyDescent="0.2">
      <c r="E8821" s="332"/>
    </row>
    <row r="8822" spans="5:5" x14ac:dyDescent="0.2">
      <c r="E8822" s="332"/>
    </row>
    <row r="8823" spans="5:5" x14ac:dyDescent="0.2">
      <c r="E8823" s="332"/>
    </row>
    <row r="8824" spans="5:5" x14ac:dyDescent="0.2">
      <c r="E8824" s="332"/>
    </row>
    <row r="8825" spans="5:5" x14ac:dyDescent="0.2">
      <c r="E8825" s="332"/>
    </row>
    <row r="8826" spans="5:5" x14ac:dyDescent="0.2">
      <c r="E8826" s="332"/>
    </row>
    <row r="8827" spans="5:5" x14ac:dyDescent="0.2">
      <c r="E8827" s="332"/>
    </row>
    <row r="8828" spans="5:5" x14ac:dyDescent="0.2">
      <c r="E8828" s="332"/>
    </row>
    <row r="8829" spans="5:5" x14ac:dyDescent="0.2">
      <c r="E8829" s="332"/>
    </row>
    <row r="8830" spans="5:5" x14ac:dyDescent="0.2">
      <c r="E8830" s="332"/>
    </row>
    <row r="8831" spans="5:5" x14ac:dyDescent="0.2">
      <c r="E8831" s="332"/>
    </row>
    <row r="8832" spans="5:5" x14ac:dyDescent="0.2">
      <c r="E8832" s="332"/>
    </row>
    <row r="8833" spans="5:5" x14ac:dyDescent="0.2">
      <c r="E8833" s="332"/>
    </row>
    <row r="8834" spans="5:5" x14ac:dyDescent="0.2">
      <c r="E8834" s="332"/>
    </row>
    <row r="8835" spans="5:5" x14ac:dyDescent="0.2">
      <c r="E8835" s="332"/>
    </row>
    <row r="8836" spans="5:5" x14ac:dyDescent="0.2">
      <c r="E8836" s="332"/>
    </row>
    <row r="8837" spans="5:5" x14ac:dyDescent="0.2">
      <c r="E8837" s="332"/>
    </row>
    <row r="8838" spans="5:5" x14ac:dyDescent="0.2">
      <c r="E8838" s="332"/>
    </row>
    <row r="8839" spans="5:5" x14ac:dyDescent="0.2">
      <c r="E8839" s="332"/>
    </row>
    <row r="8840" spans="5:5" x14ac:dyDescent="0.2">
      <c r="E8840" s="332"/>
    </row>
    <row r="8841" spans="5:5" x14ac:dyDescent="0.2">
      <c r="E8841" s="332"/>
    </row>
    <row r="8842" spans="5:5" x14ac:dyDescent="0.2">
      <c r="E8842" s="332"/>
    </row>
    <row r="8843" spans="5:5" x14ac:dyDescent="0.2">
      <c r="E8843" s="332"/>
    </row>
    <row r="8844" spans="5:5" x14ac:dyDescent="0.2">
      <c r="E8844" s="332"/>
    </row>
    <row r="8845" spans="5:5" x14ac:dyDescent="0.2">
      <c r="E8845" s="332"/>
    </row>
    <row r="8846" spans="5:5" x14ac:dyDescent="0.2">
      <c r="E8846" s="332"/>
    </row>
    <row r="8847" spans="5:5" x14ac:dyDescent="0.2">
      <c r="E8847" s="332"/>
    </row>
    <row r="8848" spans="5:5" x14ac:dyDescent="0.2">
      <c r="E8848" s="332"/>
    </row>
    <row r="8849" spans="5:5" x14ac:dyDescent="0.2">
      <c r="E8849" s="332"/>
    </row>
    <row r="8850" spans="5:5" x14ac:dyDescent="0.2">
      <c r="E8850" s="332"/>
    </row>
    <row r="8851" spans="5:5" x14ac:dyDescent="0.2">
      <c r="E8851" s="332"/>
    </row>
    <row r="8852" spans="5:5" x14ac:dyDescent="0.2">
      <c r="E8852" s="332"/>
    </row>
    <row r="8853" spans="5:5" x14ac:dyDescent="0.2">
      <c r="E8853" s="332"/>
    </row>
    <row r="8854" spans="5:5" x14ac:dyDescent="0.2">
      <c r="E8854" s="332"/>
    </row>
    <row r="8855" spans="5:5" x14ac:dyDescent="0.2">
      <c r="E8855" s="332"/>
    </row>
    <row r="8856" spans="5:5" x14ac:dyDescent="0.2">
      <c r="E8856" s="332"/>
    </row>
    <row r="8857" spans="5:5" x14ac:dyDescent="0.2">
      <c r="E8857" s="332"/>
    </row>
    <row r="8858" spans="5:5" x14ac:dyDescent="0.2">
      <c r="E8858" s="332"/>
    </row>
    <row r="8859" spans="5:5" x14ac:dyDescent="0.2">
      <c r="E8859" s="332"/>
    </row>
    <row r="8860" spans="5:5" x14ac:dyDescent="0.2">
      <c r="E8860" s="332"/>
    </row>
    <row r="8861" spans="5:5" x14ac:dyDescent="0.2">
      <c r="E8861" s="332"/>
    </row>
    <row r="8862" spans="5:5" x14ac:dyDescent="0.2">
      <c r="E8862" s="332"/>
    </row>
    <row r="8863" spans="5:5" x14ac:dyDescent="0.2">
      <c r="E8863" s="332"/>
    </row>
    <row r="8864" spans="5:5" x14ac:dyDescent="0.2">
      <c r="E8864" s="332"/>
    </row>
    <row r="8865" spans="5:5" x14ac:dyDescent="0.2">
      <c r="E8865" s="332"/>
    </row>
    <row r="8866" spans="5:5" x14ac:dyDescent="0.2">
      <c r="E8866" s="332"/>
    </row>
    <row r="8867" spans="5:5" x14ac:dyDescent="0.2">
      <c r="E8867" s="332"/>
    </row>
    <row r="8868" spans="5:5" x14ac:dyDescent="0.2">
      <c r="E8868" s="332"/>
    </row>
    <row r="8869" spans="5:5" x14ac:dyDescent="0.2">
      <c r="E8869" s="332"/>
    </row>
    <row r="8870" spans="5:5" x14ac:dyDescent="0.2">
      <c r="E8870" s="332"/>
    </row>
    <row r="8871" spans="5:5" x14ac:dyDescent="0.2">
      <c r="E8871" s="332"/>
    </row>
    <row r="8872" spans="5:5" x14ac:dyDescent="0.2">
      <c r="E8872" s="332"/>
    </row>
    <row r="8873" spans="5:5" x14ac:dyDescent="0.2">
      <c r="E8873" s="332"/>
    </row>
    <row r="8874" spans="5:5" x14ac:dyDescent="0.2">
      <c r="E8874" s="332"/>
    </row>
    <row r="8875" spans="5:5" x14ac:dyDescent="0.2">
      <c r="E8875" s="332"/>
    </row>
    <row r="8876" spans="5:5" x14ac:dyDescent="0.2">
      <c r="E8876" s="332"/>
    </row>
    <row r="8877" spans="5:5" x14ac:dyDescent="0.2">
      <c r="E8877" s="332"/>
    </row>
    <row r="8878" spans="5:5" x14ac:dyDescent="0.2">
      <c r="E8878" s="332"/>
    </row>
    <row r="8879" spans="5:5" x14ac:dyDescent="0.2">
      <c r="E8879" s="332"/>
    </row>
    <row r="8880" spans="5:5" x14ac:dyDescent="0.2">
      <c r="E8880" s="332"/>
    </row>
    <row r="8881" spans="5:5" x14ac:dyDescent="0.2">
      <c r="E8881" s="332"/>
    </row>
    <row r="8882" spans="5:5" x14ac:dyDescent="0.2">
      <c r="E8882" s="332"/>
    </row>
    <row r="8883" spans="5:5" x14ac:dyDescent="0.2">
      <c r="E8883" s="332"/>
    </row>
    <row r="8884" spans="5:5" x14ac:dyDescent="0.2">
      <c r="E8884" s="332"/>
    </row>
    <row r="8885" spans="5:5" x14ac:dyDescent="0.2">
      <c r="E8885" s="332"/>
    </row>
    <row r="8886" spans="5:5" x14ac:dyDescent="0.2">
      <c r="E8886" s="332"/>
    </row>
    <row r="8887" spans="5:5" x14ac:dyDescent="0.2">
      <c r="E8887" s="332"/>
    </row>
    <row r="8888" spans="5:5" x14ac:dyDescent="0.2">
      <c r="E8888" s="332"/>
    </row>
    <row r="8889" spans="5:5" x14ac:dyDescent="0.2">
      <c r="E8889" s="332"/>
    </row>
    <row r="8890" spans="5:5" x14ac:dyDescent="0.2">
      <c r="E8890" s="332"/>
    </row>
    <row r="8891" spans="5:5" x14ac:dyDescent="0.2">
      <c r="E8891" s="332"/>
    </row>
    <row r="8892" spans="5:5" x14ac:dyDescent="0.2">
      <c r="E8892" s="332"/>
    </row>
    <row r="8893" spans="5:5" x14ac:dyDescent="0.2">
      <c r="E8893" s="332"/>
    </row>
    <row r="8894" spans="5:5" x14ac:dyDescent="0.2">
      <c r="E8894" s="332"/>
    </row>
    <row r="8895" spans="5:5" x14ac:dyDescent="0.2">
      <c r="E8895" s="332"/>
    </row>
    <row r="8896" spans="5:5" x14ac:dyDescent="0.2">
      <c r="E8896" s="332"/>
    </row>
    <row r="8897" spans="5:5" x14ac:dyDescent="0.2">
      <c r="E8897" s="332"/>
    </row>
    <row r="8898" spans="5:5" x14ac:dyDescent="0.2">
      <c r="E8898" s="332"/>
    </row>
    <row r="8899" spans="5:5" x14ac:dyDescent="0.2">
      <c r="E8899" s="332"/>
    </row>
    <row r="8900" spans="5:5" x14ac:dyDescent="0.2">
      <c r="E8900" s="332"/>
    </row>
    <row r="8901" spans="5:5" x14ac:dyDescent="0.2">
      <c r="E8901" s="332"/>
    </row>
    <row r="8902" spans="5:5" x14ac:dyDescent="0.2">
      <c r="E8902" s="332"/>
    </row>
    <row r="8903" spans="5:5" x14ac:dyDescent="0.2">
      <c r="E8903" s="332"/>
    </row>
    <row r="8904" spans="5:5" x14ac:dyDescent="0.2">
      <c r="E8904" s="332"/>
    </row>
    <row r="8905" spans="5:5" x14ac:dyDescent="0.2">
      <c r="E8905" s="332"/>
    </row>
    <row r="8906" spans="5:5" x14ac:dyDescent="0.2">
      <c r="E8906" s="332"/>
    </row>
    <row r="8907" spans="5:5" x14ac:dyDescent="0.2">
      <c r="E8907" s="332"/>
    </row>
    <row r="8908" spans="5:5" x14ac:dyDescent="0.2">
      <c r="E8908" s="332"/>
    </row>
    <row r="8909" spans="5:5" x14ac:dyDescent="0.2">
      <c r="E8909" s="332"/>
    </row>
    <row r="8910" spans="5:5" x14ac:dyDescent="0.2">
      <c r="E8910" s="332"/>
    </row>
    <row r="8911" spans="5:5" x14ac:dyDescent="0.2">
      <c r="E8911" s="332"/>
    </row>
    <row r="8912" spans="5:5" x14ac:dyDescent="0.2">
      <c r="E8912" s="332"/>
    </row>
    <row r="8913" spans="5:5" x14ac:dyDescent="0.2">
      <c r="E8913" s="332"/>
    </row>
    <row r="8914" spans="5:5" x14ac:dyDescent="0.2">
      <c r="E8914" s="332"/>
    </row>
    <row r="8915" spans="5:5" x14ac:dyDescent="0.2">
      <c r="E8915" s="332"/>
    </row>
    <row r="8916" spans="5:5" x14ac:dyDescent="0.2">
      <c r="E8916" s="332"/>
    </row>
    <row r="8917" spans="5:5" x14ac:dyDescent="0.2">
      <c r="E8917" s="332"/>
    </row>
    <row r="8918" spans="5:5" x14ac:dyDescent="0.2">
      <c r="E8918" s="332"/>
    </row>
    <row r="8919" spans="5:5" x14ac:dyDescent="0.2">
      <c r="E8919" s="332"/>
    </row>
    <row r="8920" spans="5:5" x14ac:dyDescent="0.2">
      <c r="E8920" s="332"/>
    </row>
    <row r="8921" spans="5:5" x14ac:dyDescent="0.2">
      <c r="E8921" s="332"/>
    </row>
    <row r="8922" spans="5:5" x14ac:dyDescent="0.2">
      <c r="E8922" s="332"/>
    </row>
    <row r="8923" spans="5:5" x14ac:dyDescent="0.2">
      <c r="E8923" s="332"/>
    </row>
    <row r="8924" spans="5:5" x14ac:dyDescent="0.2">
      <c r="E8924" s="332"/>
    </row>
    <row r="8925" spans="5:5" x14ac:dyDescent="0.2">
      <c r="E8925" s="332"/>
    </row>
    <row r="8926" spans="5:5" x14ac:dyDescent="0.2">
      <c r="E8926" s="332"/>
    </row>
    <row r="8927" spans="5:5" x14ac:dyDescent="0.2">
      <c r="E8927" s="332"/>
    </row>
    <row r="8928" spans="5:5" x14ac:dyDescent="0.2">
      <c r="E8928" s="332"/>
    </row>
    <row r="8929" spans="5:5" x14ac:dyDescent="0.2">
      <c r="E8929" s="332"/>
    </row>
    <row r="8930" spans="5:5" x14ac:dyDescent="0.2">
      <c r="E8930" s="332"/>
    </row>
    <row r="8931" spans="5:5" x14ac:dyDescent="0.2">
      <c r="E8931" s="332"/>
    </row>
    <row r="8932" spans="5:5" x14ac:dyDescent="0.2">
      <c r="E8932" s="332"/>
    </row>
    <row r="8933" spans="5:5" x14ac:dyDescent="0.2">
      <c r="E8933" s="332"/>
    </row>
    <row r="8934" spans="5:5" x14ac:dyDescent="0.2">
      <c r="E8934" s="332"/>
    </row>
    <row r="8935" spans="5:5" x14ac:dyDescent="0.2">
      <c r="E8935" s="332"/>
    </row>
    <row r="8936" spans="5:5" x14ac:dyDescent="0.2">
      <c r="E8936" s="332"/>
    </row>
    <row r="8937" spans="5:5" x14ac:dyDescent="0.2">
      <c r="E8937" s="332"/>
    </row>
    <row r="8938" spans="5:5" x14ac:dyDescent="0.2">
      <c r="E8938" s="332"/>
    </row>
    <row r="8939" spans="5:5" x14ac:dyDescent="0.2">
      <c r="E8939" s="332"/>
    </row>
    <row r="8940" spans="5:5" x14ac:dyDescent="0.2">
      <c r="E8940" s="332"/>
    </row>
    <row r="8941" spans="5:5" x14ac:dyDescent="0.2">
      <c r="E8941" s="332"/>
    </row>
    <row r="8942" spans="5:5" x14ac:dyDescent="0.2">
      <c r="E8942" s="332"/>
    </row>
    <row r="8943" spans="5:5" x14ac:dyDescent="0.2">
      <c r="E8943" s="332"/>
    </row>
    <row r="8944" spans="5:5" x14ac:dyDescent="0.2">
      <c r="E8944" s="332"/>
    </row>
    <row r="8945" spans="5:5" x14ac:dyDescent="0.2">
      <c r="E8945" s="332"/>
    </row>
    <row r="8946" spans="5:5" x14ac:dyDescent="0.2">
      <c r="E8946" s="332"/>
    </row>
    <row r="8947" spans="5:5" x14ac:dyDescent="0.2">
      <c r="E8947" s="332"/>
    </row>
    <row r="8948" spans="5:5" x14ac:dyDescent="0.2">
      <c r="E8948" s="332"/>
    </row>
    <row r="8949" spans="5:5" x14ac:dyDescent="0.2">
      <c r="E8949" s="332"/>
    </row>
    <row r="8950" spans="5:5" x14ac:dyDescent="0.2">
      <c r="E8950" s="332"/>
    </row>
    <row r="8951" spans="5:5" x14ac:dyDescent="0.2">
      <c r="E8951" s="332"/>
    </row>
    <row r="8952" spans="5:5" x14ac:dyDescent="0.2">
      <c r="E8952" s="332"/>
    </row>
    <row r="8953" spans="5:5" x14ac:dyDescent="0.2">
      <c r="E8953" s="332"/>
    </row>
    <row r="8954" spans="5:5" x14ac:dyDescent="0.2">
      <c r="E8954" s="332"/>
    </row>
    <row r="8955" spans="5:5" x14ac:dyDescent="0.2">
      <c r="E8955" s="332"/>
    </row>
    <row r="8956" spans="5:5" x14ac:dyDescent="0.2">
      <c r="E8956" s="332"/>
    </row>
    <row r="8957" spans="5:5" x14ac:dyDescent="0.2">
      <c r="E8957" s="332"/>
    </row>
    <row r="8958" spans="5:5" x14ac:dyDescent="0.2">
      <c r="E8958" s="332"/>
    </row>
    <row r="8959" spans="5:5" x14ac:dyDescent="0.2">
      <c r="E8959" s="332"/>
    </row>
    <row r="8960" spans="5:5" x14ac:dyDescent="0.2">
      <c r="E8960" s="332"/>
    </row>
    <row r="8961" spans="5:5" x14ac:dyDescent="0.2">
      <c r="E8961" s="332"/>
    </row>
    <row r="8962" spans="5:5" x14ac:dyDescent="0.2">
      <c r="E8962" s="332"/>
    </row>
    <row r="8963" spans="5:5" x14ac:dyDescent="0.2">
      <c r="E8963" s="332"/>
    </row>
    <row r="8964" spans="5:5" x14ac:dyDescent="0.2">
      <c r="E8964" s="332"/>
    </row>
    <row r="8965" spans="5:5" x14ac:dyDescent="0.2">
      <c r="E8965" s="332"/>
    </row>
    <row r="8966" spans="5:5" x14ac:dyDescent="0.2">
      <c r="E8966" s="332"/>
    </row>
    <row r="8967" spans="5:5" x14ac:dyDescent="0.2">
      <c r="E8967" s="332"/>
    </row>
    <row r="8968" spans="5:5" x14ac:dyDescent="0.2">
      <c r="E8968" s="332"/>
    </row>
    <row r="8969" spans="5:5" x14ac:dyDescent="0.2">
      <c r="E8969" s="332"/>
    </row>
    <row r="8970" spans="5:5" x14ac:dyDescent="0.2">
      <c r="E8970" s="332"/>
    </row>
    <row r="8971" spans="5:5" x14ac:dyDescent="0.2">
      <c r="E8971" s="332"/>
    </row>
    <row r="8972" spans="5:5" x14ac:dyDescent="0.2">
      <c r="E8972" s="332"/>
    </row>
    <row r="8973" spans="5:5" x14ac:dyDescent="0.2">
      <c r="E8973" s="332"/>
    </row>
    <row r="8974" spans="5:5" x14ac:dyDescent="0.2">
      <c r="E8974" s="332"/>
    </row>
    <row r="8975" spans="5:5" x14ac:dyDescent="0.2">
      <c r="E8975" s="332"/>
    </row>
    <row r="8976" spans="5:5" x14ac:dyDescent="0.2">
      <c r="E8976" s="332"/>
    </row>
    <row r="8977" spans="5:5" x14ac:dyDescent="0.2">
      <c r="E8977" s="332"/>
    </row>
    <row r="8978" spans="5:5" x14ac:dyDescent="0.2">
      <c r="E8978" s="332"/>
    </row>
    <row r="8979" spans="5:5" x14ac:dyDescent="0.2">
      <c r="E8979" s="332"/>
    </row>
    <row r="8980" spans="5:5" x14ac:dyDescent="0.2">
      <c r="E8980" s="332"/>
    </row>
    <row r="8981" spans="5:5" x14ac:dyDescent="0.2">
      <c r="E8981" s="332"/>
    </row>
    <row r="8982" spans="5:5" x14ac:dyDescent="0.2">
      <c r="E8982" s="332"/>
    </row>
    <row r="8983" spans="5:5" x14ac:dyDescent="0.2">
      <c r="E8983" s="332"/>
    </row>
    <row r="8984" spans="5:5" x14ac:dyDescent="0.2">
      <c r="E8984" s="332"/>
    </row>
    <row r="8985" spans="5:5" x14ac:dyDescent="0.2">
      <c r="E8985" s="332"/>
    </row>
    <row r="8986" spans="5:5" x14ac:dyDescent="0.2">
      <c r="E8986" s="332"/>
    </row>
    <row r="8987" spans="5:5" x14ac:dyDescent="0.2">
      <c r="E8987" s="332"/>
    </row>
    <row r="8988" spans="5:5" x14ac:dyDescent="0.2">
      <c r="E8988" s="332"/>
    </row>
    <row r="8989" spans="5:5" x14ac:dyDescent="0.2">
      <c r="E8989" s="332"/>
    </row>
    <row r="8990" spans="5:5" x14ac:dyDescent="0.2">
      <c r="E8990" s="332"/>
    </row>
    <row r="8991" spans="5:5" x14ac:dyDescent="0.2">
      <c r="E8991" s="332"/>
    </row>
    <row r="8992" spans="5:5" x14ac:dyDescent="0.2">
      <c r="E8992" s="332"/>
    </row>
    <row r="8993" spans="5:5" x14ac:dyDescent="0.2">
      <c r="E8993" s="332"/>
    </row>
    <row r="8994" spans="5:5" x14ac:dyDescent="0.2">
      <c r="E8994" s="332"/>
    </row>
    <row r="8995" spans="5:5" x14ac:dyDescent="0.2">
      <c r="E8995" s="332"/>
    </row>
    <row r="8996" spans="5:5" x14ac:dyDescent="0.2">
      <c r="E8996" s="332"/>
    </row>
    <row r="8997" spans="5:5" x14ac:dyDescent="0.2">
      <c r="E8997" s="332"/>
    </row>
    <row r="8998" spans="5:5" x14ac:dyDescent="0.2">
      <c r="E8998" s="332"/>
    </row>
    <row r="8999" spans="5:5" x14ac:dyDescent="0.2">
      <c r="E8999" s="332"/>
    </row>
    <row r="9000" spans="5:5" x14ac:dyDescent="0.2">
      <c r="E9000" s="332"/>
    </row>
    <row r="9001" spans="5:5" x14ac:dyDescent="0.2">
      <c r="E9001" s="332"/>
    </row>
    <row r="9002" spans="5:5" x14ac:dyDescent="0.2">
      <c r="E9002" s="332"/>
    </row>
    <row r="9003" spans="5:5" x14ac:dyDescent="0.2">
      <c r="E9003" s="332"/>
    </row>
    <row r="9004" spans="5:5" x14ac:dyDescent="0.2">
      <c r="E9004" s="332"/>
    </row>
    <row r="9005" spans="5:5" x14ac:dyDescent="0.2">
      <c r="E9005" s="332"/>
    </row>
    <row r="9006" spans="5:5" x14ac:dyDescent="0.2">
      <c r="E9006" s="332"/>
    </row>
    <row r="9007" spans="5:5" x14ac:dyDescent="0.2">
      <c r="E9007" s="332"/>
    </row>
    <row r="9008" spans="5:5" x14ac:dyDescent="0.2">
      <c r="E9008" s="332"/>
    </row>
    <row r="9009" spans="5:5" x14ac:dyDescent="0.2">
      <c r="E9009" s="332"/>
    </row>
    <row r="9010" spans="5:5" x14ac:dyDescent="0.2">
      <c r="E9010" s="332"/>
    </row>
    <row r="9011" spans="5:5" x14ac:dyDescent="0.2">
      <c r="E9011" s="332"/>
    </row>
    <row r="9012" spans="5:5" x14ac:dyDescent="0.2">
      <c r="E9012" s="332"/>
    </row>
    <row r="9013" spans="5:5" x14ac:dyDescent="0.2">
      <c r="E9013" s="332"/>
    </row>
    <row r="9014" spans="5:5" x14ac:dyDescent="0.2">
      <c r="E9014" s="332"/>
    </row>
    <row r="9015" spans="5:5" x14ac:dyDescent="0.2">
      <c r="E9015" s="332"/>
    </row>
    <row r="9016" spans="5:5" x14ac:dyDescent="0.2">
      <c r="E9016" s="332"/>
    </row>
    <row r="9017" spans="5:5" x14ac:dyDescent="0.2">
      <c r="E9017" s="332"/>
    </row>
    <row r="9018" spans="5:5" x14ac:dyDescent="0.2">
      <c r="E9018" s="332"/>
    </row>
    <row r="9019" spans="5:5" x14ac:dyDescent="0.2">
      <c r="E9019" s="332"/>
    </row>
    <row r="9020" spans="5:5" x14ac:dyDescent="0.2">
      <c r="E9020" s="332"/>
    </row>
    <row r="9021" spans="5:5" x14ac:dyDescent="0.2">
      <c r="E9021" s="332"/>
    </row>
    <row r="9022" spans="5:5" x14ac:dyDescent="0.2">
      <c r="E9022" s="332"/>
    </row>
    <row r="9023" spans="5:5" x14ac:dyDescent="0.2">
      <c r="E9023" s="332"/>
    </row>
    <row r="9024" spans="5:5" x14ac:dyDescent="0.2">
      <c r="E9024" s="332"/>
    </row>
    <row r="9025" spans="5:5" x14ac:dyDescent="0.2">
      <c r="E9025" s="332"/>
    </row>
    <row r="9026" spans="5:5" x14ac:dyDescent="0.2">
      <c r="E9026" s="332"/>
    </row>
    <row r="9027" spans="5:5" x14ac:dyDescent="0.2">
      <c r="E9027" s="332"/>
    </row>
    <row r="9028" spans="5:5" x14ac:dyDescent="0.2">
      <c r="E9028" s="332"/>
    </row>
    <row r="9029" spans="5:5" x14ac:dyDescent="0.2">
      <c r="E9029" s="332"/>
    </row>
    <row r="9030" spans="5:5" x14ac:dyDescent="0.2">
      <c r="E9030" s="332"/>
    </row>
    <row r="9031" spans="5:5" x14ac:dyDescent="0.2">
      <c r="E9031" s="332"/>
    </row>
    <row r="9032" spans="5:5" x14ac:dyDescent="0.2">
      <c r="E9032" s="332"/>
    </row>
    <row r="9033" spans="5:5" x14ac:dyDescent="0.2">
      <c r="E9033" s="332"/>
    </row>
    <row r="9034" spans="5:5" x14ac:dyDescent="0.2">
      <c r="E9034" s="332"/>
    </row>
    <row r="9035" spans="5:5" x14ac:dyDescent="0.2">
      <c r="E9035" s="332"/>
    </row>
    <row r="9036" spans="5:5" x14ac:dyDescent="0.2">
      <c r="E9036" s="332"/>
    </row>
    <row r="9037" spans="5:5" x14ac:dyDescent="0.2">
      <c r="E9037" s="332"/>
    </row>
    <row r="9038" spans="5:5" x14ac:dyDescent="0.2">
      <c r="E9038" s="332"/>
    </row>
    <row r="9039" spans="5:5" x14ac:dyDescent="0.2">
      <c r="E9039" s="332"/>
    </row>
    <row r="9040" spans="5:5" x14ac:dyDescent="0.2">
      <c r="E9040" s="332"/>
    </row>
    <row r="9041" spans="5:5" x14ac:dyDescent="0.2">
      <c r="E9041" s="332"/>
    </row>
    <row r="9042" spans="5:5" x14ac:dyDescent="0.2">
      <c r="E9042" s="332"/>
    </row>
    <row r="9043" spans="5:5" x14ac:dyDescent="0.2">
      <c r="E9043" s="332"/>
    </row>
    <row r="9044" spans="5:5" x14ac:dyDescent="0.2">
      <c r="E9044" s="332"/>
    </row>
    <row r="9045" spans="5:5" x14ac:dyDescent="0.2">
      <c r="E9045" s="332"/>
    </row>
    <row r="9046" spans="5:5" x14ac:dyDescent="0.2">
      <c r="E9046" s="332"/>
    </row>
    <row r="9047" spans="5:5" x14ac:dyDescent="0.2">
      <c r="E9047" s="332"/>
    </row>
    <row r="9048" spans="5:5" x14ac:dyDescent="0.2">
      <c r="E9048" s="332"/>
    </row>
    <row r="9049" spans="5:5" x14ac:dyDescent="0.2">
      <c r="E9049" s="332"/>
    </row>
    <row r="9050" spans="5:5" x14ac:dyDescent="0.2">
      <c r="E9050" s="332"/>
    </row>
    <row r="9051" spans="5:5" x14ac:dyDescent="0.2">
      <c r="E9051" s="332"/>
    </row>
    <row r="9052" spans="5:5" x14ac:dyDescent="0.2">
      <c r="E9052" s="332"/>
    </row>
    <row r="9053" spans="5:5" x14ac:dyDescent="0.2">
      <c r="E9053" s="332"/>
    </row>
    <row r="9054" spans="5:5" x14ac:dyDescent="0.2">
      <c r="E9054" s="332"/>
    </row>
    <row r="9055" spans="5:5" x14ac:dyDescent="0.2">
      <c r="E9055" s="332"/>
    </row>
    <row r="9056" spans="5:5" x14ac:dyDescent="0.2">
      <c r="E9056" s="332"/>
    </row>
    <row r="9057" spans="5:5" x14ac:dyDescent="0.2">
      <c r="E9057" s="332"/>
    </row>
    <row r="9058" spans="5:5" x14ac:dyDescent="0.2">
      <c r="E9058" s="332"/>
    </row>
    <row r="9059" spans="5:5" x14ac:dyDescent="0.2">
      <c r="E9059" s="332"/>
    </row>
    <row r="9060" spans="5:5" x14ac:dyDescent="0.2">
      <c r="E9060" s="332"/>
    </row>
    <row r="9061" spans="5:5" x14ac:dyDescent="0.2">
      <c r="E9061" s="332"/>
    </row>
    <row r="9062" spans="5:5" x14ac:dyDescent="0.2">
      <c r="E9062" s="332"/>
    </row>
    <row r="9063" spans="5:5" x14ac:dyDescent="0.2">
      <c r="E9063" s="332"/>
    </row>
    <row r="9064" spans="5:5" x14ac:dyDescent="0.2">
      <c r="E9064" s="332"/>
    </row>
    <row r="9065" spans="5:5" x14ac:dyDescent="0.2">
      <c r="E9065" s="332"/>
    </row>
    <row r="9066" spans="5:5" x14ac:dyDescent="0.2">
      <c r="E9066" s="332"/>
    </row>
    <row r="9067" spans="5:5" x14ac:dyDescent="0.2">
      <c r="E9067" s="332"/>
    </row>
    <row r="9068" spans="5:5" x14ac:dyDescent="0.2">
      <c r="E9068" s="332"/>
    </row>
    <row r="9069" spans="5:5" x14ac:dyDescent="0.2">
      <c r="E9069" s="332"/>
    </row>
    <row r="9070" spans="5:5" x14ac:dyDescent="0.2">
      <c r="E9070" s="332"/>
    </row>
    <row r="9071" spans="5:5" x14ac:dyDescent="0.2">
      <c r="E9071" s="332"/>
    </row>
    <row r="9072" spans="5:5" x14ac:dyDescent="0.2">
      <c r="E9072" s="332"/>
    </row>
    <row r="9073" spans="5:5" x14ac:dyDescent="0.2">
      <c r="E9073" s="332"/>
    </row>
    <row r="9074" spans="5:5" x14ac:dyDescent="0.2">
      <c r="E9074" s="332"/>
    </row>
    <row r="9075" spans="5:5" x14ac:dyDescent="0.2">
      <c r="E9075" s="332"/>
    </row>
    <row r="9076" spans="5:5" x14ac:dyDescent="0.2">
      <c r="E9076" s="332"/>
    </row>
    <row r="9077" spans="5:5" x14ac:dyDescent="0.2">
      <c r="E9077" s="332"/>
    </row>
    <row r="9078" spans="5:5" x14ac:dyDescent="0.2">
      <c r="E9078" s="332"/>
    </row>
    <row r="9079" spans="5:5" x14ac:dyDescent="0.2">
      <c r="E9079" s="332"/>
    </row>
    <row r="9080" spans="5:5" x14ac:dyDescent="0.2">
      <c r="E9080" s="332"/>
    </row>
    <row r="9081" spans="5:5" x14ac:dyDescent="0.2">
      <c r="E9081" s="332"/>
    </row>
    <row r="9082" spans="5:5" x14ac:dyDescent="0.2">
      <c r="E9082" s="332"/>
    </row>
    <row r="9083" spans="5:5" x14ac:dyDescent="0.2">
      <c r="E9083" s="332"/>
    </row>
    <row r="9084" spans="5:5" x14ac:dyDescent="0.2">
      <c r="E9084" s="332"/>
    </row>
    <row r="9085" spans="5:5" x14ac:dyDescent="0.2">
      <c r="E9085" s="332"/>
    </row>
    <row r="9086" spans="5:5" x14ac:dyDescent="0.2">
      <c r="E9086" s="332"/>
    </row>
    <row r="9087" spans="5:5" x14ac:dyDescent="0.2">
      <c r="E9087" s="332"/>
    </row>
    <row r="9088" spans="5:5" x14ac:dyDescent="0.2">
      <c r="E9088" s="332"/>
    </row>
    <row r="9089" spans="5:5" x14ac:dyDescent="0.2">
      <c r="E9089" s="332"/>
    </row>
    <row r="9090" spans="5:5" x14ac:dyDescent="0.2">
      <c r="E9090" s="332"/>
    </row>
    <row r="9091" spans="5:5" x14ac:dyDescent="0.2">
      <c r="E9091" s="332"/>
    </row>
    <row r="9092" spans="5:5" x14ac:dyDescent="0.2">
      <c r="E9092" s="332"/>
    </row>
    <row r="9093" spans="5:5" x14ac:dyDescent="0.2">
      <c r="E9093" s="332"/>
    </row>
    <row r="9094" spans="5:5" x14ac:dyDescent="0.2">
      <c r="E9094" s="332"/>
    </row>
    <row r="9095" spans="5:5" x14ac:dyDescent="0.2">
      <c r="E9095" s="332"/>
    </row>
    <row r="9096" spans="5:5" x14ac:dyDescent="0.2">
      <c r="E9096" s="332"/>
    </row>
    <row r="9097" spans="5:5" x14ac:dyDescent="0.2">
      <c r="E9097" s="332"/>
    </row>
    <row r="9098" spans="5:5" x14ac:dyDescent="0.2">
      <c r="E9098" s="332"/>
    </row>
    <row r="9099" spans="5:5" x14ac:dyDescent="0.2">
      <c r="E9099" s="332"/>
    </row>
    <row r="9100" spans="5:5" x14ac:dyDescent="0.2">
      <c r="E9100" s="332"/>
    </row>
    <row r="9101" spans="5:5" x14ac:dyDescent="0.2">
      <c r="E9101" s="332"/>
    </row>
    <row r="9102" spans="5:5" x14ac:dyDescent="0.2">
      <c r="E9102" s="332"/>
    </row>
    <row r="9103" spans="5:5" x14ac:dyDescent="0.2">
      <c r="E9103" s="332"/>
    </row>
    <row r="9104" spans="5:5" x14ac:dyDescent="0.2">
      <c r="E9104" s="332"/>
    </row>
    <row r="9105" spans="5:5" x14ac:dyDescent="0.2">
      <c r="E9105" s="332"/>
    </row>
    <row r="9106" spans="5:5" x14ac:dyDescent="0.2">
      <c r="E9106" s="332"/>
    </row>
    <row r="9107" spans="5:5" x14ac:dyDescent="0.2">
      <c r="E9107" s="332"/>
    </row>
    <row r="9108" spans="5:5" x14ac:dyDescent="0.2">
      <c r="E9108" s="332"/>
    </row>
    <row r="9109" spans="5:5" x14ac:dyDescent="0.2">
      <c r="E9109" s="332"/>
    </row>
    <row r="9110" spans="5:5" x14ac:dyDescent="0.2">
      <c r="E9110" s="332"/>
    </row>
    <row r="9111" spans="5:5" x14ac:dyDescent="0.2">
      <c r="E9111" s="332"/>
    </row>
    <row r="9112" spans="5:5" x14ac:dyDescent="0.2">
      <c r="E9112" s="332"/>
    </row>
    <row r="9113" spans="5:5" x14ac:dyDescent="0.2">
      <c r="E9113" s="332"/>
    </row>
    <row r="9114" spans="5:5" x14ac:dyDescent="0.2">
      <c r="E9114" s="332"/>
    </row>
    <row r="9115" spans="5:5" x14ac:dyDescent="0.2">
      <c r="E9115" s="332"/>
    </row>
    <row r="9116" spans="5:5" x14ac:dyDescent="0.2">
      <c r="E9116" s="332"/>
    </row>
    <row r="9117" spans="5:5" x14ac:dyDescent="0.2">
      <c r="E9117" s="332"/>
    </row>
    <row r="9118" spans="5:5" x14ac:dyDescent="0.2">
      <c r="E9118" s="332"/>
    </row>
    <row r="9119" spans="5:5" x14ac:dyDescent="0.2">
      <c r="E9119" s="332"/>
    </row>
    <row r="9120" spans="5:5" x14ac:dyDescent="0.2">
      <c r="E9120" s="332"/>
    </row>
    <row r="9121" spans="5:5" x14ac:dyDescent="0.2">
      <c r="E9121" s="332"/>
    </row>
    <row r="9122" spans="5:5" x14ac:dyDescent="0.2">
      <c r="E9122" s="332"/>
    </row>
    <row r="9123" spans="5:5" x14ac:dyDescent="0.2">
      <c r="E9123" s="332"/>
    </row>
    <row r="9124" spans="5:5" x14ac:dyDescent="0.2">
      <c r="E9124" s="332"/>
    </row>
    <row r="9125" spans="5:5" x14ac:dyDescent="0.2">
      <c r="E9125" s="332"/>
    </row>
    <row r="9126" spans="5:5" x14ac:dyDescent="0.2">
      <c r="E9126" s="332"/>
    </row>
    <row r="9127" spans="5:5" x14ac:dyDescent="0.2">
      <c r="E9127" s="332"/>
    </row>
    <row r="9128" spans="5:5" x14ac:dyDescent="0.2">
      <c r="E9128" s="332"/>
    </row>
    <row r="9129" spans="5:5" x14ac:dyDescent="0.2">
      <c r="E9129" s="332"/>
    </row>
    <row r="9130" spans="5:5" x14ac:dyDescent="0.2">
      <c r="E9130" s="332"/>
    </row>
    <row r="9131" spans="5:5" x14ac:dyDescent="0.2">
      <c r="E9131" s="332"/>
    </row>
    <row r="9132" spans="5:5" x14ac:dyDescent="0.2">
      <c r="E9132" s="332"/>
    </row>
    <row r="9133" spans="5:5" x14ac:dyDescent="0.2">
      <c r="E9133" s="332"/>
    </row>
    <row r="9134" spans="5:5" x14ac:dyDescent="0.2">
      <c r="E9134" s="332"/>
    </row>
    <row r="9135" spans="5:5" x14ac:dyDescent="0.2">
      <c r="E9135" s="332"/>
    </row>
    <row r="9136" spans="5:5" x14ac:dyDescent="0.2">
      <c r="E9136" s="332"/>
    </row>
    <row r="9137" spans="5:5" x14ac:dyDescent="0.2">
      <c r="E9137" s="332"/>
    </row>
    <row r="9138" spans="5:5" x14ac:dyDescent="0.2">
      <c r="E9138" s="332"/>
    </row>
    <row r="9139" spans="5:5" x14ac:dyDescent="0.2">
      <c r="E9139" s="332"/>
    </row>
    <row r="9140" spans="5:5" x14ac:dyDescent="0.2">
      <c r="E9140" s="332"/>
    </row>
    <row r="9141" spans="5:5" x14ac:dyDescent="0.2">
      <c r="E9141" s="332"/>
    </row>
    <row r="9142" spans="5:5" x14ac:dyDescent="0.2">
      <c r="E9142" s="332"/>
    </row>
    <row r="9143" spans="5:5" x14ac:dyDescent="0.2">
      <c r="E9143" s="332"/>
    </row>
    <row r="9144" spans="5:5" x14ac:dyDescent="0.2">
      <c r="E9144" s="332"/>
    </row>
    <row r="9145" spans="5:5" x14ac:dyDescent="0.2">
      <c r="E9145" s="332"/>
    </row>
    <row r="9146" spans="5:5" x14ac:dyDescent="0.2">
      <c r="E9146" s="332"/>
    </row>
    <row r="9147" spans="5:5" x14ac:dyDescent="0.2">
      <c r="E9147" s="332"/>
    </row>
    <row r="9148" spans="5:5" x14ac:dyDescent="0.2">
      <c r="E9148" s="332"/>
    </row>
    <row r="9149" spans="5:5" x14ac:dyDescent="0.2">
      <c r="E9149" s="332"/>
    </row>
    <row r="9150" spans="5:5" x14ac:dyDescent="0.2">
      <c r="E9150" s="332"/>
    </row>
    <row r="9151" spans="5:5" x14ac:dyDescent="0.2">
      <c r="E9151" s="332"/>
    </row>
    <row r="9152" spans="5:5" x14ac:dyDescent="0.2">
      <c r="E9152" s="332"/>
    </row>
    <row r="9153" spans="5:5" x14ac:dyDescent="0.2">
      <c r="E9153" s="332"/>
    </row>
    <row r="9154" spans="5:5" x14ac:dyDescent="0.2">
      <c r="E9154" s="332"/>
    </row>
    <row r="9155" spans="5:5" x14ac:dyDescent="0.2">
      <c r="E9155" s="332"/>
    </row>
    <row r="9156" spans="5:5" x14ac:dyDescent="0.2">
      <c r="E9156" s="332"/>
    </row>
    <row r="9157" spans="5:5" x14ac:dyDescent="0.2">
      <c r="E9157" s="332"/>
    </row>
    <row r="9158" spans="5:5" x14ac:dyDescent="0.2">
      <c r="E9158" s="332"/>
    </row>
    <row r="9159" spans="5:5" x14ac:dyDescent="0.2">
      <c r="E9159" s="332"/>
    </row>
    <row r="9160" spans="5:5" x14ac:dyDescent="0.2">
      <c r="E9160" s="332"/>
    </row>
    <row r="9161" spans="5:5" x14ac:dyDescent="0.2">
      <c r="E9161" s="332"/>
    </row>
    <row r="9162" spans="5:5" x14ac:dyDescent="0.2">
      <c r="E9162" s="332"/>
    </row>
    <row r="9163" spans="5:5" x14ac:dyDescent="0.2">
      <c r="E9163" s="332"/>
    </row>
    <row r="9164" spans="5:5" x14ac:dyDescent="0.2">
      <c r="E9164" s="332"/>
    </row>
    <row r="9165" spans="5:5" x14ac:dyDescent="0.2">
      <c r="E9165" s="332"/>
    </row>
    <row r="9166" spans="5:5" x14ac:dyDescent="0.2">
      <c r="E9166" s="332"/>
    </row>
    <row r="9167" spans="5:5" x14ac:dyDescent="0.2">
      <c r="E9167" s="332"/>
    </row>
    <row r="9168" spans="5:5" x14ac:dyDescent="0.2">
      <c r="E9168" s="332"/>
    </row>
    <row r="9169" spans="5:5" x14ac:dyDescent="0.2">
      <c r="E9169" s="332"/>
    </row>
    <row r="9170" spans="5:5" x14ac:dyDescent="0.2">
      <c r="E9170" s="332"/>
    </row>
    <row r="9171" spans="5:5" x14ac:dyDescent="0.2">
      <c r="E9171" s="332"/>
    </row>
    <row r="9172" spans="5:5" x14ac:dyDescent="0.2">
      <c r="E9172" s="332"/>
    </row>
    <row r="9173" spans="5:5" x14ac:dyDescent="0.2">
      <c r="E9173" s="332"/>
    </row>
    <row r="9174" spans="5:5" x14ac:dyDescent="0.2">
      <c r="E9174" s="332"/>
    </row>
    <row r="9175" spans="5:5" x14ac:dyDescent="0.2">
      <c r="E9175" s="332"/>
    </row>
    <row r="9176" spans="5:5" x14ac:dyDescent="0.2">
      <c r="E9176" s="332"/>
    </row>
    <row r="9177" spans="5:5" x14ac:dyDescent="0.2">
      <c r="E9177" s="332"/>
    </row>
    <row r="9178" spans="5:5" x14ac:dyDescent="0.2">
      <c r="E9178" s="332"/>
    </row>
    <row r="9179" spans="5:5" x14ac:dyDescent="0.2">
      <c r="E9179" s="332"/>
    </row>
    <row r="9180" spans="5:5" x14ac:dyDescent="0.2">
      <c r="E9180" s="332"/>
    </row>
    <row r="9181" spans="5:5" x14ac:dyDescent="0.2">
      <c r="E9181" s="332"/>
    </row>
    <row r="9182" spans="5:5" x14ac:dyDescent="0.2">
      <c r="E9182" s="332"/>
    </row>
    <row r="9183" spans="5:5" x14ac:dyDescent="0.2">
      <c r="E9183" s="332"/>
    </row>
    <row r="9184" spans="5:5" x14ac:dyDescent="0.2">
      <c r="E9184" s="332"/>
    </row>
    <row r="9185" spans="5:5" x14ac:dyDescent="0.2">
      <c r="E9185" s="332"/>
    </row>
    <row r="9186" spans="5:5" x14ac:dyDescent="0.2">
      <c r="E9186" s="332"/>
    </row>
    <row r="9187" spans="5:5" x14ac:dyDescent="0.2">
      <c r="E9187" s="332"/>
    </row>
    <row r="9188" spans="5:5" x14ac:dyDescent="0.2">
      <c r="E9188" s="332"/>
    </row>
    <row r="9189" spans="5:5" x14ac:dyDescent="0.2">
      <c r="E9189" s="332"/>
    </row>
    <row r="9190" spans="5:5" x14ac:dyDescent="0.2">
      <c r="E9190" s="332"/>
    </row>
    <row r="9191" spans="5:5" x14ac:dyDescent="0.2">
      <c r="E9191" s="332"/>
    </row>
    <row r="9192" spans="5:5" x14ac:dyDescent="0.2">
      <c r="E9192" s="332"/>
    </row>
    <row r="9193" spans="5:5" x14ac:dyDescent="0.2">
      <c r="E9193" s="332"/>
    </row>
    <row r="9194" spans="5:5" x14ac:dyDescent="0.2">
      <c r="E9194" s="332"/>
    </row>
    <row r="9195" spans="5:5" x14ac:dyDescent="0.2">
      <c r="E9195" s="332"/>
    </row>
    <row r="9196" spans="5:5" x14ac:dyDescent="0.2">
      <c r="E9196" s="332"/>
    </row>
    <row r="9197" spans="5:5" x14ac:dyDescent="0.2">
      <c r="E9197" s="332"/>
    </row>
    <row r="9198" spans="5:5" x14ac:dyDescent="0.2">
      <c r="E9198" s="332"/>
    </row>
    <row r="9199" spans="5:5" x14ac:dyDescent="0.2">
      <c r="E9199" s="332"/>
    </row>
    <row r="9200" spans="5:5" x14ac:dyDescent="0.2">
      <c r="E9200" s="332"/>
    </row>
    <row r="9201" spans="5:5" x14ac:dyDescent="0.2">
      <c r="E9201" s="332"/>
    </row>
    <row r="9202" spans="5:5" x14ac:dyDescent="0.2">
      <c r="E9202" s="332"/>
    </row>
    <row r="9203" spans="5:5" x14ac:dyDescent="0.2">
      <c r="E9203" s="332"/>
    </row>
    <row r="9204" spans="5:5" x14ac:dyDescent="0.2">
      <c r="E9204" s="332"/>
    </row>
    <row r="9205" spans="5:5" x14ac:dyDescent="0.2">
      <c r="E9205" s="332"/>
    </row>
    <row r="9206" spans="5:5" x14ac:dyDescent="0.2">
      <c r="E9206" s="332"/>
    </row>
    <row r="9207" spans="5:5" x14ac:dyDescent="0.2">
      <c r="E9207" s="332"/>
    </row>
    <row r="9208" spans="5:5" x14ac:dyDescent="0.2">
      <c r="E9208" s="332"/>
    </row>
    <row r="9209" spans="5:5" x14ac:dyDescent="0.2">
      <c r="E9209" s="332"/>
    </row>
    <row r="9210" spans="5:5" x14ac:dyDescent="0.2">
      <c r="E9210" s="332"/>
    </row>
    <row r="9211" spans="5:5" x14ac:dyDescent="0.2">
      <c r="E9211" s="332"/>
    </row>
    <row r="9212" spans="5:5" x14ac:dyDescent="0.2">
      <c r="E9212" s="332"/>
    </row>
    <row r="9213" spans="5:5" x14ac:dyDescent="0.2">
      <c r="E9213" s="332"/>
    </row>
    <row r="9214" spans="5:5" x14ac:dyDescent="0.2">
      <c r="E9214" s="332"/>
    </row>
    <row r="9215" spans="5:5" x14ac:dyDescent="0.2">
      <c r="E9215" s="332"/>
    </row>
    <row r="9216" spans="5:5" x14ac:dyDescent="0.2">
      <c r="E9216" s="332"/>
    </row>
    <row r="9217" spans="5:5" x14ac:dyDescent="0.2">
      <c r="E9217" s="332"/>
    </row>
    <row r="9218" spans="5:5" x14ac:dyDescent="0.2">
      <c r="E9218" s="332"/>
    </row>
    <row r="9219" spans="5:5" x14ac:dyDescent="0.2">
      <c r="E9219" s="332"/>
    </row>
    <row r="9220" spans="5:5" x14ac:dyDescent="0.2">
      <c r="E9220" s="332"/>
    </row>
    <row r="9221" spans="5:5" x14ac:dyDescent="0.2">
      <c r="E9221" s="332"/>
    </row>
    <row r="9222" spans="5:5" x14ac:dyDescent="0.2">
      <c r="E9222" s="332"/>
    </row>
    <row r="9223" spans="5:5" x14ac:dyDescent="0.2">
      <c r="E9223" s="332"/>
    </row>
    <row r="9224" spans="5:5" x14ac:dyDescent="0.2">
      <c r="E9224" s="332"/>
    </row>
    <row r="9225" spans="5:5" x14ac:dyDescent="0.2">
      <c r="E9225" s="332"/>
    </row>
    <row r="9226" spans="5:5" x14ac:dyDescent="0.2">
      <c r="E9226" s="332"/>
    </row>
    <row r="9227" spans="5:5" x14ac:dyDescent="0.2">
      <c r="E9227" s="332"/>
    </row>
    <row r="9228" spans="5:5" x14ac:dyDescent="0.2">
      <c r="E9228" s="332"/>
    </row>
    <row r="9229" spans="5:5" x14ac:dyDescent="0.2">
      <c r="E9229" s="332"/>
    </row>
    <row r="9230" spans="5:5" x14ac:dyDescent="0.2">
      <c r="E9230" s="332"/>
    </row>
    <row r="9231" spans="5:5" x14ac:dyDescent="0.2">
      <c r="E9231" s="332"/>
    </row>
    <row r="9232" spans="5:5" x14ac:dyDescent="0.2">
      <c r="E9232" s="332"/>
    </row>
    <row r="9233" spans="5:5" x14ac:dyDescent="0.2">
      <c r="E9233" s="332"/>
    </row>
    <row r="9234" spans="5:5" x14ac:dyDescent="0.2">
      <c r="E9234" s="332"/>
    </row>
    <row r="9235" spans="5:5" x14ac:dyDescent="0.2">
      <c r="E9235" s="332"/>
    </row>
    <row r="9236" spans="5:5" x14ac:dyDescent="0.2">
      <c r="E9236" s="332"/>
    </row>
    <row r="9237" spans="5:5" x14ac:dyDescent="0.2">
      <c r="E9237" s="332"/>
    </row>
    <row r="9238" spans="5:5" x14ac:dyDescent="0.2">
      <c r="E9238" s="332"/>
    </row>
    <row r="9239" spans="5:5" x14ac:dyDescent="0.2">
      <c r="E9239" s="332"/>
    </row>
    <row r="9240" spans="5:5" x14ac:dyDescent="0.2">
      <c r="E9240" s="332"/>
    </row>
    <row r="9241" spans="5:5" x14ac:dyDescent="0.2">
      <c r="E9241" s="332"/>
    </row>
    <row r="9242" spans="5:5" x14ac:dyDescent="0.2">
      <c r="E9242" s="332"/>
    </row>
    <row r="9243" spans="5:5" x14ac:dyDescent="0.2">
      <c r="E9243" s="332"/>
    </row>
    <row r="9244" spans="5:5" x14ac:dyDescent="0.2">
      <c r="E9244" s="332"/>
    </row>
    <row r="9245" spans="5:5" x14ac:dyDescent="0.2">
      <c r="E9245" s="332"/>
    </row>
    <row r="9246" spans="5:5" x14ac:dyDescent="0.2">
      <c r="E9246" s="332"/>
    </row>
    <row r="9247" spans="5:5" x14ac:dyDescent="0.2">
      <c r="E9247" s="332"/>
    </row>
    <row r="9248" spans="5:5" x14ac:dyDescent="0.2">
      <c r="E9248" s="332"/>
    </row>
    <row r="9249" spans="5:5" x14ac:dyDescent="0.2">
      <c r="E9249" s="332"/>
    </row>
    <row r="9250" spans="5:5" x14ac:dyDescent="0.2">
      <c r="E9250" s="332"/>
    </row>
    <row r="9251" spans="5:5" x14ac:dyDescent="0.2">
      <c r="E9251" s="332"/>
    </row>
    <row r="9252" spans="5:5" x14ac:dyDescent="0.2">
      <c r="E9252" s="332"/>
    </row>
    <row r="9253" spans="5:5" x14ac:dyDescent="0.2">
      <c r="E9253" s="332"/>
    </row>
    <row r="9254" spans="5:5" x14ac:dyDescent="0.2">
      <c r="E9254" s="332"/>
    </row>
    <row r="9255" spans="5:5" x14ac:dyDescent="0.2">
      <c r="E9255" s="332"/>
    </row>
    <row r="9256" spans="5:5" x14ac:dyDescent="0.2">
      <c r="E9256" s="332"/>
    </row>
    <row r="9257" spans="5:5" x14ac:dyDescent="0.2">
      <c r="E9257" s="332"/>
    </row>
    <row r="9258" spans="5:5" x14ac:dyDescent="0.2">
      <c r="E9258" s="332"/>
    </row>
    <row r="9259" spans="5:5" x14ac:dyDescent="0.2">
      <c r="E9259" s="332"/>
    </row>
    <row r="9260" spans="5:5" x14ac:dyDescent="0.2">
      <c r="E9260" s="332"/>
    </row>
    <row r="9261" spans="5:5" x14ac:dyDescent="0.2">
      <c r="E9261" s="332"/>
    </row>
    <row r="9262" spans="5:5" x14ac:dyDescent="0.2">
      <c r="E9262" s="332"/>
    </row>
    <row r="9263" spans="5:5" x14ac:dyDescent="0.2">
      <c r="E9263" s="332"/>
    </row>
    <row r="9264" spans="5:5" x14ac:dyDescent="0.2">
      <c r="E9264" s="332"/>
    </row>
    <row r="9265" spans="5:5" x14ac:dyDescent="0.2">
      <c r="E9265" s="332"/>
    </row>
    <row r="9266" spans="5:5" x14ac:dyDescent="0.2">
      <c r="E9266" s="332"/>
    </row>
    <row r="9267" spans="5:5" x14ac:dyDescent="0.2">
      <c r="E9267" s="332"/>
    </row>
    <row r="9268" spans="5:5" x14ac:dyDescent="0.2">
      <c r="E9268" s="332"/>
    </row>
    <row r="9269" spans="5:5" x14ac:dyDescent="0.2">
      <c r="E9269" s="332"/>
    </row>
    <row r="9270" spans="5:5" x14ac:dyDescent="0.2">
      <c r="E9270" s="332"/>
    </row>
    <row r="9271" spans="5:5" x14ac:dyDescent="0.2">
      <c r="E9271" s="332"/>
    </row>
    <row r="9272" spans="5:5" x14ac:dyDescent="0.2">
      <c r="E9272" s="332"/>
    </row>
    <row r="9273" spans="5:5" x14ac:dyDescent="0.2">
      <c r="E9273" s="332"/>
    </row>
    <row r="9274" spans="5:5" x14ac:dyDescent="0.2">
      <c r="E9274" s="332"/>
    </row>
    <row r="9275" spans="5:5" x14ac:dyDescent="0.2">
      <c r="E9275" s="332"/>
    </row>
    <row r="9276" spans="5:5" x14ac:dyDescent="0.2">
      <c r="E9276" s="332"/>
    </row>
    <row r="9277" spans="5:5" x14ac:dyDescent="0.2">
      <c r="E9277" s="332"/>
    </row>
    <row r="9278" spans="5:5" x14ac:dyDescent="0.2">
      <c r="E9278" s="332"/>
    </row>
    <row r="9279" spans="5:5" x14ac:dyDescent="0.2">
      <c r="E9279" s="332"/>
    </row>
    <row r="9280" spans="5:5" x14ac:dyDescent="0.2">
      <c r="E9280" s="332"/>
    </row>
    <row r="9281" spans="5:5" x14ac:dyDescent="0.2">
      <c r="E9281" s="332"/>
    </row>
    <row r="9282" spans="5:5" x14ac:dyDescent="0.2">
      <c r="E9282" s="332"/>
    </row>
    <row r="9283" spans="5:5" x14ac:dyDescent="0.2">
      <c r="E9283" s="332"/>
    </row>
    <row r="9284" spans="5:5" x14ac:dyDescent="0.2">
      <c r="E9284" s="332"/>
    </row>
    <row r="9285" spans="5:5" x14ac:dyDescent="0.2">
      <c r="E9285" s="332"/>
    </row>
    <row r="9286" spans="5:5" x14ac:dyDescent="0.2">
      <c r="E9286" s="332"/>
    </row>
    <row r="9287" spans="5:5" x14ac:dyDescent="0.2">
      <c r="E9287" s="332"/>
    </row>
    <row r="9288" spans="5:5" x14ac:dyDescent="0.2">
      <c r="E9288" s="332"/>
    </row>
    <row r="9289" spans="5:5" x14ac:dyDescent="0.2">
      <c r="E9289" s="332"/>
    </row>
    <row r="9290" spans="5:5" x14ac:dyDescent="0.2">
      <c r="E9290" s="332"/>
    </row>
    <row r="9291" spans="5:5" x14ac:dyDescent="0.2">
      <c r="E9291" s="332"/>
    </row>
    <row r="9292" spans="5:5" x14ac:dyDescent="0.2">
      <c r="E9292" s="332"/>
    </row>
    <row r="9293" spans="5:5" x14ac:dyDescent="0.2">
      <c r="E9293" s="332"/>
    </row>
    <row r="9294" spans="5:5" x14ac:dyDescent="0.2">
      <c r="E9294" s="332"/>
    </row>
    <row r="9295" spans="5:5" x14ac:dyDescent="0.2">
      <c r="E9295" s="332"/>
    </row>
    <row r="9296" spans="5:5" x14ac:dyDescent="0.2">
      <c r="E9296" s="332"/>
    </row>
    <row r="9297" spans="5:5" x14ac:dyDescent="0.2">
      <c r="E9297" s="332"/>
    </row>
    <row r="9298" spans="5:5" x14ac:dyDescent="0.2">
      <c r="E9298" s="332"/>
    </row>
    <row r="9299" spans="5:5" x14ac:dyDescent="0.2">
      <c r="E9299" s="332"/>
    </row>
    <row r="9300" spans="5:5" x14ac:dyDescent="0.2">
      <c r="E9300" s="332"/>
    </row>
    <row r="9301" spans="5:5" x14ac:dyDescent="0.2">
      <c r="E9301" s="332"/>
    </row>
    <row r="9302" spans="5:5" x14ac:dyDescent="0.2">
      <c r="E9302" s="332"/>
    </row>
    <row r="9303" spans="5:5" x14ac:dyDescent="0.2">
      <c r="E9303" s="332"/>
    </row>
    <row r="9304" spans="5:5" x14ac:dyDescent="0.2">
      <c r="E9304" s="332"/>
    </row>
    <row r="9305" spans="5:5" x14ac:dyDescent="0.2">
      <c r="E9305" s="332"/>
    </row>
    <row r="9306" spans="5:5" x14ac:dyDescent="0.2">
      <c r="E9306" s="332"/>
    </row>
    <row r="9307" spans="5:5" x14ac:dyDescent="0.2">
      <c r="E9307" s="332"/>
    </row>
    <row r="9308" spans="5:5" x14ac:dyDescent="0.2">
      <c r="E9308" s="332"/>
    </row>
    <row r="9309" spans="5:5" x14ac:dyDescent="0.2">
      <c r="E9309" s="332"/>
    </row>
    <row r="9310" spans="5:5" x14ac:dyDescent="0.2">
      <c r="E9310" s="332"/>
    </row>
    <row r="9311" spans="5:5" x14ac:dyDescent="0.2">
      <c r="E9311" s="332"/>
    </row>
    <row r="9312" spans="5:5" x14ac:dyDescent="0.2">
      <c r="E9312" s="332"/>
    </row>
    <row r="9313" spans="5:5" x14ac:dyDescent="0.2">
      <c r="E9313" s="332"/>
    </row>
    <row r="9314" spans="5:5" x14ac:dyDescent="0.2">
      <c r="E9314" s="332"/>
    </row>
    <row r="9315" spans="5:5" x14ac:dyDescent="0.2">
      <c r="E9315" s="332"/>
    </row>
    <row r="9316" spans="5:5" x14ac:dyDescent="0.2">
      <c r="E9316" s="332"/>
    </row>
    <row r="9317" spans="5:5" x14ac:dyDescent="0.2">
      <c r="E9317" s="332"/>
    </row>
    <row r="9318" spans="5:5" x14ac:dyDescent="0.2">
      <c r="E9318" s="332"/>
    </row>
    <row r="9319" spans="5:5" x14ac:dyDescent="0.2">
      <c r="E9319" s="332"/>
    </row>
    <row r="9320" spans="5:5" x14ac:dyDescent="0.2">
      <c r="E9320" s="332"/>
    </row>
    <row r="9321" spans="5:5" x14ac:dyDescent="0.2">
      <c r="E9321" s="332"/>
    </row>
    <row r="9322" spans="5:5" x14ac:dyDescent="0.2">
      <c r="E9322" s="332"/>
    </row>
    <row r="9323" spans="5:5" x14ac:dyDescent="0.2">
      <c r="E9323" s="332"/>
    </row>
    <row r="9324" spans="5:5" x14ac:dyDescent="0.2">
      <c r="E9324" s="332"/>
    </row>
    <row r="9325" spans="5:5" x14ac:dyDescent="0.2">
      <c r="E9325" s="332"/>
    </row>
    <row r="9326" spans="5:5" x14ac:dyDescent="0.2">
      <c r="E9326" s="332"/>
    </row>
    <row r="9327" spans="5:5" x14ac:dyDescent="0.2">
      <c r="E9327" s="332"/>
    </row>
    <row r="9328" spans="5:5" x14ac:dyDescent="0.2">
      <c r="E9328" s="332"/>
    </row>
    <row r="9329" spans="5:5" x14ac:dyDescent="0.2">
      <c r="E9329" s="332"/>
    </row>
    <row r="9330" spans="5:5" x14ac:dyDescent="0.2">
      <c r="E9330" s="332"/>
    </row>
    <row r="9331" spans="5:5" x14ac:dyDescent="0.2">
      <c r="E9331" s="332"/>
    </row>
    <row r="9332" spans="5:5" x14ac:dyDescent="0.2">
      <c r="E9332" s="332"/>
    </row>
    <row r="9333" spans="5:5" x14ac:dyDescent="0.2">
      <c r="E9333" s="332"/>
    </row>
    <row r="9334" spans="5:5" x14ac:dyDescent="0.2">
      <c r="E9334" s="332"/>
    </row>
    <row r="9335" spans="5:5" x14ac:dyDescent="0.2">
      <c r="E9335" s="332"/>
    </row>
    <row r="9336" spans="5:5" x14ac:dyDescent="0.2">
      <c r="E9336" s="332"/>
    </row>
    <row r="9337" spans="5:5" x14ac:dyDescent="0.2">
      <c r="E9337" s="332"/>
    </row>
    <row r="9338" spans="5:5" x14ac:dyDescent="0.2">
      <c r="E9338" s="332"/>
    </row>
    <row r="9339" spans="5:5" x14ac:dyDescent="0.2">
      <c r="E9339" s="332"/>
    </row>
    <row r="9340" spans="5:5" x14ac:dyDescent="0.2">
      <c r="E9340" s="332"/>
    </row>
    <row r="9341" spans="5:5" x14ac:dyDescent="0.2">
      <c r="E9341" s="332"/>
    </row>
    <row r="9342" spans="5:5" x14ac:dyDescent="0.2">
      <c r="E9342" s="332"/>
    </row>
    <row r="9343" spans="5:5" x14ac:dyDescent="0.2">
      <c r="E9343" s="332"/>
    </row>
    <row r="9344" spans="5:5" x14ac:dyDescent="0.2">
      <c r="E9344" s="332"/>
    </row>
    <row r="9345" spans="5:5" x14ac:dyDescent="0.2">
      <c r="E9345" s="332"/>
    </row>
    <row r="9346" spans="5:5" x14ac:dyDescent="0.2">
      <c r="E9346" s="332"/>
    </row>
    <row r="9347" spans="5:5" x14ac:dyDescent="0.2">
      <c r="E9347" s="332"/>
    </row>
    <row r="9348" spans="5:5" x14ac:dyDescent="0.2">
      <c r="E9348" s="332"/>
    </row>
    <row r="9349" spans="5:5" x14ac:dyDescent="0.2">
      <c r="E9349" s="332"/>
    </row>
    <row r="9350" spans="5:5" x14ac:dyDescent="0.2">
      <c r="E9350" s="332"/>
    </row>
    <row r="9351" spans="5:5" x14ac:dyDescent="0.2">
      <c r="E9351" s="332"/>
    </row>
    <row r="9352" spans="5:5" x14ac:dyDescent="0.2">
      <c r="E9352" s="332"/>
    </row>
    <row r="9353" spans="5:5" x14ac:dyDescent="0.2">
      <c r="E9353" s="332"/>
    </row>
    <row r="9354" spans="5:5" x14ac:dyDescent="0.2">
      <c r="E9354" s="332"/>
    </row>
    <row r="9355" spans="5:5" x14ac:dyDescent="0.2">
      <c r="E9355" s="332"/>
    </row>
    <row r="9356" spans="5:5" x14ac:dyDescent="0.2">
      <c r="E9356" s="332"/>
    </row>
    <row r="9357" spans="5:5" x14ac:dyDescent="0.2">
      <c r="E9357" s="332"/>
    </row>
    <row r="9358" spans="5:5" x14ac:dyDescent="0.2">
      <c r="E9358" s="332"/>
    </row>
    <row r="9359" spans="5:5" x14ac:dyDescent="0.2">
      <c r="E9359" s="332"/>
    </row>
    <row r="9360" spans="5:5" x14ac:dyDescent="0.2">
      <c r="E9360" s="332"/>
    </row>
    <row r="9361" spans="5:5" x14ac:dyDescent="0.2">
      <c r="E9361" s="332"/>
    </row>
    <row r="9362" spans="5:5" x14ac:dyDescent="0.2">
      <c r="E9362" s="332"/>
    </row>
    <row r="9363" spans="5:5" x14ac:dyDescent="0.2">
      <c r="E9363" s="332"/>
    </row>
    <row r="9364" spans="5:5" x14ac:dyDescent="0.2">
      <c r="E9364" s="332"/>
    </row>
    <row r="9365" spans="5:5" x14ac:dyDescent="0.2">
      <c r="E9365" s="332"/>
    </row>
    <row r="9366" spans="5:5" x14ac:dyDescent="0.2">
      <c r="E9366" s="332"/>
    </row>
    <row r="9367" spans="5:5" x14ac:dyDescent="0.2">
      <c r="E9367" s="332"/>
    </row>
    <row r="9368" spans="5:5" x14ac:dyDescent="0.2">
      <c r="E9368" s="332"/>
    </row>
    <row r="9369" spans="5:5" x14ac:dyDescent="0.2">
      <c r="E9369" s="332"/>
    </row>
    <row r="9370" spans="5:5" x14ac:dyDescent="0.2">
      <c r="E9370" s="332"/>
    </row>
    <row r="9371" spans="5:5" x14ac:dyDescent="0.2">
      <c r="E9371" s="332"/>
    </row>
    <row r="9372" spans="5:5" x14ac:dyDescent="0.2">
      <c r="E9372" s="332"/>
    </row>
    <row r="9373" spans="5:5" x14ac:dyDescent="0.2">
      <c r="E9373" s="332"/>
    </row>
    <row r="9374" spans="5:5" x14ac:dyDescent="0.2">
      <c r="E9374" s="332"/>
    </row>
    <row r="9375" spans="5:5" x14ac:dyDescent="0.2">
      <c r="E9375" s="332"/>
    </row>
    <row r="9376" spans="5:5" x14ac:dyDescent="0.2">
      <c r="E9376" s="332"/>
    </row>
    <row r="9377" spans="5:5" x14ac:dyDescent="0.2">
      <c r="E9377" s="332"/>
    </row>
    <row r="9378" spans="5:5" x14ac:dyDescent="0.2">
      <c r="E9378" s="332"/>
    </row>
    <row r="9379" spans="5:5" x14ac:dyDescent="0.2">
      <c r="E9379" s="332"/>
    </row>
    <row r="9380" spans="5:5" x14ac:dyDescent="0.2">
      <c r="E9380" s="332"/>
    </row>
    <row r="9381" spans="5:5" x14ac:dyDescent="0.2">
      <c r="E9381" s="332"/>
    </row>
    <row r="9382" spans="5:5" x14ac:dyDescent="0.2">
      <c r="E9382" s="332"/>
    </row>
    <row r="9383" spans="5:5" x14ac:dyDescent="0.2">
      <c r="E9383" s="332"/>
    </row>
    <row r="9384" spans="5:5" x14ac:dyDescent="0.2">
      <c r="E9384" s="332"/>
    </row>
    <row r="9385" spans="5:5" x14ac:dyDescent="0.2">
      <c r="E9385" s="332"/>
    </row>
    <row r="9386" spans="5:5" x14ac:dyDescent="0.2">
      <c r="E9386" s="332"/>
    </row>
    <row r="9387" spans="5:5" x14ac:dyDescent="0.2">
      <c r="E9387" s="332"/>
    </row>
    <row r="9388" spans="5:5" x14ac:dyDescent="0.2">
      <c r="E9388" s="332"/>
    </row>
    <row r="9389" spans="5:5" x14ac:dyDescent="0.2">
      <c r="E9389" s="332"/>
    </row>
    <row r="9390" spans="5:5" x14ac:dyDescent="0.2">
      <c r="E9390" s="332"/>
    </row>
    <row r="9391" spans="5:5" x14ac:dyDescent="0.2">
      <c r="E9391" s="332"/>
    </row>
    <row r="9392" spans="5:5" x14ac:dyDescent="0.2">
      <c r="E9392" s="332"/>
    </row>
    <row r="9393" spans="5:5" x14ac:dyDescent="0.2">
      <c r="E9393" s="332"/>
    </row>
    <row r="9394" spans="5:5" x14ac:dyDescent="0.2">
      <c r="E9394" s="332"/>
    </row>
    <row r="9395" spans="5:5" x14ac:dyDescent="0.2">
      <c r="E9395" s="332"/>
    </row>
    <row r="9396" spans="5:5" x14ac:dyDescent="0.2">
      <c r="E9396" s="332"/>
    </row>
    <row r="9397" spans="5:5" x14ac:dyDescent="0.2">
      <c r="E9397" s="332"/>
    </row>
    <row r="9398" spans="5:5" x14ac:dyDescent="0.2">
      <c r="E9398" s="332"/>
    </row>
    <row r="9399" spans="5:5" x14ac:dyDescent="0.2">
      <c r="E9399" s="332"/>
    </row>
    <row r="9400" spans="5:5" x14ac:dyDescent="0.2">
      <c r="E9400" s="332"/>
    </row>
    <row r="9401" spans="5:5" x14ac:dyDescent="0.2">
      <c r="E9401" s="332"/>
    </row>
    <row r="9402" spans="5:5" x14ac:dyDescent="0.2">
      <c r="E9402" s="332"/>
    </row>
    <row r="9403" spans="5:5" x14ac:dyDescent="0.2">
      <c r="E9403" s="332"/>
    </row>
    <row r="9404" spans="5:5" x14ac:dyDescent="0.2">
      <c r="E9404" s="332"/>
    </row>
    <row r="9405" spans="5:5" x14ac:dyDescent="0.2">
      <c r="E9405" s="332"/>
    </row>
    <row r="9406" spans="5:5" x14ac:dyDescent="0.2">
      <c r="E9406" s="332"/>
    </row>
    <row r="9407" spans="5:5" x14ac:dyDescent="0.2">
      <c r="E9407" s="332"/>
    </row>
    <row r="9408" spans="5:5" x14ac:dyDescent="0.2">
      <c r="E9408" s="332"/>
    </row>
    <row r="9409" spans="5:5" x14ac:dyDescent="0.2">
      <c r="E9409" s="332"/>
    </row>
    <row r="9410" spans="5:5" x14ac:dyDescent="0.2">
      <c r="E9410" s="332"/>
    </row>
    <row r="9411" spans="5:5" x14ac:dyDescent="0.2">
      <c r="E9411" s="332"/>
    </row>
    <row r="9412" spans="5:5" x14ac:dyDescent="0.2">
      <c r="E9412" s="332"/>
    </row>
    <row r="9413" spans="5:5" x14ac:dyDescent="0.2">
      <c r="E9413" s="332"/>
    </row>
    <row r="9414" spans="5:5" x14ac:dyDescent="0.2">
      <c r="E9414" s="332"/>
    </row>
    <row r="9415" spans="5:5" x14ac:dyDescent="0.2">
      <c r="E9415" s="332"/>
    </row>
    <row r="9416" spans="5:5" x14ac:dyDescent="0.2">
      <c r="E9416" s="332"/>
    </row>
    <row r="9417" spans="5:5" x14ac:dyDescent="0.2">
      <c r="E9417" s="332"/>
    </row>
    <row r="9418" spans="5:5" x14ac:dyDescent="0.2">
      <c r="E9418" s="332"/>
    </row>
    <row r="9419" spans="5:5" x14ac:dyDescent="0.2">
      <c r="E9419" s="332"/>
    </row>
    <row r="9420" spans="5:5" x14ac:dyDescent="0.2">
      <c r="E9420" s="332"/>
    </row>
    <row r="9421" spans="5:5" x14ac:dyDescent="0.2">
      <c r="E9421" s="332"/>
    </row>
    <row r="9422" spans="5:5" x14ac:dyDescent="0.2">
      <c r="E9422" s="332"/>
    </row>
    <row r="9423" spans="5:5" x14ac:dyDescent="0.2">
      <c r="E9423" s="332"/>
    </row>
    <row r="9424" spans="5:5" x14ac:dyDescent="0.2">
      <c r="E9424" s="332"/>
    </row>
    <row r="9425" spans="5:5" x14ac:dyDescent="0.2">
      <c r="E9425" s="332"/>
    </row>
    <row r="9426" spans="5:5" x14ac:dyDescent="0.2">
      <c r="E9426" s="332"/>
    </row>
    <row r="9427" spans="5:5" x14ac:dyDescent="0.2">
      <c r="E9427" s="332"/>
    </row>
    <row r="9428" spans="5:5" x14ac:dyDescent="0.2">
      <c r="E9428" s="332"/>
    </row>
    <row r="9429" spans="5:5" x14ac:dyDescent="0.2">
      <c r="E9429" s="332"/>
    </row>
    <row r="9430" spans="5:5" x14ac:dyDescent="0.2">
      <c r="E9430" s="332"/>
    </row>
    <row r="9431" spans="5:5" x14ac:dyDescent="0.2">
      <c r="E9431" s="332"/>
    </row>
    <row r="9432" spans="5:5" x14ac:dyDescent="0.2">
      <c r="E9432" s="332"/>
    </row>
    <row r="9433" spans="5:5" x14ac:dyDescent="0.2">
      <c r="E9433" s="332"/>
    </row>
    <row r="9434" spans="5:5" x14ac:dyDescent="0.2">
      <c r="E9434" s="332"/>
    </row>
    <row r="9435" spans="5:5" x14ac:dyDescent="0.2">
      <c r="E9435" s="332"/>
    </row>
    <row r="9436" spans="5:5" x14ac:dyDescent="0.2">
      <c r="E9436" s="332"/>
    </row>
    <row r="9437" spans="5:5" x14ac:dyDescent="0.2">
      <c r="E9437" s="332"/>
    </row>
    <row r="9438" spans="5:5" x14ac:dyDescent="0.2">
      <c r="E9438" s="332"/>
    </row>
    <row r="9439" spans="5:5" x14ac:dyDescent="0.2">
      <c r="E9439" s="332"/>
    </row>
    <row r="9440" spans="5:5" x14ac:dyDescent="0.2">
      <c r="E9440" s="332"/>
    </row>
    <row r="9441" spans="5:5" x14ac:dyDescent="0.2">
      <c r="E9441" s="332"/>
    </row>
    <row r="9442" spans="5:5" x14ac:dyDescent="0.2">
      <c r="E9442" s="332"/>
    </row>
    <row r="9443" spans="5:5" x14ac:dyDescent="0.2">
      <c r="E9443" s="332"/>
    </row>
    <row r="9444" spans="5:5" x14ac:dyDescent="0.2">
      <c r="E9444" s="332"/>
    </row>
    <row r="9445" spans="5:5" x14ac:dyDescent="0.2">
      <c r="E9445" s="332"/>
    </row>
    <row r="9446" spans="5:5" x14ac:dyDescent="0.2">
      <c r="E9446" s="332"/>
    </row>
    <row r="9447" spans="5:5" x14ac:dyDescent="0.2">
      <c r="E9447" s="332"/>
    </row>
    <row r="9448" spans="5:5" x14ac:dyDescent="0.2">
      <c r="E9448" s="332"/>
    </row>
    <row r="9449" spans="5:5" x14ac:dyDescent="0.2">
      <c r="E9449" s="332"/>
    </row>
    <row r="9450" spans="5:5" x14ac:dyDescent="0.2">
      <c r="E9450" s="332"/>
    </row>
    <row r="9451" spans="5:5" x14ac:dyDescent="0.2">
      <c r="E9451" s="332"/>
    </row>
    <row r="9452" spans="5:5" x14ac:dyDescent="0.2">
      <c r="E9452" s="332"/>
    </row>
    <row r="9453" spans="5:5" x14ac:dyDescent="0.2">
      <c r="E9453" s="332"/>
    </row>
    <row r="9454" spans="5:5" x14ac:dyDescent="0.2">
      <c r="E9454" s="332"/>
    </row>
    <row r="9455" spans="5:5" x14ac:dyDescent="0.2">
      <c r="E9455" s="332"/>
    </row>
    <row r="9456" spans="5:5" x14ac:dyDescent="0.2">
      <c r="E9456" s="332"/>
    </row>
    <row r="9457" spans="5:5" x14ac:dyDescent="0.2">
      <c r="E9457" s="332"/>
    </row>
    <row r="9458" spans="5:5" x14ac:dyDescent="0.2">
      <c r="E9458" s="332"/>
    </row>
    <row r="9459" spans="5:5" x14ac:dyDescent="0.2">
      <c r="E9459" s="332"/>
    </row>
    <row r="9460" spans="5:5" x14ac:dyDescent="0.2">
      <c r="E9460" s="332"/>
    </row>
    <row r="9461" spans="5:5" x14ac:dyDescent="0.2">
      <c r="E9461" s="332"/>
    </row>
    <row r="9462" spans="5:5" x14ac:dyDescent="0.2">
      <c r="E9462" s="332"/>
    </row>
    <row r="9463" spans="5:5" x14ac:dyDescent="0.2">
      <c r="E9463" s="332"/>
    </row>
    <row r="9464" spans="5:5" x14ac:dyDescent="0.2">
      <c r="E9464" s="332"/>
    </row>
    <row r="9465" spans="5:5" x14ac:dyDescent="0.2">
      <c r="E9465" s="332"/>
    </row>
    <row r="9466" spans="5:5" x14ac:dyDescent="0.2">
      <c r="E9466" s="332"/>
    </row>
    <row r="9467" spans="5:5" x14ac:dyDescent="0.2">
      <c r="E9467" s="332"/>
    </row>
    <row r="9468" spans="5:5" x14ac:dyDescent="0.2">
      <c r="E9468" s="332"/>
    </row>
    <row r="9469" spans="5:5" x14ac:dyDescent="0.2">
      <c r="E9469" s="332"/>
    </row>
    <row r="9470" spans="5:5" x14ac:dyDescent="0.2">
      <c r="E9470" s="332"/>
    </row>
    <row r="9471" spans="5:5" x14ac:dyDescent="0.2">
      <c r="E9471" s="332"/>
    </row>
    <row r="9472" spans="5:5" x14ac:dyDescent="0.2">
      <c r="E9472" s="332"/>
    </row>
    <row r="9473" spans="5:5" x14ac:dyDescent="0.2">
      <c r="E9473" s="332"/>
    </row>
    <row r="9474" spans="5:5" x14ac:dyDescent="0.2">
      <c r="E9474" s="332"/>
    </row>
    <row r="9475" spans="5:5" x14ac:dyDescent="0.2">
      <c r="E9475" s="332"/>
    </row>
    <row r="9476" spans="5:5" x14ac:dyDescent="0.2">
      <c r="E9476" s="332"/>
    </row>
    <row r="9477" spans="5:5" x14ac:dyDescent="0.2">
      <c r="E9477" s="332"/>
    </row>
    <row r="9478" spans="5:5" x14ac:dyDescent="0.2">
      <c r="E9478" s="332"/>
    </row>
    <row r="9479" spans="5:5" x14ac:dyDescent="0.2">
      <c r="E9479" s="332"/>
    </row>
    <row r="9480" spans="5:5" x14ac:dyDescent="0.2">
      <c r="E9480" s="332"/>
    </row>
    <row r="9481" spans="5:5" x14ac:dyDescent="0.2">
      <c r="E9481" s="332"/>
    </row>
    <row r="9482" spans="5:5" x14ac:dyDescent="0.2">
      <c r="E9482" s="332"/>
    </row>
    <row r="9483" spans="5:5" x14ac:dyDescent="0.2">
      <c r="E9483" s="332"/>
    </row>
    <row r="9484" spans="5:5" x14ac:dyDescent="0.2">
      <c r="E9484" s="332"/>
    </row>
    <row r="9485" spans="5:5" x14ac:dyDescent="0.2">
      <c r="E9485" s="332"/>
    </row>
    <row r="9486" spans="5:5" x14ac:dyDescent="0.2">
      <c r="E9486" s="332"/>
    </row>
    <row r="9487" spans="5:5" x14ac:dyDescent="0.2">
      <c r="E9487" s="332"/>
    </row>
    <row r="9488" spans="5:5" x14ac:dyDescent="0.2">
      <c r="E9488" s="332"/>
    </row>
    <row r="9489" spans="5:5" x14ac:dyDescent="0.2">
      <c r="E9489" s="332"/>
    </row>
    <row r="9490" spans="5:5" x14ac:dyDescent="0.2">
      <c r="E9490" s="332"/>
    </row>
    <row r="9491" spans="5:5" x14ac:dyDescent="0.2">
      <c r="E9491" s="332"/>
    </row>
    <row r="9492" spans="5:5" x14ac:dyDescent="0.2">
      <c r="E9492" s="332"/>
    </row>
    <row r="9493" spans="5:5" x14ac:dyDescent="0.2">
      <c r="E9493" s="332"/>
    </row>
    <row r="9494" spans="5:5" x14ac:dyDescent="0.2">
      <c r="E9494" s="332"/>
    </row>
    <row r="9495" spans="5:5" x14ac:dyDescent="0.2">
      <c r="E9495" s="332"/>
    </row>
    <row r="9496" spans="5:5" x14ac:dyDescent="0.2">
      <c r="E9496" s="332"/>
    </row>
    <row r="9497" spans="5:5" x14ac:dyDescent="0.2">
      <c r="E9497" s="332"/>
    </row>
    <row r="9498" spans="5:5" x14ac:dyDescent="0.2">
      <c r="E9498" s="332"/>
    </row>
    <row r="9499" spans="5:5" x14ac:dyDescent="0.2">
      <c r="E9499" s="332"/>
    </row>
    <row r="9500" spans="5:5" x14ac:dyDescent="0.2">
      <c r="E9500" s="332"/>
    </row>
    <row r="9501" spans="5:5" x14ac:dyDescent="0.2">
      <c r="E9501" s="332"/>
    </row>
    <row r="9502" spans="5:5" x14ac:dyDescent="0.2">
      <c r="E9502" s="332"/>
    </row>
    <row r="9503" spans="5:5" x14ac:dyDescent="0.2">
      <c r="E9503" s="332"/>
    </row>
    <row r="9504" spans="5:5" x14ac:dyDescent="0.2">
      <c r="E9504" s="332"/>
    </row>
    <row r="9505" spans="5:5" x14ac:dyDescent="0.2">
      <c r="E9505" s="332"/>
    </row>
    <row r="9506" spans="5:5" x14ac:dyDescent="0.2">
      <c r="E9506" s="332"/>
    </row>
    <row r="9507" spans="5:5" x14ac:dyDescent="0.2">
      <c r="E9507" s="332"/>
    </row>
    <row r="9508" spans="5:5" x14ac:dyDescent="0.2">
      <c r="E9508" s="332"/>
    </row>
    <row r="9509" spans="5:5" x14ac:dyDescent="0.2">
      <c r="E9509" s="332"/>
    </row>
    <row r="9510" spans="5:5" x14ac:dyDescent="0.2">
      <c r="E9510" s="332"/>
    </row>
    <row r="9511" spans="5:5" x14ac:dyDescent="0.2">
      <c r="E9511" s="332"/>
    </row>
    <row r="9512" spans="5:5" x14ac:dyDescent="0.2">
      <c r="E9512" s="332"/>
    </row>
    <row r="9513" spans="5:5" x14ac:dyDescent="0.2">
      <c r="E9513" s="332"/>
    </row>
    <row r="9514" spans="5:5" x14ac:dyDescent="0.2">
      <c r="E9514" s="332"/>
    </row>
    <row r="9515" spans="5:5" x14ac:dyDescent="0.2">
      <c r="E9515" s="332"/>
    </row>
    <row r="9516" spans="5:5" x14ac:dyDescent="0.2">
      <c r="E9516" s="332"/>
    </row>
    <row r="9517" spans="5:5" x14ac:dyDescent="0.2">
      <c r="E9517" s="332"/>
    </row>
    <row r="9518" spans="5:5" x14ac:dyDescent="0.2">
      <c r="E9518" s="332"/>
    </row>
    <row r="9519" spans="5:5" x14ac:dyDescent="0.2">
      <c r="E9519" s="332"/>
    </row>
    <row r="9520" spans="5:5" x14ac:dyDescent="0.2">
      <c r="E9520" s="332"/>
    </row>
    <row r="9521" spans="5:5" x14ac:dyDescent="0.2">
      <c r="E9521" s="332"/>
    </row>
    <row r="9522" spans="5:5" x14ac:dyDescent="0.2">
      <c r="E9522" s="332"/>
    </row>
    <row r="9523" spans="5:5" x14ac:dyDescent="0.2">
      <c r="E9523" s="332"/>
    </row>
    <row r="9524" spans="5:5" x14ac:dyDescent="0.2">
      <c r="E9524" s="332"/>
    </row>
    <row r="9525" spans="5:5" x14ac:dyDescent="0.2">
      <c r="E9525" s="332"/>
    </row>
    <row r="9526" spans="5:5" x14ac:dyDescent="0.2">
      <c r="E9526" s="332"/>
    </row>
    <row r="9527" spans="5:5" x14ac:dyDescent="0.2">
      <c r="E9527" s="332"/>
    </row>
    <row r="9528" spans="5:5" x14ac:dyDescent="0.2">
      <c r="E9528" s="332"/>
    </row>
    <row r="9529" spans="5:5" x14ac:dyDescent="0.2">
      <c r="E9529" s="332"/>
    </row>
    <row r="9530" spans="5:5" x14ac:dyDescent="0.2">
      <c r="E9530" s="332"/>
    </row>
    <row r="9531" spans="5:5" x14ac:dyDescent="0.2">
      <c r="E9531" s="332"/>
    </row>
    <row r="9532" spans="5:5" x14ac:dyDescent="0.2">
      <c r="E9532" s="332"/>
    </row>
    <row r="9533" spans="5:5" x14ac:dyDescent="0.2">
      <c r="E9533" s="332"/>
    </row>
    <row r="9534" spans="5:5" x14ac:dyDescent="0.2">
      <c r="E9534" s="332"/>
    </row>
    <row r="9535" spans="5:5" x14ac:dyDescent="0.2">
      <c r="E9535" s="332"/>
    </row>
    <row r="9536" spans="5:5" x14ac:dyDescent="0.2">
      <c r="E9536" s="332"/>
    </row>
    <row r="9537" spans="5:5" x14ac:dyDescent="0.2">
      <c r="E9537" s="332"/>
    </row>
    <row r="9538" spans="5:5" x14ac:dyDescent="0.2">
      <c r="E9538" s="332"/>
    </row>
    <row r="9539" spans="5:5" x14ac:dyDescent="0.2">
      <c r="E9539" s="332"/>
    </row>
    <row r="9540" spans="5:5" x14ac:dyDescent="0.2">
      <c r="E9540" s="332"/>
    </row>
    <row r="9541" spans="5:5" x14ac:dyDescent="0.2">
      <c r="E9541" s="332"/>
    </row>
    <row r="9542" spans="5:5" x14ac:dyDescent="0.2">
      <c r="E9542" s="332"/>
    </row>
    <row r="9543" spans="5:5" x14ac:dyDescent="0.2">
      <c r="E9543" s="332"/>
    </row>
    <row r="9544" spans="5:5" x14ac:dyDescent="0.2">
      <c r="E9544" s="332"/>
    </row>
    <row r="9545" spans="5:5" x14ac:dyDescent="0.2">
      <c r="E9545" s="332"/>
    </row>
    <row r="9546" spans="5:5" x14ac:dyDescent="0.2">
      <c r="E9546" s="332"/>
    </row>
    <row r="9547" spans="5:5" x14ac:dyDescent="0.2">
      <c r="E9547" s="332"/>
    </row>
    <row r="9548" spans="5:5" x14ac:dyDescent="0.2">
      <c r="E9548" s="332"/>
    </row>
    <row r="9549" spans="5:5" x14ac:dyDescent="0.2">
      <c r="E9549" s="332"/>
    </row>
    <row r="9550" spans="5:5" x14ac:dyDescent="0.2">
      <c r="E9550" s="332"/>
    </row>
    <row r="9551" spans="5:5" x14ac:dyDescent="0.2">
      <c r="E9551" s="332"/>
    </row>
    <row r="9552" spans="5:5" x14ac:dyDescent="0.2">
      <c r="E9552" s="332"/>
    </row>
    <row r="9553" spans="5:5" x14ac:dyDescent="0.2">
      <c r="E9553" s="332"/>
    </row>
    <row r="9554" spans="5:5" x14ac:dyDescent="0.2">
      <c r="E9554" s="332"/>
    </row>
    <row r="9555" spans="5:5" x14ac:dyDescent="0.2">
      <c r="E9555" s="332"/>
    </row>
    <row r="9556" spans="5:5" x14ac:dyDescent="0.2">
      <c r="E9556" s="332"/>
    </row>
    <row r="9557" spans="5:5" x14ac:dyDescent="0.2">
      <c r="E9557" s="332"/>
    </row>
    <row r="9558" spans="5:5" x14ac:dyDescent="0.2">
      <c r="E9558" s="332"/>
    </row>
    <row r="9559" spans="5:5" x14ac:dyDescent="0.2">
      <c r="E9559" s="332"/>
    </row>
    <row r="9560" spans="5:5" x14ac:dyDescent="0.2">
      <c r="E9560" s="332"/>
    </row>
    <row r="9561" spans="5:5" x14ac:dyDescent="0.2">
      <c r="E9561" s="332"/>
    </row>
    <row r="9562" spans="5:5" x14ac:dyDescent="0.2">
      <c r="E9562" s="332"/>
    </row>
    <row r="9563" spans="5:5" x14ac:dyDescent="0.2">
      <c r="E9563" s="332"/>
    </row>
    <row r="9564" spans="5:5" x14ac:dyDescent="0.2">
      <c r="E9564" s="332"/>
    </row>
    <row r="9565" spans="5:5" x14ac:dyDescent="0.2">
      <c r="E9565" s="332"/>
    </row>
    <row r="9566" spans="5:5" x14ac:dyDescent="0.2">
      <c r="E9566" s="332"/>
    </row>
    <row r="9567" spans="5:5" x14ac:dyDescent="0.2">
      <c r="E9567" s="332"/>
    </row>
    <row r="9568" spans="5:5" x14ac:dyDescent="0.2">
      <c r="E9568" s="332"/>
    </row>
    <row r="9569" spans="5:5" x14ac:dyDescent="0.2">
      <c r="E9569" s="332"/>
    </row>
    <row r="9570" spans="5:5" x14ac:dyDescent="0.2">
      <c r="E9570" s="332"/>
    </row>
    <row r="9571" spans="5:5" x14ac:dyDescent="0.2">
      <c r="E9571" s="332"/>
    </row>
    <row r="9572" spans="5:5" x14ac:dyDescent="0.2">
      <c r="E9572" s="332"/>
    </row>
    <row r="9573" spans="5:5" x14ac:dyDescent="0.2">
      <c r="E9573" s="332"/>
    </row>
    <row r="9574" spans="5:5" x14ac:dyDescent="0.2">
      <c r="E9574" s="332"/>
    </row>
    <row r="9575" spans="5:5" x14ac:dyDescent="0.2">
      <c r="E9575" s="332"/>
    </row>
    <row r="9576" spans="5:5" x14ac:dyDescent="0.2">
      <c r="E9576" s="332"/>
    </row>
    <row r="9577" spans="5:5" x14ac:dyDescent="0.2">
      <c r="E9577" s="332"/>
    </row>
    <row r="9578" spans="5:5" x14ac:dyDescent="0.2">
      <c r="E9578" s="332"/>
    </row>
    <row r="9579" spans="5:5" x14ac:dyDescent="0.2">
      <c r="E9579" s="332"/>
    </row>
    <row r="9580" spans="5:5" x14ac:dyDescent="0.2">
      <c r="E9580" s="332"/>
    </row>
    <row r="9581" spans="5:5" x14ac:dyDescent="0.2">
      <c r="E9581" s="332"/>
    </row>
    <row r="9582" spans="5:5" x14ac:dyDescent="0.2">
      <c r="E9582" s="332"/>
    </row>
    <row r="9583" spans="5:5" x14ac:dyDescent="0.2">
      <c r="E9583" s="332"/>
    </row>
    <row r="9584" spans="5:5" x14ac:dyDescent="0.2">
      <c r="E9584" s="332"/>
    </row>
    <row r="9585" spans="5:5" x14ac:dyDescent="0.2">
      <c r="E9585" s="332"/>
    </row>
    <row r="9586" spans="5:5" x14ac:dyDescent="0.2">
      <c r="E9586" s="332"/>
    </row>
    <row r="9587" spans="5:5" x14ac:dyDescent="0.2">
      <c r="E9587" s="332"/>
    </row>
    <row r="9588" spans="5:5" x14ac:dyDescent="0.2">
      <c r="E9588" s="332"/>
    </row>
    <row r="9589" spans="5:5" x14ac:dyDescent="0.2">
      <c r="E9589" s="332"/>
    </row>
    <row r="9590" spans="5:5" x14ac:dyDescent="0.2">
      <c r="E9590" s="332"/>
    </row>
    <row r="9591" spans="5:5" x14ac:dyDescent="0.2">
      <c r="E9591" s="332"/>
    </row>
    <row r="9592" spans="5:5" x14ac:dyDescent="0.2">
      <c r="E9592" s="332"/>
    </row>
    <row r="9593" spans="5:5" x14ac:dyDescent="0.2">
      <c r="E9593" s="332"/>
    </row>
    <row r="9594" spans="5:5" x14ac:dyDescent="0.2">
      <c r="E9594" s="332"/>
    </row>
    <row r="9595" spans="5:5" x14ac:dyDescent="0.2">
      <c r="E9595" s="332"/>
    </row>
    <row r="9596" spans="5:5" x14ac:dyDescent="0.2">
      <c r="E9596" s="332"/>
    </row>
    <row r="9597" spans="5:5" x14ac:dyDescent="0.2">
      <c r="E9597" s="332"/>
    </row>
    <row r="9598" spans="5:5" x14ac:dyDescent="0.2">
      <c r="E9598" s="332"/>
    </row>
    <row r="9599" spans="5:5" x14ac:dyDescent="0.2">
      <c r="E9599" s="332"/>
    </row>
    <row r="9600" spans="5:5" x14ac:dyDescent="0.2">
      <c r="E9600" s="332"/>
    </row>
    <row r="9601" spans="5:5" x14ac:dyDescent="0.2">
      <c r="E9601" s="332"/>
    </row>
    <row r="9602" spans="5:5" x14ac:dyDescent="0.2">
      <c r="E9602" s="332"/>
    </row>
    <row r="9603" spans="5:5" x14ac:dyDescent="0.2">
      <c r="E9603" s="332"/>
    </row>
    <row r="9604" spans="5:5" x14ac:dyDescent="0.2">
      <c r="E9604" s="332"/>
    </row>
    <row r="9605" spans="5:5" x14ac:dyDescent="0.2">
      <c r="E9605" s="332"/>
    </row>
    <row r="9606" spans="5:5" x14ac:dyDescent="0.2">
      <c r="E9606" s="332"/>
    </row>
    <row r="9607" spans="5:5" x14ac:dyDescent="0.2">
      <c r="E9607" s="332"/>
    </row>
    <row r="9608" spans="5:5" x14ac:dyDescent="0.2">
      <c r="E9608" s="332"/>
    </row>
    <row r="9609" spans="5:5" x14ac:dyDescent="0.2">
      <c r="E9609" s="332"/>
    </row>
    <row r="9610" spans="5:5" x14ac:dyDescent="0.2">
      <c r="E9610" s="332"/>
    </row>
    <row r="9611" spans="5:5" x14ac:dyDescent="0.2">
      <c r="E9611" s="332"/>
    </row>
    <row r="9612" spans="5:5" x14ac:dyDescent="0.2">
      <c r="E9612" s="332"/>
    </row>
    <row r="9613" spans="5:5" x14ac:dyDescent="0.2">
      <c r="E9613" s="332"/>
    </row>
    <row r="9614" spans="5:5" x14ac:dyDescent="0.2">
      <c r="E9614" s="332"/>
    </row>
    <row r="9615" spans="5:5" x14ac:dyDescent="0.2">
      <c r="E9615" s="332"/>
    </row>
    <row r="9616" spans="5:5" x14ac:dyDescent="0.2">
      <c r="E9616" s="332"/>
    </row>
    <row r="9617" spans="5:5" x14ac:dyDescent="0.2">
      <c r="E9617" s="332"/>
    </row>
    <row r="9618" spans="5:5" x14ac:dyDescent="0.2">
      <c r="E9618" s="332"/>
    </row>
    <row r="9619" spans="5:5" x14ac:dyDescent="0.2">
      <c r="E9619" s="332"/>
    </row>
    <row r="9620" spans="5:5" x14ac:dyDescent="0.2">
      <c r="E9620" s="332"/>
    </row>
    <row r="9621" spans="5:5" x14ac:dyDescent="0.2">
      <c r="E9621" s="332"/>
    </row>
    <row r="9622" spans="5:5" x14ac:dyDescent="0.2">
      <c r="E9622" s="332"/>
    </row>
    <row r="9623" spans="5:5" x14ac:dyDescent="0.2">
      <c r="E9623" s="332"/>
    </row>
    <row r="9624" spans="5:5" x14ac:dyDescent="0.2">
      <c r="E9624" s="332"/>
    </row>
    <row r="9625" spans="5:5" x14ac:dyDescent="0.2">
      <c r="E9625" s="332"/>
    </row>
    <row r="9626" spans="5:5" x14ac:dyDescent="0.2">
      <c r="E9626" s="332"/>
    </row>
    <row r="9627" spans="5:5" x14ac:dyDescent="0.2">
      <c r="E9627" s="332"/>
    </row>
    <row r="9628" spans="5:5" x14ac:dyDescent="0.2">
      <c r="E9628" s="332"/>
    </row>
    <row r="9629" spans="5:5" x14ac:dyDescent="0.2">
      <c r="E9629" s="332"/>
    </row>
    <row r="9630" spans="5:5" x14ac:dyDescent="0.2">
      <c r="E9630" s="332"/>
    </row>
    <row r="9631" spans="5:5" x14ac:dyDescent="0.2">
      <c r="E9631" s="332"/>
    </row>
    <row r="9632" spans="5:5" x14ac:dyDescent="0.2">
      <c r="E9632" s="332"/>
    </row>
    <row r="9633" spans="5:5" x14ac:dyDescent="0.2">
      <c r="E9633" s="332"/>
    </row>
    <row r="9634" spans="5:5" x14ac:dyDescent="0.2">
      <c r="E9634" s="332"/>
    </row>
    <row r="9635" spans="5:5" x14ac:dyDescent="0.2">
      <c r="E9635" s="332"/>
    </row>
    <row r="9636" spans="5:5" x14ac:dyDescent="0.2">
      <c r="E9636" s="332"/>
    </row>
    <row r="9637" spans="5:5" x14ac:dyDescent="0.2">
      <c r="E9637" s="332"/>
    </row>
    <row r="9638" spans="5:5" x14ac:dyDescent="0.2">
      <c r="E9638" s="332"/>
    </row>
    <row r="9639" spans="5:5" x14ac:dyDescent="0.2">
      <c r="E9639" s="332"/>
    </row>
    <row r="9640" spans="5:5" x14ac:dyDescent="0.2">
      <c r="E9640" s="332"/>
    </row>
    <row r="9641" spans="5:5" x14ac:dyDescent="0.2">
      <c r="E9641" s="332"/>
    </row>
    <row r="9642" spans="5:5" x14ac:dyDescent="0.2">
      <c r="E9642" s="332"/>
    </row>
    <row r="9643" spans="5:5" x14ac:dyDescent="0.2">
      <c r="E9643" s="332"/>
    </row>
    <row r="9644" spans="5:5" x14ac:dyDescent="0.2">
      <c r="E9644" s="332"/>
    </row>
    <row r="9645" spans="5:5" x14ac:dyDescent="0.2">
      <c r="E9645" s="332"/>
    </row>
    <row r="9646" spans="5:5" x14ac:dyDescent="0.2">
      <c r="E9646" s="332"/>
    </row>
    <row r="9647" spans="5:5" x14ac:dyDescent="0.2">
      <c r="E9647" s="332"/>
    </row>
    <row r="9648" spans="5:5" x14ac:dyDescent="0.2">
      <c r="E9648" s="332"/>
    </row>
    <row r="9649" spans="5:5" x14ac:dyDescent="0.2">
      <c r="E9649" s="332"/>
    </row>
    <row r="9650" spans="5:5" x14ac:dyDescent="0.2">
      <c r="E9650" s="332"/>
    </row>
    <row r="9651" spans="5:5" x14ac:dyDescent="0.2">
      <c r="E9651" s="332"/>
    </row>
    <row r="9652" spans="5:5" x14ac:dyDescent="0.2">
      <c r="E9652" s="332"/>
    </row>
    <row r="9653" spans="5:5" x14ac:dyDescent="0.2">
      <c r="E9653" s="332"/>
    </row>
    <row r="9654" spans="5:5" x14ac:dyDescent="0.2">
      <c r="E9654" s="332"/>
    </row>
    <row r="9655" spans="5:5" x14ac:dyDescent="0.2">
      <c r="E9655" s="332"/>
    </row>
    <row r="9656" spans="5:5" x14ac:dyDescent="0.2">
      <c r="E9656" s="332"/>
    </row>
    <row r="9657" spans="5:5" x14ac:dyDescent="0.2">
      <c r="E9657" s="332"/>
    </row>
    <row r="9658" spans="5:5" x14ac:dyDescent="0.2">
      <c r="E9658" s="332"/>
    </row>
    <row r="9659" spans="5:5" x14ac:dyDescent="0.2">
      <c r="E9659" s="332"/>
    </row>
    <row r="9660" spans="5:5" x14ac:dyDescent="0.2">
      <c r="E9660" s="332"/>
    </row>
    <row r="9661" spans="5:5" x14ac:dyDescent="0.2">
      <c r="E9661" s="332"/>
    </row>
    <row r="9662" spans="5:5" x14ac:dyDescent="0.2">
      <c r="E9662" s="332"/>
    </row>
    <row r="9663" spans="5:5" x14ac:dyDescent="0.2">
      <c r="E9663" s="332"/>
    </row>
    <row r="9664" spans="5:5" x14ac:dyDescent="0.2">
      <c r="E9664" s="332"/>
    </row>
    <row r="9665" spans="5:5" x14ac:dyDescent="0.2">
      <c r="E9665" s="332"/>
    </row>
    <row r="9666" spans="5:5" x14ac:dyDescent="0.2">
      <c r="E9666" s="332"/>
    </row>
    <row r="9667" spans="5:5" x14ac:dyDescent="0.2">
      <c r="E9667" s="332"/>
    </row>
    <row r="9668" spans="5:5" x14ac:dyDescent="0.2">
      <c r="E9668" s="332"/>
    </row>
    <row r="9669" spans="5:5" x14ac:dyDescent="0.2">
      <c r="E9669" s="332"/>
    </row>
    <row r="9670" spans="5:5" x14ac:dyDescent="0.2">
      <c r="E9670" s="332"/>
    </row>
    <row r="9671" spans="5:5" x14ac:dyDescent="0.2">
      <c r="E9671" s="332"/>
    </row>
    <row r="9672" spans="5:5" x14ac:dyDescent="0.2">
      <c r="E9672" s="332"/>
    </row>
    <row r="9673" spans="5:5" x14ac:dyDescent="0.2">
      <c r="E9673" s="332"/>
    </row>
    <row r="9674" spans="5:5" x14ac:dyDescent="0.2">
      <c r="E9674" s="332"/>
    </row>
    <row r="9675" spans="5:5" x14ac:dyDescent="0.2">
      <c r="E9675" s="332"/>
    </row>
    <row r="9676" spans="5:5" x14ac:dyDescent="0.2">
      <c r="E9676" s="332"/>
    </row>
    <row r="9677" spans="5:5" x14ac:dyDescent="0.2">
      <c r="E9677" s="332"/>
    </row>
    <row r="9678" spans="5:5" x14ac:dyDescent="0.2">
      <c r="E9678" s="332"/>
    </row>
    <row r="9679" spans="5:5" x14ac:dyDescent="0.2">
      <c r="E9679" s="332"/>
    </row>
    <row r="9680" spans="5:5" x14ac:dyDescent="0.2">
      <c r="E9680" s="332"/>
    </row>
    <row r="9681" spans="5:5" x14ac:dyDescent="0.2">
      <c r="E9681" s="332"/>
    </row>
    <row r="9682" spans="5:5" x14ac:dyDescent="0.2">
      <c r="E9682" s="332"/>
    </row>
    <row r="9683" spans="5:5" x14ac:dyDescent="0.2">
      <c r="E9683" s="332"/>
    </row>
    <row r="9684" spans="5:5" x14ac:dyDescent="0.2">
      <c r="E9684" s="332"/>
    </row>
    <row r="9685" spans="5:5" x14ac:dyDescent="0.2">
      <c r="E9685" s="332"/>
    </row>
    <row r="9686" spans="5:5" x14ac:dyDescent="0.2">
      <c r="E9686" s="332"/>
    </row>
    <row r="9687" spans="5:5" x14ac:dyDescent="0.2">
      <c r="E9687" s="332"/>
    </row>
    <row r="9688" spans="5:5" x14ac:dyDescent="0.2">
      <c r="E9688" s="332"/>
    </row>
    <row r="9689" spans="5:5" x14ac:dyDescent="0.2">
      <c r="E9689" s="332"/>
    </row>
    <row r="9690" spans="5:5" x14ac:dyDescent="0.2">
      <c r="E9690" s="332"/>
    </row>
    <row r="9691" spans="5:5" x14ac:dyDescent="0.2">
      <c r="E9691" s="332"/>
    </row>
    <row r="9692" spans="5:5" x14ac:dyDescent="0.2">
      <c r="E9692" s="332"/>
    </row>
    <row r="9693" spans="5:5" x14ac:dyDescent="0.2">
      <c r="E9693" s="332"/>
    </row>
    <row r="9694" spans="5:5" x14ac:dyDescent="0.2">
      <c r="E9694" s="332"/>
    </row>
    <row r="9695" spans="5:5" x14ac:dyDescent="0.2">
      <c r="E9695" s="332"/>
    </row>
    <row r="9696" spans="5:5" x14ac:dyDescent="0.2">
      <c r="E9696" s="332"/>
    </row>
    <row r="9697" spans="5:5" x14ac:dyDescent="0.2">
      <c r="E9697" s="332"/>
    </row>
    <row r="9698" spans="5:5" x14ac:dyDescent="0.2">
      <c r="E9698" s="332"/>
    </row>
    <row r="9699" spans="5:5" x14ac:dyDescent="0.2">
      <c r="E9699" s="332"/>
    </row>
    <row r="9700" spans="5:5" x14ac:dyDescent="0.2">
      <c r="E9700" s="332"/>
    </row>
    <row r="9701" spans="5:5" x14ac:dyDescent="0.2">
      <c r="E9701" s="332"/>
    </row>
    <row r="9702" spans="5:5" x14ac:dyDescent="0.2">
      <c r="E9702" s="332"/>
    </row>
    <row r="9703" spans="5:5" x14ac:dyDescent="0.2">
      <c r="E9703" s="332"/>
    </row>
    <row r="9704" spans="5:5" x14ac:dyDescent="0.2">
      <c r="E9704" s="332"/>
    </row>
    <row r="9705" spans="5:5" x14ac:dyDescent="0.2">
      <c r="E9705" s="332"/>
    </row>
    <row r="9706" spans="5:5" x14ac:dyDescent="0.2">
      <c r="E9706" s="332"/>
    </row>
    <row r="9707" spans="5:5" x14ac:dyDescent="0.2">
      <c r="E9707" s="332"/>
    </row>
    <row r="9708" spans="5:5" x14ac:dyDescent="0.2">
      <c r="E9708" s="332"/>
    </row>
    <row r="9709" spans="5:5" x14ac:dyDescent="0.2">
      <c r="E9709" s="332"/>
    </row>
    <row r="9710" spans="5:5" x14ac:dyDescent="0.2">
      <c r="E9710" s="332"/>
    </row>
    <row r="9711" spans="5:5" x14ac:dyDescent="0.2">
      <c r="E9711" s="332"/>
    </row>
    <row r="9712" spans="5:5" x14ac:dyDescent="0.2">
      <c r="E9712" s="332"/>
    </row>
    <row r="9713" spans="5:5" x14ac:dyDescent="0.2">
      <c r="E9713" s="332"/>
    </row>
    <row r="9714" spans="5:5" x14ac:dyDescent="0.2">
      <c r="E9714" s="332"/>
    </row>
    <row r="9715" spans="5:5" x14ac:dyDescent="0.2">
      <c r="E9715" s="332"/>
    </row>
    <row r="9716" spans="5:5" x14ac:dyDescent="0.2">
      <c r="E9716" s="332"/>
    </row>
    <row r="9717" spans="5:5" x14ac:dyDescent="0.2">
      <c r="E9717" s="332"/>
    </row>
    <row r="9718" spans="5:5" x14ac:dyDescent="0.2">
      <c r="E9718" s="332"/>
    </row>
    <row r="9719" spans="5:5" x14ac:dyDescent="0.2">
      <c r="E9719" s="332"/>
    </row>
    <row r="9720" spans="5:5" x14ac:dyDescent="0.2">
      <c r="E9720" s="332"/>
    </row>
    <row r="9721" spans="5:5" x14ac:dyDescent="0.2">
      <c r="E9721" s="332"/>
    </row>
    <row r="9722" spans="5:5" x14ac:dyDescent="0.2">
      <c r="E9722" s="332"/>
    </row>
    <row r="9723" spans="5:5" x14ac:dyDescent="0.2">
      <c r="E9723" s="332"/>
    </row>
    <row r="9724" spans="5:5" x14ac:dyDescent="0.2">
      <c r="E9724" s="332"/>
    </row>
    <row r="9725" spans="5:5" x14ac:dyDescent="0.2">
      <c r="E9725" s="332"/>
    </row>
    <row r="9726" spans="5:5" x14ac:dyDescent="0.2">
      <c r="E9726" s="332"/>
    </row>
    <row r="9727" spans="5:5" x14ac:dyDescent="0.2">
      <c r="E9727" s="332"/>
    </row>
    <row r="9728" spans="5:5" x14ac:dyDescent="0.2">
      <c r="E9728" s="332"/>
    </row>
    <row r="9729" spans="5:5" x14ac:dyDescent="0.2">
      <c r="E9729" s="332"/>
    </row>
    <row r="9730" spans="5:5" x14ac:dyDescent="0.2">
      <c r="E9730" s="332"/>
    </row>
    <row r="9731" spans="5:5" x14ac:dyDescent="0.2">
      <c r="E9731" s="332"/>
    </row>
    <row r="9732" spans="5:5" x14ac:dyDescent="0.2">
      <c r="E9732" s="332"/>
    </row>
    <row r="9733" spans="5:5" x14ac:dyDescent="0.2">
      <c r="E9733" s="332"/>
    </row>
    <row r="9734" spans="5:5" x14ac:dyDescent="0.2">
      <c r="E9734" s="332"/>
    </row>
    <row r="9735" spans="5:5" x14ac:dyDescent="0.2">
      <c r="E9735" s="332"/>
    </row>
    <row r="9736" spans="5:5" x14ac:dyDescent="0.2">
      <c r="E9736" s="332"/>
    </row>
    <row r="9737" spans="5:5" x14ac:dyDescent="0.2">
      <c r="E9737" s="332"/>
    </row>
    <row r="9738" spans="5:5" x14ac:dyDescent="0.2">
      <c r="E9738" s="332"/>
    </row>
    <row r="9739" spans="5:5" x14ac:dyDescent="0.2">
      <c r="E9739" s="332"/>
    </row>
    <row r="9740" spans="5:5" x14ac:dyDescent="0.2">
      <c r="E9740" s="332"/>
    </row>
    <row r="9741" spans="5:5" x14ac:dyDescent="0.2">
      <c r="E9741" s="332"/>
    </row>
    <row r="9742" spans="5:5" x14ac:dyDescent="0.2">
      <c r="E9742" s="332"/>
    </row>
    <row r="9743" spans="5:5" x14ac:dyDescent="0.2">
      <c r="E9743" s="332"/>
    </row>
    <row r="9744" spans="5:5" x14ac:dyDescent="0.2">
      <c r="E9744" s="332"/>
    </row>
    <row r="9745" spans="5:5" x14ac:dyDescent="0.2">
      <c r="E9745" s="332"/>
    </row>
    <row r="9746" spans="5:5" x14ac:dyDescent="0.2">
      <c r="E9746" s="332"/>
    </row>
    <row r="9747" spans="5:5" x14ac:dyDescent="0.2">
      <c r="E9747" s="332"/>
    </row>
    <row r="9748" spans="5:5" x14ac:dyDescent="0.2">
      <c r="E9748" s="332"/>
    </row>
    <row r="9749" spans="5:5" x14ac:dyDescent="0.2">
      <c r="E9749" s="332"/>
    </row>
    <row r="9750" spans="5:5" x14ac:dyDescent="0.2">
      <c r="E9750" s="332"/>
    </row>
    <row r="9751" spans="5:5" x14ac:dyDescent="0.2">
      <c r="E9751" s="332"/>
    </row>
    <row r="9752" spans="5:5" x14ac:dyDescent="0.2">
      <c r="E9752" s="332"/>
    </row>
    <row r="9753" spans="5:5" x14ac:dyDescent="0.2">
      <c r="E9753" s="332"/>
    </row>
    <row r="9754" spans="5:5" x14ac:dyDescent="0.2">
      <c r="E9754" s="332"/>
    </row>
    <row r="9755" spans="5:5" x14ac:dyDescent="0.2">
      <c r="E9755" s="332"/>
    </row>
    <row r="9756" spans="5:5" x14ac:dyDescent="0.2">
      <c r="E9756" s="332"/>
    </row>
    <row r="9757" spans="5:5" x14ac:dyDescent="0.2">
      <c r="E9757" s="332"/>
    </row>
    <row r="9758" spans="5:5" x14ac:dyDescent="0.2">
      <c r="E9758" s="332"/>
    </row>
    <row r="9759" spans="5:5" x14ac:dyDescent="0.2">
      <c r="E9759" s="332"/>
    </row>
    <row r="9760" spans="5:5" x14ac:dyDescent="0.2">
      <c r="E9760" s="332"/>
    </row>
    <row r="9761" spans="5:5" x14ac:dyDescent="0.2">
      <c r="E9761" s="332"/>
    </row>
    <row r="9762" spans="5:5" x14ac:dyDescent="0.2">
      <c r="E9762" s="332"/>
    </row>
    <row r="9763" spans="5:5" x14ac:dyDescent="0.2">
      <c r="E9763" s="332"/>
    </row>
    <row r="9764" spans="5:5" x14ac:dyDescent="0.2">
      <c r="E9764" s="332"/>
    </row>
    <row r="9765" spans="5:5" x14ac:dyDescent="0.2">
      <c r="E9765" s="332"/>
    </row>
    <row r="9766" spans="5:5" x14ac:dyDescent="0.2">
      <c r="E9766" s="332"/>
    </row>
    <row r="9767" spans="5:5" x14ac:dyDescent="0.2">
      <c r="E9767" s="332"/>
    </row>
    <row r="9768" spans="5:5" x14ac:dyDescent="0.2">
      <c r="E9768" s="332"/>
    </row>
    <row r="9769" spans="5:5" x14ac:dyDescent="0.2">
      <c r="E9769" s="332"/>
    </row>
    <row r="9770" spans="5:5" x14ac:dyDescent="0.2">
      <c r="E9770" s="332"/>
    </row>
    <row r="9771" spans="5:5" x14ac:dyDescent="0.2">
      <c r="E9771" s="332"/>
    </row>
    <row r="9772" spans="5:5" x14ac:dyDescent="0.2">
      <c r="E9772" s="332"/>
    </row>
    <row r="9773" spans="5:5" x14ac:dyDescent="0.2">
      <c r="E9773" s="332"/>
    </row>
    <row r="9774" spans="5:5" x14ac:dyDescent="0.2">
      <c r="E9774" s="332"/>
    </row>
    <row r="9775" spans="5:5" x14ac:dyDescent="0.2">
      <c r="E9775" s="332"/>
    </row>
    <row r="9776" spans="5:5" x14ac:dyDescent="0.2">
      <c r="E9776" s="332"/>
    </row>
    <row r="9777" spans="5:5" x14ac:dyDescent="0.2">
      <c r="E9777" s="332"/>
    </row>
    <row r="9778" spans="5:5" x14ac:dyDescent="0.2">
      <c r="E9778" s="332"/>
    </row>
    <row r="9779" spans="5:5" x14ac:dyDescent="0.2">
      <c r="E9779" s="332"/>
    </row>
    <row r="9780" spans="5:5" x14ac:dyDescent="0.2">
      <c r="E9780" s="332"/>
    </row>
    <row r="9781" spans="5:5" x14ac:dyDescent="0.2">
      <c r="E9781" s="332"/>
    </row>
    <row r="9782" spans="5:5" x14ac:dyDescent="0.2">
      <c r="E9782" s="332"/>
    </row>
    <row r="9783" spans="5:5" x14ac:dyDescent="0.2">
      <c r="E9783" s="332"/>
    </row>
    <row r="9784" spans="5:5" x14ac:dyDescent="0.2">
      <c r="E9784" s="332"/>
    </row>
    <row r="9785" spans="5:5" x14ac:dyDescent="0.2">
      <c r="E9785" s="332"/>
    </row>
    <row r="9786" spans="5:5" x14ac:dyDescent="0.2">
      <c r="E9786" s="332"/>
    </row>
    <row r="9787" spans="5:5" x14ac:dyDescent="0.2">
      <c r="E9787" s="332"/>
    </row>
    <row r="9788" spans="5:5" x14ac:dyDescent="0.2">
      <c r="E9788" s="332"/>
    </row>
    <row r="9789" spans="5:5" x14ac:dyDescent="0.2">
      <c r="E9789" s="332"/>
    </row>
    <row r="9790" spans="5:5" x14ac:dyDescent="0.2">
      <c r="E9790" s="332"/>
    </row>
    <row r="9791" spans="5:5" x14ac:dyDescent="0.2">
      <c r="E9791" s="332"/>
    </row>
    <row r="9792" spans="5:5" x14ac:dyDescent="0.2">
      <c r="E9792" s="332"/>
    </row>
    <row r="9793" spans="5:5" x14ac:dyDescent="0.2">
      <c r="E9793" s="332"/>
    </row>
    <row r="9794" spans="5:5" x14ac:dyDescent="0.2">
      <c r="E9794" s="332"/>
    </row>
    <row r="9795" spans="5:5" x14ac:dyDescent="0.2">
      <c r="E9795" s="332"/>
    </row>
    <row r="9796" spans="5:5" x14ac:dyDescent="0.2">
      <c r="E9796" s="332"/>
    </row>
    <row r="9797" spans="5:5" x14ac:dyDescent="0.2">
      <c r="E9797" s="332"/>
    </row>
    <row r="9798" spans="5:5" x14ac:dyDescent="0.2">
      <c r="E9798" s="332"/>
    </row>
    <row r="9799" spans="5:5" x14ac:dyDescent="0.2">
      <c r="E9799" s="332"/>
    </row>
    <row r="9800" spans="5:5" x14ac:dyDescent="0.2">
      <c r="E9800" s="332"/>
    </row>
    <row r="9801" spans="5:5" x14ac:dyDescent="0.2">
      <c r="E9801" s="332"/>
    </row>
    <row r="9802" spans="5:5" x14ac:dyDescent="0.2">
      <c r="E9802" s="332"/>
    </row>
    <row r="9803" spans="5:5" x14ac:dyDescent="0.2">
      <c r="E9803" s="332"/>
    </row>
    <row r="9804" spans="5:5" x14ac:dyDescent="0.2">
      <c r="E9804" s="332"/>
    </row>
    <row r="9805" spans="5:5" x14ac:dyDescent="0.2">
      <c r="E9805" s="332"/>
    </row>
    <row r="9806" spans="5:5" x14ac:dyDescent="0.2">
      <c r="E9806" s="332"/>
    </row>
    <row r="9807" spans="5:5" x14ac:dyDescent="0.2">
      <c r="E9807" s="332"/>
    </row>
    <row r="9808" spans="5:5" x14ac:dyDescent="0.2">
      <c r="E9808" s="332"/>
    </row>
    <row r="9809" spans="5:5" x14ac:dyDescent="0.2">
      <c r="E9809" s="332"/>
    </row>
    <row r="9810" spans="5:5" x14ac:dyDescent="0.2">
      <c r="E9810" s="332"/>
    </row>
    <row r="9811" spans="5:5" x14ac:dyDescent="0.2">
      <c r="E9811" s="332"/>
    </row>
    <row r="9812" spans="5:5" x14ac:dyDescent="0.2">
      <c r="E9812" s="332"/>
    </row>
    <row r="9813" spans="5:5" x14ac:dyDescent="0.2">
      <c r="E9813" s="332"/>
    </row>
    <row r="9814" spans="5:5" x14ac:dyDescent="0.2">
      <c r="E9814" s="332"/>
    </row>
    <row r="9815" spans="5:5" x14ac:dyDescent="0.2">
      <c r="E9815" s="332"/>
    </row>
    <row r="9816" spans="5:5" x14ac:dyDescent="0.2">
      <c r="E9816" s="332"/>
    </row>
    <row r="9817" spans="5:5" x14ac:dyDescent="0.2">
      <c r="E9817" s="332"/>
    </row>
    <row r="9818" spans="5:5" x14ac:dyDescent="0.2">
      <c r="E9818" s="332"/>
    </row>
    <row r="9819" spans="5:5" x14ac:dyDescent="0.2">
      <c r="E9819" s="332"/>
    </row>
    <row r="9820" spans="5:5" x14ac:dyDescent="0.2">
      <c r="E9820" s="332"/>
    </row>
    <row r="9821" spans="5:5" x14ac:dyDescent="0.2">
      <c r="E9821" s="332"/>
    </row>
    <row r="9822" spans="5:5" x14ac:dyDescent="0.2">
      <c r="E9822" s="332"/>
    </row>
    <row r="9823" spans="5:5" x14ac:dyDescent="0.2">
      <c r="E9823" s="332"/>
    </row>
    <row r="9824" spans="5:5" x14ac:dyDescent="0.2">
      <c r="E9824" s="332"/>
    </row>
    <row r="9825" spans="5:5" x14ac:dyDescent="0.2">
      <c r="E9825" s="332"/>
    </row>
    <row r="9826" spans="5:5" x14ac:dyDescent="0.2">
      <c r="E9826" s="332"/>
    </row>
    <row r="9827" spans="5:5" x14ac:dyDescent="0.2">
      <c r="E9827" s="332"/>
    </row>
    <row r="9828" spans="5:5" x14ac:dyDescent="0.2">
      <c r="E9828" s="332"/>
    </row>
    <row r="9829" spans="5:5" x14ac:dyDescent="0.2">
      <c r="E9829" s="332"/>
    </row>
    <row r="9830" spans="5:5" x14ac:dyDescent="0.2">
      <c r="E9830" s="332"/>
    </row>
    <row r="9831" spans="5:5" x14ac:dyDescent="0.2">
      <c r="E9831" s="332"/>
    </row>
    <row r="9832" spans="5:5" x14ac:dyDescent="0.2">
      <c r="E9832" s="332"/>
    </row>
    <row r="9833" spans="5:5" x14ac:dyDescent="0.2">
      <c r="E9833" s="332"/>
    </row>
    <row r="9834" spans="5:5" x14ac:dyDescent="0.2">
      <c r="E9834" s="332"/>
    </row>
    <row r="9835" spans="5:5" x14ac:dyDescent="0.2">
      <c r="E9835" s="332"/>
    </row>
    <row r="9836" spans="5:5" x14ac:dyDescent="0.2">
      <c r="E9836" s="332"/>
    </row>
    <row r="9837" spans="5:5" x14ac:dyDescent="0.2">
      <c r="E9837" s="332"/>
    </row>
    <row r="9838" spans="5:5" x14ac:dyDescent="0.2">
      <c r="E9838" s="332"/>
    </row>
    <row r="9839" spans="5:5" x14ac:dyDescent="0.2">
      <c r="E9839" s="332"/>
    </row>
    <row r="9840" spans="5:5" x14ac:dyDescent="0.2">
      <c r="E9840" s="332"/>
    </row>
    <row r="9841" spans="5:5" x14ac:dyDescent="0.2">
      <c r="E9841" s="332"/>
    </row>
    <row r="9842" spans="5:5" x14ac:dyDescent="0.2">
      <c r="E9842" s="332"/>
    </row>
    <row r="9843" spans="5:5" x14ac:dyDescent="0.2">
      <c r="E9843" s="332"/>
    </row>
    <row r="9844" spans="5:5" x14ac:dyDescent="0.2">
      <c r="E9844" s="332"/>
    </row>
    <row r="9845" spans="5:5" x14ac:dyDescent="0.2">
      <c r="E9845" s="332"/>
    </row>
    <row r="9846" spans="5:5" x14ac:dyDescent="0.2">
      <c r="E9846" s="332"/>
    </row>
    <row r="9847" spans="5:5" x14ac:dyDescent="0.2">
      <c r="E9847" s="332"/>
    </row>
    <row r="9848" spans="5:5" x14ac:dyDescent="0.2">
      <c r="E9848" s="332"/>
    </row>
    <row r="9849" spans="5:5" x14ac:dyDescent="0.2">
      <c r="E9849" s="332"/>
    </row>
    <row r="9850" spans="5:5" x14ac:dyDescent="0.2">
      <c r="E9850" s="332"/>
    </row>
    <row r="9851" spans="5:5" x14ac:dyDescent="0.2">
      <c r="E9851" s="332"/>
    </row>
    <row r="9852" spans="5:5" x14ac:dyDescent="0.2">
      <c r="E9852" s="332"/>
    </row>
    <row r="9853" spans="5:5" x14ac:dyDescent="0.2">
      <c r="E9853" s="332"/>
    </row>
    <row r="9854" spans="5:5" x14ac:dyDescent="0.2">
      <c r="E9854" s="332"/>
    </row>
    <row r="9855" spans="5:5" x14ac:dyDescent="0.2">
      <c r="E9855" s="332"/>
    </row>
    <row r="9856" spans="5:5" x14ac:dyDescent="0.2">
      <c r="E9856" s="332"/>
    </row>
    <row r="9857" spans="5:5" x14ac:dyDescent="0.2">
      <c r="E9857" s="332"/>
    </row>
    <row r="9858" spans="5:5" x14ac:dyDescent="0.2">
      <c r="E9858" s="332"/>
    </row>
    <row r="9859" spans="5:5" x14ac:dyDescent="0.2">
      <c r="E9859" s="332"/>
    </row>
    <row r="9860" spans="5:5" x14ac:dyDescent="0.2">
      <c r="E9860" s="332"/>
    </row>
    <row r="9861" spans="5:5" x14ac:dyDescent="0.2">
      <c r="E9861" s="332"/>
    </row>
    <row r="9862" spans="5:5" x14ac:dyDescent="0.2">
      <c r="E9862" s="332"/>
    </row>
    <row r="9863" spans="5:5" x14ac:dyDescent="0.2">
      <c r="E9863" s="332"/>
    </row>
    <row r="9864" spans="5:5" x14ac:dyDescent="0.2">
      <c r="E9864" s="332"/>
    </row>
    <row r="9865" spans="5:5" x14ac:dyDescent="0.2">
      <c r="E9865" s="332"/>
    </row>
    <row r="9866" spans="5:5" x14ac:dyDescent="0.2">
      <c r="E9866" s="332"/>
    </row>
    <row r="9867" spans="5:5" x14ac:dyDescent="0.2">
      <c r="E9867" s="332"/>
    </row>
    <row r="9868" spans="5:5" x14ac:dyDescent="0.2">
      <c r="E9868" s="332"/>
    </row>
    <row r="9869" spans="5:5" x14ac:dyDescent="0.2">
      <c r="E9869" s="332"/>
    </row>
    <row r="9870" spans="5:5" x14ac:dyDescent="0.2">
      <c r="E9870" s="332"/>
    </row>
    <row r="9871" spans="5:5" x14ac:dyDescent="0.2">
      <c r="E9871" s="332"/>
    </row>
    <row r="9872" spans="5:5" x14ac:dyDescent="0.2">
      <c r="E9872" s="332"/>
    </row>
    <row r="9873" spans="5:5" x14ac:dyDescent="0.2">
      <c r="E9873" s="332"/>
    </row>
    <row r="9874" spans="5:5" x14ac:dyDescent="0.2">
      <c r="E9874" s="332"/>
    </row>
    <row r="9875" spans="5:5" x14ac:dyDescent="0.2">
      <c r="E9875" s="332"/>
    </row>
    <row r="9876" spans="5:5" x14ac:dyDescent="0.2">
      <c r="E9876" s="332"/>
    </row>
    <row r="9877" spans="5:5" x14ac:dyDescent="0.2">
      <c r="E9877" s="332"/>
    </row>
    <row r="9878" spans="5:5" x14ac:dyDescent="0.2">
      <c r="E9878" s="332"/>
    </row>
    <row r="9879" spans="5:5" x14ac:dyDescent="0.2">
      <c r="E9879" s="332"/>
    </row>
    <row r="9880" spans="5:5" x14ac:dyDescent="0.2">
      <c r="E9880" s="332"/>
    </row>
    <row r="9881" spans="5:5" x14ac:dyDescent="0.2">
      <c r="E9881" s="332"/>
    </row>
    <row r="9882" spans="5:5" x14ac:dyDescent="0.2">
      <c r="E9882" s="332"/>
    </row>
    <row r="9883" spans="5:5" x14ac:dyDescent="0.2">
      <c r="E9883" s="332"/>
    </row>
    <row r="9884" spans="5:5" x14ac:dyDescent="0.2">
      <c r="E9884" s="332"/>
    </row>
    <row r="9885" spans="5:5" x14ac:dyDescent="0.2">
      <c r="E9885" s="332"/>
    </row>
    <row r="9886" spans="5:5" x14ac:dyDescent="0.2">
      <c r="E9886" s="332"/>
    </row>
    <row r="9887" spans="5:5" x14ac:dyDescent="0.2">
      <c r="E9887" s="332"/>
    </row>
    <row r="9888" spans="5:5" x14ac:dyDescent="0.2">
      <c r="E9888" s="332"/>
    </row>
    <row r="9889" spans="5:5" x14ac:dyDescent="0.2">
      <c r="E9889" s="332"/>
    </row>
    <row r="9890" spans="5:5" x14ac:dyDescent="0.2">
      <c r="E9890" s="332"/>
    </row>
    <row r="9891" spans="5:5" x14ac:dyDescent="0.2">
      <c r="E9891" s="332"/>
    </row>
    <row r="9892" spans="5:5" x14ac:dyDescent="0.2">
      <c r="E9892" s="332"/>
    </row>
    <row r="9893" spans="5:5" x14ac:dyDescent="0.2">
      <c r="E9893" s="332"/>
    </row>
    <row r="9894" spans="5:5" x14ac:dyDescent="0.2">
      <c r="E9894" s="332"/>
    </row>
    <row r="9895" spans="5:5" x14ac:dyDescent="0.2">
      <c r="E9895" s="332"/>
    </row>
    <row r="9896" spans="5:5" x14ac:dyDescent="0.2">
      <c r="E9896" s="332"/>
    </row>
    <row r="9897" spans="5:5" x14ac:dyDescent="0.2">
      <c r="E9897" s="332"/>
    </row>
    <row r="9898" spans="5:5" x14ac:dyDescent="0.2">
      <c r="E9898" s="332"/>
    </row>
    <row r="9899" spans="5:5" x14ac:dyDescent="0.2">
      <c r="E9899" s="332"/>
    </row>
    <row r="9900" spans="5:5" x14ac:dyDescent="0.2">
      <c r="E9900" s="332"/>
    </row>
    <row r="9901" spans="5:5" x14ac:dyDescent="0.2">
      <c r="E9901" s="332"/>
    </row>
    <row r="9902" spans="5:5" x14ac:dyDescent="0.2">
      <c r="E9902" s="332"/>
    </row>
    <row r="9903" spans="5:5" x14ac:dyDescent="0.2">
      <c r="E9903" s="332"/>
    </row>
    <row r="9904" spans="5:5" x14ac:dyDescent="0.2">
      <c r="E9904" s="332"/>
    </row>
    <row r="9905" spans="5:5" x14ac:dyDescent="0.2">
      <c r="E9905" s="332"/>
    </row>
    <row r="9906" spans="5:5" x14ac:dyDescent="0.2">
      <c r="E9906" s="332"/>
    </row>
    <row r="9907" spans="5:5" x14ac:dyDescent="0.2">
      <c r="E9907" s="332"/>
    </row>
    <row r="9908" spans="5:5" x14ac:dyDescent="0.2">
      <c r="E9908" s="332"/>
    </row>
    <row r="9909" spans="5:5" x14ac:dyDescent="0.2">
      <c r="E9909" s="332"/>
    </row>
    <row r="9910" spans="5:5" x14ac:dyDescent="0.2">
      <c r="E9910" s="332"/>
    </row>
    <row r="9911" spans="5:5" x14ac:dyDescent="0.2">
      <c r="E9911" s="332"/>
    </row>
    <row r="9912" spans="5:5" x14ac:dyDescent="0.2">
      <c r="E9912" s="332"/>
    </row>
    <row r="9913" spans="5:5" x14ac:dyDescent="0.2">
      <c r="E9913" s="332"/>
    </row>
    <row r="9914" spans="5:5" x14ac:dyDescent="0.2">
      <c r="E9914" s="332"/>
    </row>
    <row r="9915" spans="5:5" x14ac:dyDescent="0.2">
      <c r="E9915" s="332"/>
    </row>
    <row r="9916" spans="5:5" x14ac:dyDescent="0.2">
      <c r="E9916" s="332"/>
    </row>
    <row r="9917" spans="5:5" x14ac:dyDescent="0.2">
      <c r="E9917" s="332"/>
    </row>
    <row r="9918" spans="5:5" x14ac:dyDescent="0.2">
      <c r="E9918" s="332"/>
    </row>
    <row r="9919" spans="5:5" x14ac:dyDescent="0.2">
      <c r="E9919" s="332"/>
    </row>
    <row r="9920" spans="5:5" x14ac:dyDescent="0.2">
      <c r="E9920" s="332"/>
    </row>
    <row r="9921" spans="5:5" x14ac:dyDescent="0.2">
      <c r="E9921" s="332"/>
    </row>
    <row r="9922" spans="5:5" x14ac:dyDescent="0.2">
      <c r="E9922" s="332"/>
    </row>
    <row r="9923" spans="5:5" x14ac:dyDescent="0.2">
      <c r="E9923" s="332"/>
    </row>
    <row r="9924" spans="5:5" x14ac:dyDescent="0.2">
      <c r="E9924" s="332"/>
    </row>
    <row r="9925" spans="5:5" x14ac:dyDescent="0.2">
      <c r="E9925" s="332"/>
    </row>
    <row r="9926" spans="5:5" x14ac:dyDescent="0.2">
      <c r="E9926" s="332"/>
    </row>
    <row r="9927" spans="5:5" x14ac:dyDescent="0.2">
      <c r="E9927" s="332"/>
    </row>
    <row r="9928" spans="5:5" x14ac:dyDescent="0.2">
      <c r="E9928" s="332"/>
    </row>
    <row r="9929" spans="5:5" x14ac:dyDescent="0.2">
      <c r="E9929" s="332"/>
    </row>
    <row r="9930" spans="5:5" x14ac:dyDescent="0.2">
      <c r="E9930" s="332"/>
    </row>
    <row r="9931" spans="5:5" x14ac:dyDescent="0.2">
      <c r="E9931" s="332"/>
    </row>
    <row r="9932" spans="5:5" x14ac:dyDescent="0.2">
      <c r="E9932" s="332"/>
    </row>
    <row r="9933" spans="5:5" x14ac:dyDescent="0.2">
      <c r="E9933" s="332"/>
    </row>
    <row r="9934" spans="5:5" x14ac:dyDescent="0.2">
      <c r="E9934" s="332"/>
    </row>
    <row r="9935" spans="5:5" x14ac:dyDescent="0.2">
      <c r="E9935" s="332"/>
    </row>
    <row r="9936" spans="5:5" x14ac:dyDescent="0.2">
      <c r="E9936" s="332"/>
    </row>
    <row r="9937" spans="5:5" x14ac:dyDescent="0.2">
      <c r="E9937" s="332"/>
    </row>
    <row r="9938" spans="5:5" x14ac:dyDescent="0.2">
      <c r="E9938" s="332"/>
    </row>
    <row r="9939" spans="5:5" x14ac:dyDescent="0.2">
      <c r="E9939" s="332"/>
    </row>
    <row r="9940" spans="5:5" x14ac:dyDescent="0.2">
      <c r="E9940" s="332"/>
    </row>
    <row r="9941" spans="5:5" x14ac:dyDescent="0.2">
      <c r="E9941" s="332"/>
    </row>
    <row r="9942" spans="5:5" x14ac:dyDescent="0.2">
      <c r="E9942" s="332"/>
    </row>
    <row r="9943" spans="5:5" x14ac:dyDescent="0.2">
      <c r="E9943" s="332"/>
    </row>
    <row r="9944" spans="5:5" x14ac:dyDescent="0.2">
      <c r="E9944" s="332"/>
    </row>
    <row r="9945" spans="5:5" x14ac:dyDescent="0.2">
      <c r="E9945" s="332"/>
    </row>
    <row r="9946" spans="5:5" x14ac:dyDescent="0.2">
      <c r="E9946" s="332"/>
    </row>
    <row r="9947" spans="5:5" x14ac:dyDescent="0.2">
      <c r="E9947" s="332"/>
    </row>
    <row r="9948" spans="5:5" x14ac:dyDescent="0.2">
      <c r="E9948" s="332"/>
    </row>
    <row r="9949" spans="5:5" x14ac:dyDescent="0.2">
      <c r="E9949" s="332"/>
    </row>
    <row r="9950" spans="5:5" x14ac:dyDescent="0.2">
      <c r="E9950" s="332"/>
    </row>
    <row r="9951" spans="5:5" x14ac:dyDescent="0.2">
      <c r="E9951" s="332"/>
    </row>
    <row r="9952" spans="5:5" x14ac:dyDescent="0.2">
      <c r="E9952" s="332"/>
    </row>
    <row r="9953" spans="5:5" x14ac:dyDescent="0.2">
      <c r="E9953" s="332"/>
    </row>
    <row r="9954" spans="5:5" x14ac:dyDescent="0.2">
      <c r="E9954" s="332"/>
    </row>
    <row r="9955" spans="5:5" x14ac:dyDescent="0.2">
      <c r="E9955" s="332"/>
    </row>
    <row r="9956" spans="5:5" x14ac:dyDescent="0.2">
      <c r="E9956" s="332"/>
    </row>
    <row r="9957" spans="5:5" x14ac:dyDescent="0.2">
      <c r="E9957" s="332"/>
    </row>
    <row r="9958" spans="5:5" x14ac:dyDescent="0.2">
      <c r="E9958" s="332"/>
    </row>
    <row r="9959" spans="5:5" x14ac:dyDescent="0.2">
      <c r="E9959" s="332"/>
    </row>
    <row r="9960" spans="5:5" x14ac:dyDescent="0.2">
      <c r="E9960" s="332"/>
    </row>
    <row r="9961" spans="5:5" x14ac:dyDescent="0.2">
      <c r="E9961" s="332"/>
    </row>
    <row r="9962" spans="5:5" x14ac:dyDescent="0.2">
      <c r="E9962" s="332"/>
    </row>
    <row r="9963" spans="5:5" x14ac:dyDescent="0.2">
      <c r="E9963" s="332"/>
    </row>
    <row r="9964" spans="5:5" x14ac:dyDescent="0.2">
      <c r="E9964" s="332"/>
    </row>
    <row r="9965" spans="5:5" x14ac:dyDescent="0.2">
      <c r="E9965" s="332"/>
    </row>
    <row r="9966" spans="5:5" x14ac:dyDescent="0.2">
      <c r="E9966" s="332"/>
    </row>
    <row r="9967" spans="5:5" x14ac:dyDescent="0.2">
      <c r="E9967" s="332"/>
    </row>
    <row r="9968" spans="5:5" x14ac:dyDescent="0.2">
      <c r="E9968" s="332"/>
    </row>
    <row r="9969" spans="5:5" x14ac:dyDescent="0.2">
      <c r="E9969" s="332"/>
    </row>
    <row r="9970" spans="5:5" x14ac:dyDescent="0.2">
      <c r="E9970" s="332"/>
    </row>
    <row r="9971" spans="5:5" x14ac:dyDescent="0.2">
      <c r="E9971" s="332"/>
    </row>
    <row r="9972" spans="5:5" x14ac:dyDescent="0.2">
      <c r="E9972" s="332"/>
    </row>
    <row r="9973" spans="5:5" x14ac:dyDescent="0.2">
      <c r="E9973" s="332"/>
    </row>
    <row r="9974" spans="5:5" x14ac:dyDescent="0.2">
      <c r="E9974" s="332"/>
    </row>
    <row r="9975" spans="5:5" x14ac:dyDescent="0.2">
      <c r="E9975" s="332"/>
    </row>
    <row r="9976" spans="5:5" x14ac:dyDescent="0.2">
      <c r="E9976" s="332"/>
    </row>
    <row r="9977" spans="5:5" x14ac:dyDescent="0.2">
      <c r="E9977" s="332"/>
    </row>
    <row r="9978" spans="5:5" x14ac:dyDescent="0.2">
      <c r="E9978" s="332"/>
    </row>
    <row r="9979" spans="5:5" x14ac:dyDescent="0.2">
      <c r="E9979" s="332"/>
    </row>
    <row r="9980" spans="5:5" x14ac:dyDescent="0.2">
      <c r="E9980" s="332"/>
    </row>
    <row r="9981" spans="5:5" x14ac:dyDescent="0.2">
      <c r="E9981" s="332"/>
    </row>
    <row r="9982" spans="5:5" x14ac:dyDescent="0.2">
      <c r="E9982" s="332"/>
    </row>
    <row r="9983" spans="5:5" x14ac:dyDescent="0.2">
      <c r="E9983" s="332"/>
    </row>
    <row r="9984" spans="5:5" x14ac:dyDescent="0.2">
      <c r="E9984" s="332"/>
    </row>
    <row r="9985" spans="5:5" x14ac:dyDescent="0.2">
      <c r="E9985" s="332"/>
    </row>
    <row r="9986" spans="5:5" x14ac:dyDescent="0.2">
      <c r="E9986" s="332"/>
    </row>
    <row r="9987" spans="5:5" x14ac:dyDescent="0.2">
      <c r="E9987" s="332"/>
    </row>
    <row r="9988" spans="5:5" x14ac:dyDescent="0.2">
      <c r="E9988" s="332"/>
    </row>
    <row r="9989" spans="5:5" x14ac:dyDescent="0.2">
      <c r="E9989" s="332"/>
    </row>
    <row r="9990" spans="5:5" x14ac:dyDescent="0.2">
      <c r="E9990" s="332"/>
    </row>
    <row r="9991" spans="5:5" x14ac:dyDescent="0.2">
      <c r="E9991" s="332"/>
    </row>
    <row r="9992" spans="5:5" x14ac:dyDescent="0.2">
      <c r="E9992" s="332"/>
    </row>
    <row r="9993" spans="5:5" x14ac:dyDescent="0.2">
      <c r="E9993" s="332"/>
    </row>
    <row r="9994" spans="5:5" x14ac:dyDescent="0.2">
      <c r="E9994" s="332"/>
    </row>
    <row r="9995" spans="5:5" x14ac:dyDescent="0.2">
      <c r="E9995" s="332"/>
    </row>
    <row r="9996" spans="5:5" x14ac:dyDescent="0.2">
      <c r="E9996" s="332"/>
    </row>
    <row r="9997" spans="5:5" x14ac:dyDescent="0.2">
      <c r="E9997" s="332"/>
    </row>
    <row r="9998" spans="5:5" x14ac:dyDescent="0.2">
      <c r="E9998" s="332"/>
    </row>
    <row r="9999" spans="5:5" x14ac:dyDescent="0.2">
      <c r="E9999" s="332"/>
    </row>
    <row r="10000" spans="5:5" x14ac:dyDescent="0.2">
      <c r="E10000" s="332"/>
    </row>
    <row r="10001" spans="5:5" x14ac:dyDescent="0.2">
      <c r="E10001" s="332"/>
    </row>
    <row r="10002" spans="5:5" x14ac:dyDescent="0.2">
      <c r="E10002" s="332"/>
    </row>
    <row r="10003" spans="5:5" x14ac:dyDescent="0.2">
      <c r="E10003" s="332"/>
    </row>
    <row r="10004" spans="5:5" x14ac:dyDescent="0.2">
      <c r="E10004" s="332"/>
    </row>
    <row r="10005" spans="5:5" x14ac:dyDescent="0.2">
      <c r="E10005" s="332"/>
    </row>
    <row r="10006" spans="5:5" x14ac:dyDescent="0.2">
      <c r="E10006" s="332"/>
    </row>
    <row r="10007" spans="5:5" x14ac:dyDescent="0.2">
      <c r="E10007" s="332"/>
    </row>
    <row r="10008" spans="5:5" x14ac:dyDescent="0.2">
      <c r="E10008" s="332"/>
    </row>
    <row r="10009" spans="5:5" x14ac:dyDescent="0.2">
      <c r="E10009" s="332"/>
    </row>
    <row r="10010" spans="5:5" x14ac:dyDescent="0.2">
      <c r="E10010" s="332"/>
    </row>
    <row r="10011" spans="5:5" x14ac:dyDescent="0.2">
      <c r="E10011" s="332"/>
    </row>
    <row r="10012" spans="5:5" x14ac:dyDescent="0.2">
      <c r="E10012" s="332"/>
    </row>
    <row r="10013" spans="5:5" x14ac:dyDescent="0.2">
      <c r="E10013" s="332"/>
    </row>
  </sheetData>
  <sortState ref="AF15:AF51">
    <sortCondition ref="AF1:AF1048576"/>
  </sortState>
  <mergeCells count="57">
    <mergeCell ref="N50:Q50"/>
    <mergeCell ref="N51:Q51"/>
    <mergeCell ref="N52:Q52"/>
    <mergeCell ref="N53:Q53"/>
    <mergeCell ref="N15:Q21"/>
    <mergeCell ref="N45:Q45"/>
    <mergeCell ref="N46:Q46"/>
    <mergeCell ref="N47:Q47"/>
    <mergeCell ref="N48:Q48"/>
    <mergeCell ref="N49:Q49"/>
    <mergeCell ref="N40:Q40"/>
    <mergeCell ref="N41:Q41"/>
    <mergeCell ref="N42:Q42"/>
    <mergeCell ref="N43:Q43"/>
    <mergeCell ref="N44:Q44"/>
    <mergeCell ref="N35:Q35"/>
    <mergeCell ref="N36:Q36"/>
    <mergeCell ref="N37:Q37"/>
    <mergeCell ref="N38:Q38"/>
    <mergeCell ref="N39:Q39"/>
    <mergeCell ref="N30:Q30"/>
    <mergeCell ref="N31:Q31"/>
    <mergeCell ref="N32:Q32"/>
    <mergeCell ref="N33:Q33"/>
    <mergeCell ref="N34:Q34"/>
    <mergeCell ref="N25:Q25"/>
    <mergeCell ref="N26:Q26"/>
    <mergeCell ref="N27:Q27"/>
    <mergeCell ref="N28:Q28"/>
    <mergeCell ref="N29:Q29"/>
    <mergeCell ref="N22:Q22"/>
    <mergeCell ref="N23:Q23"/>
    <mergeCell ref="N24:Q24"/>
    <mergeCell ref="E8:I8"/>
    <mergeCell ref="J8:L8"/>
    <mergeCell ref="M8:R8"/>
    <mergeCell ref="B9:R9"/>
    <mergeCell ref="D12:D14"/>
    <mergeCell ref="E12:E14"/>
    <mergeCell ref="F12:F14"/>
    <mergeCell ref="G12:G14"/>
    <mergeCell ref="H12:H14"/>
    <mergeCell ref="N14:Q14"/>
    <mergeCell ref="B8:D8"/>
    <mergeCell ref="E2:O5"/>
    <mergeCell ref="P2:Q2"/>
    <mergeCell ref="P3:Q3"/>
    <mergeCell ref="P4:Q4"/>
    <mergeCell ref="P5:Q5"/>
    <mergeCell ref="B6:D6"/>
    <mergeCell ref="E6:I6"/>
    <mergeCell ref="J6:L6"/>
    <mergeCell ref="M6:R6"/>
    <mergeCell ref="B7:D7"/>
    <mergeCell ref="E7:I7"/>
    <mergeCell ref="J7:L7"/>
    <mergeCell ref="M7:R7"/>
  </mergeCells>
  <phoneticPr fontId="0" type="noConversion"/>
  <dataValidations count="1">
    <dataValidation type="list" errorStyle="information" allowBlank="1" showInputMessage="1" sqref="F15:F56 AF15">
      <formula1>strms2</formula1>
    </dataValidation>
  </dataValidations>
  <printOptions horizontalCentered="1" verticalCentered="1"/>
  <pageMargins left="0.51181102362204722" right="0.51181102362204722" top="0.51181102362204722" bottom="0.51181102362204722" header="0.51181102362204722" footer="0.51181102362204722"/>
  <pageSetup scale="4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1">
    <pageSetUpPr fitToPage="1"/>
  </sheetPr>
  <dimension ref="B1:AB168"/>
  <sheetViews>
    <sheetView view="pageBreakPreview" zoomScale="55" zoomScaleNormal="40" zoomScaleSheetLayoutView="55" workbookViewId="0">
      <selection activeCell="H15" sqref="H15"/>
    </sheetView>
  </sheetViews>
  <sheetFormatPr defaultColWidth="11.42578125" defaultRowHeight="12.75" x14ac:dyDescent="0.2"/>
  <cols>
    <col min="2" max="2" width="20.85546875" customWidth="1"/>
    <col min="3" max="3" width="55.85546875" style="29" customWidth="1"/>
    <col min="4" max="4" width="21.42578125" customWidth="1"/>
    <col min="5" max="5" width="18.42578125" customWidth="1"/>
    <col min="6" max="6" width="18.7109375" customWidth="1"/>
    <col min="7" max="7" width="13" customWidth="1"/>
    <col min="8" max="8" width="14" customWidth="1"/>
    <col min="9" max="9" width="15.140625" customWidth="1"/>
    <col min="10" max="10" width="12.42578125" customWidth="1"/>
    <col min="11" max="11" width="10.28515625" customWidth="1"/>
    <col min="12" max="12" width="11" customWidth="1"/>
    <col min="13" max="14" width="11.28515625" customWidth="1"/>
    <col min="15" max="16" width="11.7109375" customWidth="1"/>
    <col min="17" max="17" width="13.42578125" bestFit="1" customWidth="1"/>
    <col min="18" max="18" width="11.7109375" customWidth="1"/>
    <col min="19" max="19" width="15.140625" customWidth="1"/>
    <col min="20" max="20" width="14.85546875" customWidth="1"/>
    <col min="21" max="21" width="20.28515625" customWidth="1"/>
    <col min="22" max="22" width="5.7109375" customWidth="1"/>
    <col min="23" max="28" width="9.140625" customWidth="1"/>
  </cols>
  <sheetData>
    <row r="1" spans="2:23" ht="20.100000000000001" customHeight="1" thickBot="1" x14ac:dyDescent="0.25">
      <c r="B1" s="541"/>
      <c r="C1" s="541"/>
      <c r="D1" s="541"/>
      <c r="E1" s="541"/>
      <c r="F1" s="541"/>
      <c r="G1" s="541"/>
      <c r="H1" s="541"/>
      <c r="I1" s="541"/>
      <c r="J1" s="541"/>
      <c r="K1" s="541"/>
      <c r="L1" s="541"/>
      <c r="M1" s="541"/>
      <c r="N1" s="541"/>
      <c r="O1" s="541"/>
      <c r="P1" s="541"/>
      <c r="Q1" s="541"/>
      <c r="R1" s="541"/>
      <c r="S1" s="541"/>
      <c r="T1" s="542" t="s">
        <v>957</v>
      </c>
      <c r="U1" s="543" t="e">
        <f>'Average Streams'!R1+1</f>
        <v>#REF!</v>
      </c>
      <c r="V1" s="803"/>
      <c r="W1" s="803"/>
    </row>
    <row r="2" spans="2:23" ht="20.100000000000001" customHeight="1" x14ac:dyDescent="0.25">
      <c r="B2" s="544"/>
      <c r="C2" s="545"/>
      <c r="D2" s="984" t="s">
        <v>970</v>
      </c>
      <c r="E2" s="984"/>
      <c r="F2" s="984"/>
      <c r="G2" s="984"/>
      <c r="H2" s="984"/>
      <c r="I2" s="984"/>
      <c r="J2" s="984"/>
      <c r="K2" s="984"/>
      <c r="L2" s="984"/>
      <c r="M2" s="984"/>
      <c r="N2" s="984"/>
      <c r="O2" s="984"/>
      <c r="P2" s="984"/>
      <c r="Q2" s="640"/>
      <c r="R2" s="640"/>
      <c r="S2" s="987" t="s">
        <v>851</v>
      </c>
      <c r="T2" s="988"/>
      <c r="U2" s="820" t="str">
        <f>IF(ISBLANK(General!$E$6),"",General!$E$6)</f>
        <v/>
      </c>
      <c r="V2" s="6"/>
      <c r="W2" s="6"/>
    </row>
    <row r="3" spans="2:23" ht="19.5" customHeight="1" x14ac:dyDescent="0.2">
      <c r="B3" s="547"/>
      <c r="C3" s="548"/>
      <c r="D3" s="985"/>
      <c r="E3" s="985"/>
      <c r="F3" s="985"/>
      <c r="G3" s="985"/>
      <c r="H3" s="985"/>
      <c r="I3" s="985"/>
      <c r="J3" s="985"/>
      <c r="K3" s="985"/>
      <c r="L3" s="985"/>
      <c r="M3" s="985"/>
      <c r="N3" s="985"/>
      <c r="O3" s="985"/>
      <c r="P3" s="985"/>
      <c r="Q3" s="555"/>
      <c r="R3" s="555"/>
      <c r="S3" s="989" t="s">
        <v>958</v>
      </c>
      <c r="T3" s="990"/>
      <c r="U3" s="550" t="str">
        <f>IF(ISBLANK(General!$E$12),"",General!$E$12)</f>
        <v/>
      </c>
      <c r="V3" s="3"/>
      <c r="W3" s="3"/>
    </row>
    <row r="4" spans="2:23" ht="15" customHeight="1" x14ac:dyDescent="0.2">
      <c r="B4" s="547"/>
      <c r="C4" s="548"/>
      <c r="D4" s="985"/>
      <c r="E4" s="985"/>
      <c r="F4" s="985"/>
      <c r="G4" s="985"/>
      <c r="H4" s="985"/>
      <c r="I4" s="985"/>
      <c r="J4" s="985"/>
      <c r="K4" s="985"/>
      <c r="L4" s="985"/>
      <c r="M4" s="985"/>
      <c r="N4" s="985"/>
      <c r="O4" s="985"/>
      <c r="P4" s="985"/>
      <c r="Q4" s="555"/>
      <c r="R4" s="555"/>
      <c r="S4" s="989" t="s">
        <v>959</v>
      </c>
      <c r="T4" s="990"/>
      <c r="U4" s="551" t="str">
        <f>IF(ISBLANK(General!$E$13),"",General!$E$13)</f>
        <v/>
      </c>
      <c r="V4" s="3"/>
      <c r="W4" s="3"/>
    </row>
    <row r="5" spans="2:23" ht="15" customHeight="1" x14ac:dyDescent="0.2">
      <c r="B5" s="552"/>
      <c r="C5" s="641"/>
      <c r="D5" s="986"/>
      <c r="E5" s="986"/>
      <c r="F5" s="986"/>
      <c r="G5" s="986"/>
      <c r="H5" s="986"/>
      <c r="I5" s="986"/>
      <c r="J5" s="986"/>
      <c r="K5" s="986"/>
      <c r="L5" s="986"/>
      <c r="M5" s="986"/>
      <c r="N5" s="986"/>
      <c r="O5" s="986"/>
      <c r="P5" s="986"/>
      <c r="Q5" s="556"/>
      <c r="R5" s="556"/>
      <c r="S5" s="1089" t="s">
        <v>960</v>
      </c>
      <c r="T5" s="1090"/>
      <c r="U5" s="853" t="str">
        <f>IF(ISBLANK(General!$E$14),"",General!$E$14)</f>
        <v/>
      </c>
      <c r="V5" s="3"/>
      <c r="W5" s="3"/>
    </row>
    <row r="6" spans="2:23" ht="15" customHeight="1" x14ac:dyDescent="0.2">
      <c r="B6" s="1017" t="s">
        <v>897</v>
      </c>
      <c r="C6" s="1018"/>
      <c r="D6" s="978" t="str">
        <f>IF(ISBLANK(General!$E$8),"",General!$E$8)</f>
        <v/>
      </c>
      <c r="E6" s="979"/>
      <c r="F6" s="979"/>
      <c r="G6" s="979"/>
      <c r="H6" s="1087"/>
      <c r="I6" s="970" t="s">
        <v>961</v>
      </c>
      <c r="J6" s="971"/>
      <c r="K6" s="971"/>
      <c r="L6" s="971"/>
      <c r="M6" s="972"/>
      <c r="N6" s="978" t="str">
        <f>IF(ISBLANK(General!$D$33),"",General!$D$33)</f>
        <v/>
      </c>
      <c r="O6" s="979"/>
      <c r="P6" s="979"/>
      <c r="Q6" s="979"/>
      <c r="R6" s="979"/>
      <c r="S6" s="979"/>
      <c r="T6" s="979"/>
      <c r="U6" s="980"/>
      <c r="V6" s="3"/>
      <c r="W6" s="3"/>
    </row>
    <row r="7" spans="2:23" ht="15" customHeight="1" x14ac:dyDescent="0.2">
      <c r="B7" s="991" t="s">
        <v>962</v>
      </c>
      <c r="C7" s="992"/>
      <c r="D7" s="1285" t="str">
        <f>IF(ISBLANK(General!$E$9),"",General!$E$9)</f>
        <v/>
      </c>
      <c r="E7" s="1286"/>
      <c r="F7" s="1286"/>
      <c r="G7" s="1286"/>
      <c r="H7" s="1287"/>
      <c r="I7" s="975" t="s">
        <v>963</v>
      </c>
      <c r="J7" s="976"/>
      <c r="K7" s="976"/>
      <c r="L7" s="976"/>
      <c r="M7" s="977"/>
      <c r="N7" s="981" t="str">
        <f>IF(ISBLANK(General!$E$33),"",General!$E$33)</f>
        <v/>
      </c>
      <c r="O7" s="982"/>
      <c r="P7" s="982"/>
      <c r="Q7" s="982"/>
      <c r="R7" s="982"/>
      <c r="S7" s="982"/>
      <c r="T7" s="982"/>
      <c r="U7" s="983"/>
      <c r="V7" s="3"/>
      <c r="W7" s="3"/>
    </row>
    <row r="8" spans="2:23" ht="21" customHeight="1" x14ac:dyDescent="0.2">
      <c r="B8" s="1015" t="s">
        <v>932</v>
      </c>
      <c r="C8" s="1016"/>
      <c r="D8" s="1288" t="str">
        <f>IF(ISBLANK(General!$E$17),"",General!$E$17)</f>
        <v/>
      </c>
      <c r="E8" s="1289"/>
      <c r="F8" s="1289"/>
      <c r="G8" s="1289"/>
      <c r="H8" s="1290"/>
      <c r="I8" s="954" t="s">
        <v>930</v>
      </c>
      <c r="J8" s="955"/>
      <c r="K8" s="955"/>
      <c r="L8" s="955"/>
      <c r="M8" s="956"/>
      <c r="N8" s="957" t="str">
        <f>IF(ISBLANK(General!$E$16),"",General!$E$16)</f>
        <v/>
      </c>
      <c r="O8" s="958"/>
      <c r="P8" s="958"/>
      <c r="Q8" s="958"/>
      <c r="R8" s="958"/>
      <c r="S8" s="958"/>
      <c r="T8" s="958"/>
      <c r="U8" s="959"/>
      <c r="V8" s="3"/>
      <c r="W8" s="3"/>
    </row>
    <row r="9" spans="2:23" ht="21" customHeight="1" x14ac:dyDescent="0.25">
      <c r="B9" s="1013" t="s">
        <v>980</v>
      </c>
      <c r="C9" s="1014"/>
      <c r="D9" s="1014"/>
      <c r="E9" s="1014"/>
      <c r="F9" s="1014"/>
      <c r="G9" s="1014"/>
      <c r="H9" s="1014"/>
      <c r="I9" s="1014"/>
      <c r="J9" s="1014"/>
      <c r="K9" s="1014"/>
      <c r="L9" s="1014"/>
      <c r="M9" s="1014"/>
      <c r="N9" s="1014"/>
      <c r="O9" s="1014"/>
      <c r="P9" s="1014"/>
      <c r="Q9" s="1014"/>
      <c r="R9" s="1014"/>
      <c r="S9" s="1014"/>
      <c r="T9" s="1014"/>
      <c r="U9" s="1082"/>
      <c r="V9" s="3"/>
      <c r="W9" s="3"/>
    </row>
    <row r="10" spans="2:23" ht="28.5" customHeight="1" thickBot="1" x14ac:dyDescent="0.25">
      <c r="D10" s="3"/>
      <c r="E10" s="3"/>
      <c r="F10" s="3"/>
      <c r="G10" s="3"/>
      <c r="H10" s="3"/>
      <c r="I10" s="3"/>
      <c r="J10" s="3"/>
      <c r="K10" s="3"/>
      <c r="L10" s="3"/>
      <c r="M10" s="3"/>
      <c r="N10" s="3"/>
      <c r="O10" s="3"/>
      <c r="P10" s="3"/>
      <c r="Q10" s="3"/>
      <c r="R10" s="3"/>
      <c r="S10" s="3"/>
      <c r="T10" s="3"/>
    </row>
    <row r="11" spans="2:23" ht="17.25" hidden="1" customHeight="1" thickBot="1" x14ac:dyDescent="0.25">
      <c r="B11" s="279"/>
      <c r="C11" s="280"/>
      <c r="D11" s="281"/>
      <c r="E11" s="281"/>
      <c r="F11" s="281"/>
      <c r="G11" s="282" t="s">
        <v>15</v>
      </c>
      <c r="H11" s="282" t="s">
        <v>15</v>
      </c>
      <c r="I11" s="283" t="s">
        <v>36</v>
      </c>
      <c r="J11" s="283"/>
      <c r="K11" s="283"/>
      <c r="L11" s="284"/>
      <c r="M11" s="284"/>
      <c r="N11" s="284"/>
      <c r="O11" s="283" t="s">
        <v>26</v>
      </c>
      <c r="P11" s="283" t="s">
        <v>25</v>
      </c>
      <c r="Q11" s="283"/>
      <c r="R11" s="285" t="s">
        <v>50</v>
      </c>
      <c r="S11" s="286" t="s">
        <v>37</v>
      </c>
      <c r="T11" s="299"/>
      <c r="U11" s="287"/>
    </row>
    <row r="12" spans="2:23" ht="47.25" x14ac:dyDescent="0.2">
      <c r="B12" s="65" t="s">
        <v>18</v>
      </c>
      <c r="C12" s="4" t="s">
        <v>168</v>
      </c>
      <c r="D12" s="64" t="s">
        <v>28</v>
      </c>
      <c r="E12" s="11" t="s">
        <v>19</v>
      </c>
      <c r="F12" s="12" t="s">
        <v>32</v>
      </c>
      <c r="G12" s="14" t="s">
        <v>23</v>
      </c>
      <c r="H12" s="14" t="s">
        <v>24</v>
      </c>
      <c r="I12" s="14" t="s">
        <v>35</v>
      </c>
      <c r="J12" s="13" t="s">
        <v>33</v>
      </c>
      <c r="K12" s="13" t="s">
        <v>34</v>
      </c>
      <c r="L12" s="13" t="s">
        <v>45</v>
      </c>
      <c r="M12" s="14" t="s">
        <v>20</v>
      </c>
      <c r="N12" s="14" t="s">
        <v>21</v>
      </c>
      <c r="O12" s="14" t="s">
        <v>27</v>
      </c>
      <c r="P12" s="14" t="s">
        <v>24</v>
      </c>
      <c r="Q12" s="14" t="s">
        <v>38</v>
      </c>
      <c r="R12" s="15" t="s">
        <v>22</v>
      </c>
      <c r="S12" s="11" t="s">
        <v>705</v>
      </c>
      <c r="T12" s="291" t="s">
        <v>51</v>
      </c>
      <c r="U12" s="295" t="s">
        <v>708</v>
      </c>
    </row>
    <row r="13" spans="2:23" ht="18.75" thickBot="1" x14ac:dyDescent="0.25">
      <c r="B13" s="85"/>
      <c r="C13" s="94" t="s">
        <v>169</v>
      </c>
      <c r="D13" s="86"/>
      <c r="E13" s="87" t="s">
        <v>204</v>
      </c>
      <c r="F13" s="88"/>
      <c r="G13" s="89" t="s">
        <v>205</v>
      </c>
      <c r="H13" s="89" t="s">
        <v>196</v>
      </c>
      <c r="I13" s="89"/>
      <c r="J13" s="87" t="s">
        <v>206</v>
      </c>
      <c r="K13" s="87" t="s">
        <v>206</v>
      </c>
      <c r="L13" s="87" t="s">
        <v>206</v>
      </c>
      <c r="M13" s="89" t="s">
        <v>207</v>
      </c>
      <c r="N13" s="89" t="s">
        <v>207</v>
      </c>
      <c r="O13" s="89" t="s">
        <v>208</v>
      </c>
      <c r="P13" s="89" t="s">
        <v>209</v>
      </c>
      <c r="Q13" s="89" t="s">
        <v>210</v>
      </c>
      <c r="R13" s="90" t="s">
        <v>204</v>
      </c>
      <c r="S13" s="87" t="s">
        <v>211</v>
      </c>
      <c r="T13" s="292" t="s">
        <v>210</v>
      </c>
      <c r="U13" s="296" t="s">
        <v>709</v>
      </c>
    </row>
    <row r="14" spans="2:23" ht="21" customHeight="1" x14ac:dyDescent="0.2">
      <c r="B14" s="78" t="s">
        <v>572</v>
      </c>
      <c r="C14" s="69" t="s">
        <v>570</v>
      </c>
      <c r="D14" s="91" t="s">
        <v>202</v>
      </c>
      <c r="E14" s="79">
        <f>'Piping Volume'!O15</f>
        <v>1064.0004459233262</v>
      </c>
      <c r="F14" s="849">
        <v>1</v>
      </c>
      <c r="G14" s="850">
        <v>22.03</v>
      </c>
      <c r="H14" s="850">
        <v>108.5</v>
      </c>
      <c r="I14" s="850">
        <v>0.94699999999999995</v>
      </c>
      <c r="J14" s="850" t="s">
        <v>1000</v>
      </c>
      <c r="K14" s="80">
        <f>((S14+14.7)*G14)/(10.73159*P14)</f>
        <v>1.062337774633044</v>
      </c>
      <c r="L14" s="81">
        <f t="shared" ref="L14:L27" si="0">IF(J14=0,K14,(100/((F14/K14)+((100-F14)/J14))))</f>
        <v>1.062337774633044</v>
      </c>
      <c r="M14" s="82">
        <f t="shared" ref="M14:M18" si="1">+E14*L14</f>
        <v>1130.3278659307528</v>
      </c>
      <c r="N14" s="82">
        <f>+F14*M14/100</f>
        <v>11.303278659307528</v>
      </c>
      <c r="O14" s="82">
        <f>+N14/G14</f>
        <v>0.51308573124410017</v>
      </c>
      <c r="P14" s="80">
        <f>460+H14</f>
        <v>568.5</v>
      </c>
      <c r="Q14" s="83">
        <f>+I14*O14*10.73159*P14</f>
        <v>2964.3839783753842</v>
      </c>
      <c r="R14" s="84">
        <f t="shared" ref="R14:R27" si="2">+N14/K14</f>
        <v>10.640004459233262</v>
      </c>
      <c r="S14" s="851">
        <v>279.5</v>
      </c>
      <c r="T14" s="293">
        <f>+(R14)*(S14+14.7)</f>
        <v>3130.2893119064256</v>
      </c>
      <c r="U14" s="297">
        <f>P14*O14</f>
        <v>291.68923821227094</v>
      </c>
    </row>
    <row r="15" spans="2:23" ht="21" customHeight="1" x14ac:dyDescent="0.2">
      <c r="B15" s="63" t="s">
        <v>203</v>
      </c>
      <c r="C15" s="61" t="s">
        <v>203</v>
      </c>
      <c r="D15" s="92" t="s">
        <v>1011</v>
      </c>
      <c r="E15" s="9">
        <v>0</v>
      </c>
      <c r="F15" s="849">
        <v>1</v>
      </c>
      <c r="G15" s="137">
        <v>22.56</v>
      </c>
      <c r="H15" s="137">
        <v>155.14999999999998</v>
      </c>
      <c r="I15" s="137">
        <v>0.96</v>
      </c>
      <c r="J15" s="137" t="s">
        <v>1000</v>
      </c>
      <c r="K15" s="80">
        <f t="shared" ref="K15:K55" si="3">((S15+14.7)*G15)/(10.73159*P15)</f>
        <v>1.0043696504205701</v>
      </c>
      <c r="L15" s="56">
        <f t="shared" si="0"/>
        <v>1.0043696504205701</v>
      </c>
      <c r="M15" s="7">
        <f t="shared" si="1"/>
        <v>0</v>
      </c>
      <c r="N15" s="7">
        <f t="shared" ref="N15:N22" si="4">+F15*M15/100</f>
        <v>0</v>
      </c>
      <c r="O15" s="7">
        <f t="shared" ref="O15:O37" si="5">+N15/G15</f>
        <v>0</v>
      </c>
      <c r="P15" s="80">
        <f t="shared" ref="P15:P55" si="6">460+H15</f>
        <v>615.15</v>
      </c>
      <c r="Q15" s="83">
        <f t="shared" ref="Q15:Q55" si="7">+I15*O15*10.73159*P15</f>
        <v>0</v>
      </c>
      <c r="R15" s="10">
        <f t="shared" si="2"/>
        <v>0</v>
      </c>
      <c r="S15" s="852">
        <v>279.2</v>
      </c>
      <c r="T15" s="293">
        <f t="shared" ref="T15:T55" si="8">+(R15)*(S15+14.7)</f>
        <v>0</v>
      </c>
      <c r="U15" s="297">
        <f t="shared" ref="U15:U55" si="9">P15*O15</f>
        <v>0</v>
      </c>
    </row>
    <row r="16" spans="2:23" ht="21" customHeight="1" x14ac:dyDescent="0.2">
      <c r="B16" s="62" t="s">
        <v>573</v>
      </c>
      <c r="C16" s="61" t="s">
        <v>571</v>
      </c>
      <c r="D16" s="92" t="s">
        <v>248</v>
      </c>
      <c r="E16" s="9">
        <f>'Piping Volume'!O16</f>
        <v>1511.2872575853614</v>
      </c>
      <c r="F16" s="766">
        <v>1</v>
      </c>
      <c r="G16" s="137">
        <v>22.72</v>
      </c>
      <c r="H16" s="137">
        <v>154.19999999999999</v>
      </c>
      <c r="I16" s="137">
        <v>0.96</v>
      </c>
      <c r="J16" s="137" t="s">
        <v>1000</v>
      </c>
      <c r="K16" s="80">
        <f t="shared" si="3"/>
        <v>1.0075422300406487</v>
      </c>
      <c r="L16" s="56">
        <f t="shared" si="0"/>
        <v>1.0075422300406487</v>
      </c>
      <c r="M16" s="7">
        <f t="shared" si="1"/>
        <v>1522.6857337395713</v>
      </c>
      <c r="N16" s="7">
        <f t="shared" si="4"/>
        <v>15.226857337395714</v>
      </c>
      <c r="O16" s="7">
        <f t="shared" si="5"/>
        <v>0.67019618562481142</v>
      </c>
      <c r="P16" s="80">
        <f t="shared" si="6"/>
        <v>614.20000000000005</v>
      </c>
      <c r="Q16" s="83">
        <f t="shared" si="7"/>
        <v>4240.7929477651314</v>
      </c>
      <c r="R16" s="10">
        <f t="shared" si="2"/>
        <v>15.112872575853615</v>
      </c>
      <c r="S16" s="852">
        <v>277.60000000000002</v>
      </c>
      <c r="T16" s="293">
        <f t="shared" si="8"/>
        <v>4417.4926539220114</v>
      </c>
      <c r="U16" s="297">
        <f t="shared" si="9"/>
        <v>411.63449721075921</v>
      </c>
    </row>
    <row r="17" spans="2:21" ht="21" customHeight="1" x14ac:dyDescent="0.2">
      <c r="B17" s="62" t="s">
        <v>575</v>
      </c>
      <c r="C17" s="61" t="s">
        <v>640</v>
      </c>
      <c r="D17" s="92" t="s">
        <v>248</v>
      </c>
      <c r="E17" s="71">
        <f>'Piping Volume'!O17</f>
        <v>185.74211173611118</v>
      </c>
      <c r="F17" s="766">
        <v>1</v>
      </c>
      <c r="G17" s="137">
        <v>1.0075422300406487</v>
      </c>
      <c r="H17" s="137">
        <v>22.72</v>
      </c>
      <c r="I17" s="137">
        <v>154.19999999999999</v>
      </c>
      <c r="J17" s="137">
        <v>1</v>
      </c>
      <c r="K17" s="80">
        <f t="shared" si="3"/>
        <v>5.685029316457102E-2</v>
      </c>
      <c r="L17" s="56">
        <f t="shared" si="0"/>
        <v>0.85770606021336437</v>
      </c>
      <c r="M17" s="7">
        <f t="shared" si="1"/>
        <v>159.31213487289043</v>
      </c>
      <c r="N17" s="7">
        <f t="shared" si="4"/>
        <v>1.5931213487289042</v>
      </c>
      <c r="O17" s="7">
        <f t="shared" si="5"/>
        <v>1.581195607716245</v>
      </c>
      <c r="P17" s="80">
        <f t="shared" si="6"/>
        <v>482.72</v>
      </c>
      <c r="Q17" s="83">
        <f t="shared" si="7"/>
        <v>1263075.5778538149</v>
      </c>
      <c r="R17" s="10">
        <f t="shared" si="2"/>
        <v>28.023098211949662</v>
      </c>
      <c r="S17" s="852">
        <v>277.60000000000002</v>
      </c>
      <c r="T17" s="293">
        <f t="shared" si="8"/>
        <v>8191.1516073528865</v>
      </c>
      <c r="U17" s="297">
        <f t="shared" si="9"/>
        <v>763.27474375678582</v>
      </c>
    </row>
    <row r="18" spans="2:21" ht="21" customHeight="1" x14ac:dyDescent="0.2">
      <c r="B18" s="58" t="s">
        <v>574</v>
      </c>
      <c r="C18" s="61" t="s">
        <v>641</v>
      </c>
      <c r="D18" s="92" t="s">
        <v>248</v>
      </c>
      <c r="E18" s="71">
        <f>'Piping Volume'!O18</f>
        <v>185.74211173611118</v>
      </c>
      <c r="F18" s="766">
        <v>1</v>
      </c>
      <c r="G18" s="137">
        <v>1.0075422300406487</v>
      </c>
      <c r="H18" s="137">
        <v>22.72</v>
      </c>
      <c r="I18" s="137">
        <v>154.19999999999999</v>
      </c>
      <c r="J18" s="137">
        <v>1</v>
      </c>
      <c r="K18" s="80">
        <f t="shared" si="3"/>
        <v>5.685029316457102E-2</v>
      </c>
      <c r="L18" s="56">
        <f t="shared" si="0"/>
        <v>0.85770606021336437</v>
      </c>
      <c r="M18" s="7">
        <f t="shared" si="1"/>
        <v>159.31213487289043</v>
      </c>
      <c r="N18" s="7">
        <f t="shared" si="4"/>
        <v>1.5931213487289042</v>
      </c>
      <c r="O18" s="7">
        <f t="shared" si="5"/>
        <v>1.581195607716245</v>
      </c>
      <c r="P18" s="80">
        <f t="shared" si="6"/>
        <v>482.72</v>
      </c>
      <c r="Q18" s="83">
        <f t="shared" si="7"/>
        <v>1263075.5778538149</v>
      </c>
      <c r="R18" s="10">
        <f t="shared" si="2"/>
        <v>28.023098211949662</v>
      </c>
      <c r="S18" s="852">
        <v>277.60000000000002</v>
      </c>
      <c r="T18" s="293">
        <f t="shared" si="8"/>
        <v>8191.1516073528865</v>
      </c>
      <c r="U18" s="297">
        <f t="shared" si="9"/>
        <v>763.27474375678582</v>
      </c>
    </row>
    <row r="19" spans="2:21" ht="21" customHeight="1" x14ac:dyDescent="0.2">
      <c r="B19" s="58" t="s">
        <v>657</v>
      </c>
      <c r="C19" s="61" t="s">
        <v>659</v>
      </c>
      <c r="D19" s="92">
        <v>105</v>
      </c>
      <c r="E19" s="9">
        <f>+'Piping Volume'!O19</f>
        <v>215.22498661485898</v>
      </c>
      <c r="F19" s="766">
        <v>1</v>
      </c>
      <c r="G19" s="137">
        <v>1.0130573431712169</v>
      </c>
      <c r="H19" s="137">
        <v>22.72</v>
      </c>
      <c r="I19" s="137">
        <v>154.19999999999999</v>
      </c>
      <c r="J19" s="137">
        <v>1</v>
      </c>
      <c r="K19" s="80">
        <f>((S19+14.7)*G19)/(10.73159*P19)</f>
        <v>5.7474374040768779E-2</v>
      </c>
      <c r="L19" s="56">
        <f>IF(J19=0,K19,(100/((F19/K19)+((100-F19)/J19))))</f>
        <v>0.85911347764889756</v>
      </c>
      <c r="M19" s="7">
        <f>+E18*L19</f>
        <v>159.57355155946058</v>
      </c>
      <c r="N19" s="7">
        <f>+F19*M19/100</f>
        <v>1.5957355155946058</v>
      </c>
      <c r="O19" s="7">
        <f>+N19/G19</f>
        <v>1.5751680063829423</v>
      </c>
      <c r="P19" s="80">
        <f>460+H19</f>
        <v>482.72</v>
      </c>
      <c r="Q19" s="83">
        <f>+I19*O19*10.73159*P19</f>
        <v>1258260.6669092227</v>
      </c>
      <c r="R19" s="10">
        <f>+N19/K19</f>
        <v>27.764295692245199</v>
      </c>
      <c r="S19" s="852">
        <v>279.2</v>
      </c>
      <c r="T19" s="293">
        <f>+(R19)*(S19+14.7)</f>
        <v>8159.9265039508637</v>
      </c>
      <c r="U19" s="297">
        <f t="shared" si="9"/>
        <v>760.36510004117395</v>
      </c>
    </row>
    <row r="20" spans="2:21" ht="21" customHeight="1" x14ac:dyDescent="0.2">
      <c r="B20" s="59" t="s">
        <v>649</v>
      </c>
      <c r="C20" s="68" t="s">
        <v>576</v>
      </c>
      <c r="D20" s="92" t="s">
        <v>1012</v>
      </c>
      <c r="E20" s="9">
        <f>+'Exchangers Volumes'!K30</f>
        <v>524.57171901048059</v>
      </c>
      <c r="F20" s="766">
        <v>1</v>
      </c>
      <c r="G20" s="137">
        <v>0.88717741423945706</v>
      </c>
      <c r="H20" s="137">
        <v>22.72</v>
      </c>
      <c r="I20" s="137">
        <v>233.95</v>
      </c>
      <c r="J20" s="137">
        <v>1</v>
      </c>
      <c r="K20" s="80">
        <f t="shared" si="3"/>
        <v>4.9801854399799138E-2</v>
      </c>
      <c r="L20" s="56">
        <f t="shared" si="0"/>
        <v>0.83977458930133408</v>
      </c>
      <c r="M20" s="7">
        <f>+E19*L20</f>
        <v>180.74047474187833</v>
      </c>
      <c r="N20" s="7">
        <f t="shared" si="4"/>
        <v>1.8074047474187833</v>
      </c>
      <c r="O20" s="7">
        <f t="shared" si="5"/>
        <v>2.0372528858483188</v>
      </c>
      <c r="P20" s="80">
        <f t="shared" si="6"/>
        <v>482.72</v>
      </c>
      <c r="Q20" s="83">
        <f t="shared" si="7"/>
        <v>2469035.624183984</v>
      </c>
      <c r="R20" s="10">
        <f t="shared" si="2"/>
        <v>36.291916620399441</v>
      </c>
      <c r="S20" s="852">
        <v>276.10000000000002</v>
      </c>
      <c r="T20" s="293">
        <f t="shared" si="8"/>
        <v>10553.689353212158</v>
      </c>
      <c r="U20" s="297">
        <f t="shared" si="9"/>
        <v>983.42271305670045</v>
      </c>
    </row>
    <row r="21" spans="2:21" ht="21" customHeight="1" x14ac:dyDescent="0.2">
      <c r="B21" s="59" t="s">
        <v>650</v>
      </c>
      <c r="C21" s="68" t="s">
        <v>577</v>
      </c>
      <c r="D21" s="92" t="s">
        <v>1012</v>
      </c>
      <c r="E21" s="9">
        <f>+'Exchangers Volumes'!K30</f>
        <v>524.57171901048059</v>
      </c>
      <c r="F21" s="766">
        <v>1</v>
      </c>
      <c r="G21" s="137">
        <v>0.88717741423945706</v>
      </c>
      <c r="H21" s="137">
        <v>22.72</v>
      </c>
      <c r="I21" s="137">
        <v>233.95</v>
      </c>
      <c r="J21" s="137">
        <v>1</v>
      </c>
      <c r="K21" s="80">
        <f>((S21+14.7)*G21)/(10.73159*P21)</f>
        <v>4.9801854399799138E-2</v>
      </c>
      <c r="L21" s="56">
        <f t="shared" si="0"/>
        <v>0.83977458930133408</v>
      </c>
      <c r="M21" s="7">
        <f>+E20*L21</f>
        <v>440.52199989112114</v>
      </c>
      <c r="N21" s="7">
        <f t="shared" si="4"/>
        <v>4.4052199989112113</v>
      </c>
      <c r="O21" s="7">
        <f>+N21/G21</f>
        <v>4.9654329880429113</v>
      </c>
      <c r="P21" s="80">
        <f>460+H21</f>
        <v>482.72</v>
      </c>
      <c r="Q21" s="83">
        <f t="shared" si="7"/>
        <v>6017824.7983540045</v>
      </c>
      <c r="R21" s="10">
        <f t="shared" si="2"/>
        <v>88.45493911827063</v>
      </c>
      <c r="S21" s="852">
        <v>276.10000000000002</v>
      </c>
      <c r="T21" s="293">
        <f>+(R21)*(S21+14.7)</f>
        <v>25722.696295593101</v>
      </c>
      <c r="U21" s="297">
        <f t="shared" si="9"/>
        <v>2396.9138119880745</v>
      </c>
    </row>
    <row r="22" spans="2:21" ht="21" customHeight="1" x14ac:dyDescent="0.2">
      <c r="B22" s="58" t="s">
        <v>655</v>
      </c>
      <c r="C22" s="68" t="s">
        <v>579</v>
      </c>
      <c r="D22" s="92" t="s">
        <v>249</v>
      </c>
      <c r="E22" s="9">
        <f>'Piping Volume'!O21</f>
        <v>147.41437439373902</v>
      </c>
      <c r="F22" s="766">
        <v>1</v>
      </c>
      <c r="G22" s="137">
        <v>0.79162607668602314</v>
      </c>
      <c r="H22" s="137">
        <v>22.72</v>
      </c>
      <c r="I22" s="137">
        <v>313.7</v>
      </c>
      <c r="J22" s="137">
        <v>1</v>
      </c>
      <c r="K22" s="80">
        <f t="shared" si="3"/>
        <v>4.4208844159462246E-2</v>
      </c>
      <c r="L22" s="56">
        <f t="shared" si="0"/>
        <v>0.82223380542878621</v>
      </c>
      <c r="M22" s="7">
        <f t="shared" ref="M22:M55" si="10">+E22*L23</f>
        <v>121.20908203266785</v>
      </c>
      <c r="N22" s="7">
        <f t="shared" si="4"/>
        <v>1.2120908203266785</v>
      </c>
      <c r="O22" s="7">
        <f t="shared" si="5"/>
        <v>1.5311405927920452</v>
      </c>
      <c r="P22" s="80">
        <f t="shared" si="6"/>
        <v>482.72</v>
      </c>
      <c r="Q22" s="83">
        <f t="shared" si="7"/>
        <v>2488221.0169885028</v>
      </c>
      <c r="R22" s="10">
        <f t="shared" si="2"/>
        <v>27.417383181397845</v>
      </c>
      <c r="S22" s="852">
        <v>274.60000000000002</v>
      </c>
      <c r="T22" s="293">
        <f t="shared" si="8"/>
        <v>7931.8489543783971</v>
      </c>
      <c r="U22" s="297">
        <f t="shared" si="9"/>
        <v>739.11218695257605</v>
      </c>
    </row>
    <row r="23" spans="2:21" ht="21" customHeight="1" x14ac:dyDescent="0.2">
      <c r="B23" s="58" t="s">
        <v>578</v>
      </c>
      <c r="C23" s="68" t="s">
        <v>580</v>
      </c>
      <c r="D23" s="92" t="s">
        <v>249</v>
      </c>
      <c r="E23" s="9">
        <f>+'Piping Volume'!O21</f>
        <v>147.41437439373902</v>
      </c>
      <c r="F23" s="766">
        <v>1</v>
      </c>
      <c r="G23" s="137">
        <v>0.79162607668602314</v>
      </c>
      <c r="H23" s="137">
        <v>22.72</v>
      </c>
      <c r="I23" s="137">
        <v>313.7</v>
      </c>
      <c r="J23" s="137">
        <v>1</v>
      </c>
      <c r="K23" s="80">
        <f t="shared" si="3"/>
        <v>4.4208844159462246E-2</v>
      </c>
      <c r="L23" s="56">
        <f t="shared" si="0"/>
        <v>0.82223380542878621</v>
      </c>
      <c r="M23" s="7">
        <f t="shared" si="10"/>
        <v>115.98827969667067</v>
      </c>
      <c r="N23" s="7">
        <f t="shared" ref="N23:N55" si="11">+F23*M22/100</f>
        <v>1.2120908203266785</v>
      </c>
      <c r="O23" s="7">
        <f t="shared" si="5"/>
        <v>1.5311405927920452</v>
      </c>
      <c r="P23" s="80">
        <f t="shared" si="6"/>
        <v>482.72</v>
      </c>
      <c r="Q23" s="83">
        <f t="shared" si="7"/>
        <v>2488221.0169885028</v>
      </c>
      <c r="R23" s="10">
        <f t="shared" si="2"/>
        <v>27.417383181397845</v>
      </c>
      <c r="S23" s="852">
        <v>274.60000000000002</v>
      </c>
      <c r="T23" s="293">
        <f t="shared" si="8"/>
        <v>7931.8489543783971</v>
      </c>
      <c r="U23" s="297">
        <f t="shared" si="9"/>
        <v>739.11218695257605</v>
      </c>
    </row>
    <row r="24" spans="2:21" ht="21" customHeight="1" x14ac:dyDescent="0.2">
      <c r="B24" s="59" t="s">
        <v>647</v>
      </c>
      <c r="C24" s="68" t="s">
        <v>581</v>
      </c>
      <c r="D24" s="92" t="s">
        <v>1001</v>
      </c>
      <c r="E24" s="9">
        <f>+'Reactors volumes'!N22</f>
        <v>2457.601165509288</v>
      </c>
      <c r="F24" s="766">
        <v>1</v>
      </c>
      <c r="G24" s="137">
        <v>0.67865051889206296</v>
      </c>
      <c r="H24" s="137">
        <v>22.89</v>
      </c>
      <c r="I24" s="137">
        <v>394.25</v>
      </c>
      <c r="J24" s="137">
        <v>1</v>
      </c>
      <c r="K24" s="80">
        <f t="shared" si="3"/>
        <v>3.5594537471801371E-2</v>
      </c>
      <c r="L24" s="56">
        <f t="shared" si="0"/>
        <v>0.78681797601955517</v>
      </c>
      <c r="M24" s="7">
        <f t="shared" si="10"/>
        <v>1838.0657633752189</v>
      </c>
      <c r="N24" s="7">
        <f t="shared" si="11"/>
        <v>1.1598827969667067</v>
      </c>
      <c r="O24" s="7">
        <f t="shared" si="5"/>
        <v>1.7091017610364225</v>
      </c>
      <c r="P24" s="80">
        <f t="shared" si="6"/>
        <v>482.89</v>
      </c>
      <c r="Q24" s="83">
        <f t="shared" si="7"/>
        <v>3491820.4782249378</v>
      </c>
      <c r="R24" s="10">
        <f t="shared" si="2"/>
        <v>32.585977494035049</v>
      </c>
      <c r="S24" s="852">
        <v>257.10000000000002</v>
      </c>
      <c r="T24" s="293">
        <f t="shared" si="8"/>
        <v>8856.8686828787268</v>
      </c>
      <c r="U24" s="297">
        <f t="shared" si="9"/>
        <v>825.30814938687809</v>
      </c>
    </row>
    <row r="25" spans="2:21" ht="21" customHeight="1" x14ac:dyDescent="0.2">
      <c r="B25" s="58" t="s">
        <v>582</v>
      </c>
      <c r="C25" s="68" t="s">
        <v>583</v>
      </c>
      <c r="D25" s="92" t="s">
        <v>251</v>
      </c>
      <c r="E25" s="9">
        <f>+'Piping Volume'!O22</f>
        <v>38.327737342372146</v>
      </c>
      <c r="F25" s="766">
        <v>1</v>
      </c>
      <c r="G25" s="852">
        <v>0.58599353358984785</v>
      </c>
      <c r="H25" s="137">
        <v>23.06</v>
      </c>
      <c r="I25" s="137">
        <v>474.7</v>
      </c>
      <c r="J25" s="137">
        <v>1</v>
      </c>
      <c r="K25" s="80">
        <f t="shared" si="3"/>
        <v>2.8813599144128923E-2</v>
      </c>
      <c r="L25" s="56">
        <f t="shared" si="0"/>
        <v>0.74791051907493589</v>
      </c>
      <c r="M25" s="7">
        <f t="shared" si="10"/>
        <v>30.156952721134378</v>
      </c>
      <c r="N25" s="7">
        <f t="shared" si="11"/>
        <v>18.38065763375219</v>
      </c>
      <c r="O25" s="7">
        <f t="shared" si="5"/>
        <v>31.366656080913842</v>
      </c>
      <c r="P25" s="80">
        <f t="shared" si="6"/>
        <v>483.06</v>
      </c>
      <c r="Q25" s="83">
        <f t="shared" si="7"/>
        <v>77188500.285447925</v>
      </c>
      <c r="R25" s="10">
        <f t="shared" si="2"/>
        <v>637.91605976782125</v>
      </c>
      <c r="S25" s="852">
        <v>240.2</v>
      </c>
      <c r="T25" s="293">
        <f t="shared" si="8"/>
        <v>162604.80363481762</v>
      </c>
      <c r="U25" s="297">
        <f t="shared" si="9"/>
        <v>15151.97688644624</v>
      </c>
    </row>
    <row r="26" spans="2:21" ht="21" customHeight="1" x14ac:dyDescent="0.2">
      <c r="B26" s="59" t="s">
        <v>648</v>
      </c>
      <c r="C26" s="68" t="s">
        <v>584</v>
      </c>
      <c r="D26" s="92" t="s">
        <v>1001</v>
      </c>
      <c r="E26" s="9">
        <f>+'Reactors volumes'!O22</f>
        <v>2457.601165509288</v>
      </c>
      <c r="F26" s="766">
        <v>1</v>
      </c>
      <c r="G26" s="137">
        <v>0.67865051889206296</v>
      </c>
      <c r="H26" s="137">
        <v>22.89</v>
      </c>
      <c r="I26" s="137">
        <v>394.25</v>
      </c>
      <c r="J26" s="137">
        <v>1</v>
      </c>
      <c r="K26" s="80">
        <f t="shared" si="3"/>
        <v>3.5594537471801371E-2</v>
      </c>
      <c r="L26" s="56">
        <f t="shared" si="0"/>
        <v>0.78681797601955517</v>
      </c>
      <c r="M26" s="7">
        <f t="shared" si="10"/>
        <v>1838.0657633752189</v>
      </c>
      <c r="N26" s="7">
        <f t="shared" si="11"/>
        <v>0.30156952721134378</v>
      </c>
      <c r="O26" s="7">
        <f t="shared" si="5"/>
        <v>0.44436645786946988</v>
      </c>
      <c r="P26" s="80">
        <f t="shared" si="6"/>
        <v>482.89</v>
      </c>
      <c r="Q26" s="83">
        <f t="shared" si="7"/>
        <v>907873.32433848386</v>
      </c>
      <c r="R26" s="10">
        <f t="shared" si="2"/>
        <v>8.4723541484491136</v>
      </c>
      <c r="S26" s="852">
        <v>257.10000000000002</v>
      </c>
      <c r="T26" s="293">
        <f t="shared" si="8"/>
        <v>2302.7858575484693</v>
      </c>
      <c r="U26" s="297">
        <f t="shared" si="9"/>
        <v>214.58011884058831</v>
      </c>
    </row>
    <row r="27" spans="2:21" ht="21" customHeight="1" x14ac:dyDescent="0.2">
      <c r="B27" s="58" t="s">
        <v>592</v>
      </c>
      <c r="C27" s="68" t="s">
        <v>585</v>
      </c>
      <c r="D27" s="92" t="s">
        <v>251</v>
      </c>
      <c r="E27" s="9">
        <f>+'Piping Volume'!O23</f>
        <v>38.327737342372146</v>
      </c>
      <c r="F27" s="766">
        <v>1</v>
      </c>
      <c r="G27" s="852">
        <v>0.58599353358984785</v>
      </c>
      <c r="H27" s="137">
        <v>23.06</v>
      </c>
      <c r="I27" s="137">
        <v>474.7</v>
      </c>
      <c r="J27" s="137">
        <v>1</v>
      </c>
      <c r="K27" s="80">
        <f t="shared" si="3"/>
        <v>2.8813599144128923E-2</v>
      </c>
      <c r="L27" s="56">
        <f t="shared" si="0"/>
        <v>0.74791051907493589</v>
      </c>
      <c r="M27" s="7">
        <f t="shared" si="10"/>
        <v>28.943968116758004</v>
      </c>
      <c r="N27" s="7">
        <f t="shared" si="11"/>
        <v>18.38065763375219</v>
      </c>
      <c r="O27" s="7">
        <f t="shared" si="5"/>
        <v>31.366656080913842</v>
      </c>
      <c r="P27" s="80">
        <f t="shared" si="6"/>
        <v>483.06</v>
      </c>
      <c r="Q27" s="83">
        <f t="shared" si="7"/>
        <v>77188500.285447925</v>
      </c>
      <c r="R27" s="10">
        <f t="shared" si="2"/>
        <v>637.91605976782125</v>
      </c>
      <c r="S27" s="852">
        <v>240.2</v>
      </c>
      <c r="T27" s="293">
        <f t="shared" si="8"/>
        <v>162604.80363481762</v>
      </c>
      <c r="U27" s="297">
        <f t="shared" si="9"/>
        <v>15151.97688644624</v>
      </c>
    </row>
    <row r="28" spans="2:21" ht="21" customHeight="1" x14ac:dyDescent="0.2">
      <c r="B28" s="59" t="s">
        <v>645</v>
      </c>
      <c r="C28" s="68" t="s">
        <v>586</v>
      </c>
      <c r="D28" s="92" t="s">
        <v>1013</v>
      </c>
      <c r="E28" s="9">
        <f>+'Exchangers Volumes'!L24</f>
        <v>154.12774295755534</v>
      </c>
      <c r="F28" s="766">
        <v>1</v>
      </c>
      <c r="G28" s="852">
        <v>0.60996693432596694</v>
      </c>
      <c r="H28" s="137">
        <v>23.06</v>
      </c>
      <c r="I28" s="137">
        <v>435.85</v>
      </c>
      <c r="J28" s="137">
        <v>1</v>
      </c>
      <c r="K28" s="80">
        <f t="shared" si="3"/>
        <v>2.9921785413386352E-2</v>
      </c>
      <c r="L28" s="56">
        <f t="shared" ref="L28:L35" si="12">IF(J28=0,K28,(100/((F28/K28)+((100-F28)/J28))))</f>
        <v>0.75517027937779724</v>
      </c>
      <c r="M28" s="7">
        <f t="shared" si="10"/>
        <v>116.39269070912638</v>
      </c>
      <c r="N28" s="7">
        <f t="shared" si="11"/>
        <v>0.28943968116758007</v>
      </c>
      <c r="O28" s="7">
        <f t="shared" si="5"/>
        <v>0.47451700228213223</v>
      </c>
      <c r="P28" s="80">
        <f t="shared" si="6"/>
        <v>483.06</v>
      </c>
      <c r="Q28" s="83">
        <f t="shared" si="7"/>
        <v>1072146.118343892</v>
      </c>
      <c r="R28" s="10">
        <f t="shared" ref="R28:R35" si="13">+N28/K28</f>
        <v>9.6732089067817153</v>
      </c>
      <c r="S28" s="852">
        <v>239.6</v>
      </c>
      <c r="T28" s="293">
        <f t="shared" si="8"/>
        <v>2459.8970249945901</v>
      </c>
      <c r="U28" s="297">
        <f t="shared" si="9"/>
        <v>229.22018312240681</v>
      </c>
    </row>
    <row r="29" spans="2:21" ht="21" customHeight="1" x14ac:dyDescent="0.2">
      <c r="B29" s="59" t="s">
        <v>646</v>
      </c>
      <c r="C29" s="68" t="s">
        <v>587</v>
      </c>
      <c r="D29" s="92" t="s">
        <v>1013</v>
      </c>
      <c r="E29" s="9">
        <f>+'Exchangers Volumes'!L24</f>
        <v>154.12774295755534</v>
      </c>
      <c r="F29" s="766">
        <v>1</v>
      </c>
      <c r="G29" s="852">
        <v>0.60996693432596694</v>
      </c>
      <c r="H29" s="137">
        <v>23.06</v>
      </c>
      <c r="I29" s="137">
        <v>435.85</v>
      </c>
      <c r="J29" s="137">
        <v>1</v>
      </c>
      <c r="K29" s="80">
        <f t="shared" si="3"/>
        <v>2.9921785413386352E-2</v>
      </c>
      <c r="L29" s="56">
        <f t="shared" si="12"/>
        <v>0.75517027937779724</v>
      </c>
      <c r="M29" s="7">
        <f t="shared" si="10"/>
        <v>117.33977341692918</v>
      </c>
      <c r="N29" s="7">
        <f t="shared" si="11"/>
        <v>1.1639269070912639</v>
      </c>
      <c r="O29" s="7">
        <f t="shared" si="5"/>
        <v>1.9081803317378843</v>
      </c>
      <c r="P29" s="80">
        <f t="shared" si="6"/>
        <v>483.06</v>
      </c>
      <c r="Q29" s="83">
        <f t="shared" si="7"/>
        <v>4311432.7325125821</v>
      </c>
      <c r="R29" s="10">
        <f t="shared" si="13"/>
        <v>38.898979155520195</v>
      </c>
      <c r="S29" s="852">
        <v>239.6</v>
      </c>
      <c r="T29" s="293">
        <f t="shared" si="8"/>
        <v>9892.0103992487857</v>
      </c>
      <c r="U29" s="297">
        <f t="shared" si="9"/>
        <v>921.76559104930243</v>
      </c>
    </row>
    <row r="30" spans="2:21" ht="21" customHeight="1" x14ac:dyDescent="0.2">
      <c r="B30" s="58" t="s">
        <v>588</v>
      </c>
      <c r="C30" s="68" t="s">
        <v>590</v>
      </c>
      <c r="D30" s="92" t="s">
        <v>250</v>
      </c>
      <c r="E30" s="9">
        <f>'Piping Volume'!O25</f>
        <v>250.60443646935636</v>
      </c>
      <c r="F30" s="766">
        <v>1</v>
      </c>
      <c r="G30" s="137">
        <v>0.63385727396690095</v>
      </c>
      <c r="H30" s="137">
        <v>23.06</v>
      </c>
      <c r="I30" s="137">
        <v>397</v>
      </c>
      <c r="J30" s="137">
        <v>1</v>
      </c>
      <c r="K30" s="80">
        <f t="shared" si="3"/>
        <v>3.0910312731237493E-2</v>
      </c>
      <c r="L30" s="56">
        <f t="shared" si="12"/>
        <v>0.76131506998868426</v>
      </c>
      <c r="M30" s="7">
        <f t="shared" si="10"/>
        <v>190.78893409014282</v>
      </c>
      <c r="N30" s="7">
        <f t="shared" si="11"/>
        <v>1.1733977341692918</v>
      </c>
      <c r="O30" s="7">
        <f t="shared" si="5"/>
        <v>1.8512018120826439</v>
      </c>
      <c r="P30" s="80">
        <f t="shared" si="6"/>
        <v>483.06</v>
      </c>
      <c r="Q30" s="83">
        <f t="shared" si="7"/>
        <v>3809863.5578861102</v>
      </c>
      <c r="R30" s="10">
        <f t="shared" si="13"/>
        <v>37.961367274795442</v>
      </c>
      <c r="S30" s="852">
        <v>238.1</v>
      </c>
      <c r="T30" s="293">
        <f t="shared" si="8"/>
        <v>9596.6336470682872</v>
      </c>
      <c r="U30" s="297">
        <f t="shared" si="9"/>
        <v>894.24154734464196</v>
      </c>
    </row>
    <row r="31" spans="2:21" ht="21" customHeight="1" x14ac:dyDescent="0.2">
      <c r="B31" s="58" t="s">
        <v>589</v>
      </c>
      <c r="C31" s="68" t="s">
        <v>591</v>
      </c>
      <c r="D31" s="93" t="s">
        <v>250</v>
      </c>
      <c r="E31" s="9">
        <f>+'Piping Volume'!O25</f>
        <v>250.60443646935636</v>
      </c>
      <c r="F31" s="766">
        <v>1</v>
      </c>
      <c r="G31" s="137">
        <v>0.63385727396690095</v>
      </c>
      <c r="H31" s="137">
        <v>23.06</v>
      </c>
      <c r="I31" s="137">
        <v>397</v>
      </c>
      <c r="J31" s="137">
        <v>1</v>
      </c>
      <c r="K31" s="80">
        <f t="shared" si="3"/>
        <v>3.0910312731237493E-2</v>
      </c>
      <c r="L31" s="56">
        <f t="shared" si="12"/>
        <v>0.76131506998868426</v>
      </c>
      <c r="M31" s="7">
        <f t="shared" si="10"/>
        <v>194.77534258987666</v>
      </c>
      <c r="N31" s="7">
        <f t="shared" si="11"/>
        <v>1.9078893409014281</v>
      </c>
      <c r="O31" s="7">
        <f t="shared" si="5"/>
        <v>3.0099667847324496</v>
      </c>
      <c r="P31" s="80">
        <f t="shared" si="6"/>
        <v>483.06</v>
      </c>
      <c r="Q31" s="83">
        <f t="shared" si="7"/>
        <v>6194658.3504574886</v>
      </c>
      <c r="R31" s="10">
        <f t="shared" si="13"/>
        <v>61.723391720114954</v>
      </c>
      <c r="S31" s="852">
        <v>238.1</v>
      </c>
      <c r="T31" s="293">
        <f t="shared" si="8"/>
        <v>15603.67342684506</v>
      </c>
      <c r="U31" s="297">
        <f t="shared" si="9"/>
        <v>1453.9945550328571</v>
      </c>
    </row>
    <row r="32" spans="2:21" ht="21" customHeight="1" x14ac:dyDescent="0.2">
      <c r="B32" s="59" t="s">
        <v>643</v>
      </c>
      <c r="C32" s="68" t="s">
        <v>576</v>
      </c>
      <c r="D32" s="93" t="s">
        <v>785</v>
      </c>
      <c r="E32" s="9">
        <f>+'Exchangers Volumes'!K24</f>
        <v>183.05063248873458</v>
      </c>
      <c r="F32" s="766">
        <v>1</v>
      </c>
      <c r="G32" s="137">
        <v>0.69308470258809662</v>
      </c>
      <c r="H32" s="137">
        <v>23.06</v>
      </c>
      <c r="I32" s="137">
        <v>321.75</v>
      </c>
      <c r="J32" s="137">
        <v>1</v>
      </c>
      <c r="K32" s="80">
        <f t="shared" si="3"/>
        <v>3.3711659890404741E-2</v>
      </c>
      <c r="L32" s="56">
        <f t="shared" si="12"/>
        <v>0.77722224448206678</v>
      </c>
      <c r="M32" s="7">
        <f t="shared" si="10"/>
        <v>142.27102343675622</v>
      </c>
      <c r="N32" s="7">
        <f t="shared" si="11"/>
        <v>1.9477534258987665</v>
      </c>
      <c r="O32" s="7">
        <f t="shared" si="5"/>
        <v>2.8102675165467117</v>
      </c>
      <c r="P32" s="80">
        <f t="shared" si="6"/>
        <v>483.06</v>
      </c>
      <c r="Q32" s="83">
        <f t="shared" si="7"/>
        <v>4687393.0114604672</v>
      </c>
      <c r="R32" s="10">
        <f t="shared" si="13"/>
        <v>57.776847305378467</v>
      </c>
      <c r="S32" s="852">
        <v>237.45</v>
      </c>
      <c r="T32" s="293">
        <f t="shared" si="8"/>
        <v>14568.43204805118</v>
      </c>
      <c r="U32" s="297">
        <f t="shared" si="9"/>
        <v>1357.5278265430545</v>
      </c>
    </row>
    <row r="33" spans="2:21" ht="21" customHeight="1" x14ac:dyDescent="0.2">
      <c r="B33" s="59" t="s">
        <v>644</v>
      </c>
      <c r="C33" s="68" t="s">
        <v>577</v>
      </c>
      <c r="D33" s="92" t="s">
        <v>785</v>
      </c>
      <c r="E33" s="9">
        <f>+'Exchangers Volumes'!K24</f>
        <v>183.05063248873458</v>
      </c>
      <c r="F33" s="766">
        <v>1</v>
      </c>
      <c r="G33" s="137">
        <v>0.69308470258809662</v>
      </c>
      <c r="H33" s="137">
        <v>23.06</v>
      </c>
      <c r="I33" s="137">
        <v>321.75</v>
      </c>
      <c r="J33" s="137">
        <v>1</v>
      </c>
      <c r="K33" s="80">
        <f t="shared" si="3"/>
        <v>3.3711659890404741E-2</v>
      </c>
      <c r="L33" s="56">
        <f t="shared" si="12"/>
        <v>0.77722224448206678</v>
      </c>
      <c r="M33" s="7">
        <f t="shared" si="10"/>
        <v>145.33972366495982</v>
      </c>
      <c r="N33" s="7">
        <f t="shared" si="11"/>
        <v>1.4227102343675622</v>
      </c>
      <c r="O33" s="7">
        <f t="shared" si="5"/>
        <v>2.0527220252516312</v>
      </c>
      <c r="P33" s="80">
        <f t="shared" si="6"/>
        <v>483.06</v>
      </c>
      <c r="Q33" s="83">
        <f t="shared" si="7"/>
        <v>3423843.0394907705</v>
      </c>
      <c r="R33" s="10">
        <f t="shared" si="13"/>
        <v>42.202319286345919</v>
      </c>
      <c r="S33" s="852">
        <v>237.45</v>
      </c>
      <c r="T33" s="293">
        <f t="shared" si="8"/>
        <v>10641.314808052122</v>
      </c>
      <c r="U33" s="297">
        <f t="shared" si="9"/>
        <v>991.58790151805294</v>
      </c>
    </row>
    <row r="34" spans="2:21" ht="21" customHeight="1" x14ac:dyDescent="0.2">
      <c r="B34" s="58" t="s">
        <v>593</v>
      </c>
      <c r="C34" s="68" t="s">
        <v>595</v>
      </c>
      <c r="D34" s="92">
        <v>106</v>
      </c>
      <c r="E34" s="9">
        <f>'Piping Volume'!O26</f>
        <v>349.97491693997466</v>
      </c>
      <c r="F34" s="766">
        <v>1</v>
      </c>
      <c r="G34" s="137">
        <v>0.76492887290425349</v>
      </c>
      <c r="H34" s="137">
        <v>23.06</v>
      </c>
      <c r="I34" s="137">
        <v>246.5</v>
      </c>
      <c r="J34" s="137">
        <v>1</v>
      </c>
      <c r="K34" s="80">
        <f t="shared" si="3"/>
        <v>3.7110251217198513E-2</v>
      </c>
      <c r="L34" s="56">
        <f t="shared" si="12"/>
        <v>0.79398645986052196</v>
      </c>
      <c r="M34" s="7">
        <f t="shared" si="10"/>
        <v>277.87534534115071</v>
      </c>
      <c r="N34" s="7">
        <f t="shared" si="11"/>
        <v>1.4533972366495982</v>
      </c>
      <c r="O34" s="7">
        <f t="shared" si="5"/>
        <v>1.9000423282904639</v>
      </c>
      <c r="P34" s="80">
        <f t="shared" si="6"/>
        <v>483.06</v>
      </c>
      <c r="Q34" s="83">
        <f t="shared" si="7"/>
        <v>2427981.3631394925</v>
      </c>
      <c r="R34" s="10">
        <f t="shared" si="13"/>
        <v>39.164306060424359</v>
      </c>
      <c r="S34" s="852">
        <v>236.8</v>
      </c>
      <c r="T34" s="293">
        <f t="shared" si="8"/>
        <v>9849.8229741967261</v>
      </c>
      <c r="U34" s="297">
        <f t="shared" si="9"/>
        <v>917.83444710399147</v>
      </c>
    </row>
    <row r="35" spans="2:21" ht="21" customHeight="1" x14ac:dyDescent="0.2">
      <c r="B35" s="58" t="s">
        <v>594</v>
      </c>
      <c r="C35" s="68" t="s">
        <v>596</v>
      </c>
      <c r="D35" s="92">
        <v>106</v>
      </c>
      <c r="E35" s="9">
        <f>'Piping Volume'!O27</f>
        <v>349.97491693997466</v>
      </c>
      <c r="F35" s="766">
        <v>1</v>
      </c>
      <c r="G35" s="137">
        <v>0.76492887290425349</v>
      </c>
      <c r="H35" s="137">
        <v>23.06</v>
      </c>
      <c r="I35" s="137">
        <v>246.5</v>
      </c>
      <c r="J35" s="137">
        <v>1</v>
      </c>
      <c r="K35" s="80">
        <f t="shared" si="3"/>
        <v>3.7110251217198513E-2</v>
      </c>
      <c r="L35" s="56">
        <f t="shared" si="12"/>
        <v>0.79398645986052196</v>
      </c>
      <c r="M35" s="7">
        <f t="shared" si="10"/>
        <v>277.43975457708177</v>
      </c>
      <c r="N35" s="7">
        <f t="shared" si="11"/>
        <v>2.778753453411507</v>
      </c>
      <c r="O35" s="7">
        <f t="shared" si="5"/>
        <v>3.6326952110739907</v>
      </c>
      <c r="P35" s="80">
        <f t="shared" si="6"/>
        <v>483.06</v>
      </c>
      <c r="Q35" s="83">
        <f t="shared" si="7"/>
        <v>4642063.0420320742</v>
      </c>
      <c r="R35" s="10">
        <f t="shared" si="13"/>
        <v>74.878325052235468</v>
      </c>
      <c r="S35" s="852">
        <v>236.8</v>
      </c>
      <c r="T35" s="293">
        <f t="shared" si="8"/>
        <v>18831.898750637221</v>
      </c>
      <c r="U35" s="297">
        <f t="shared" si="9"/>
        <v>1754.809748661402</v>
      </c>
    </row>
    <row r="36" spans="2:21" ht="21" customHeight="1" x14ac:dyDescent="0.2">
      <c r="B36" s="58" t="s">
        <v>597</v>
      </c>
      <c r="C36" s="68" t="s">
        <v>598</v>
      </c>
      <c r="D36" s="93">
        <v>221</v>
      </c>
      <c r="E36" s="9">
        <f>'Piping Volume'!O28</f>
        <v>745.47801943672539</v>
      </c>
      <c r="F36" s="766">
        <v>1</v>
      </c>
      <c r="G36" s="137">
        <v>0.76208368541053639</v>
      </c>
      <c r="H36" s="137">
        <v>23.06</v>
      </c>
      <c r="I36" s="137">
        <v>246.6</v>
      </c>
      <c r="J36" s="137">
        <v>1</v>
      </c>
      <c r="K36" s="80">
        <f t="shared" si="3"/>
        <v>3.6839911813794153E-2</v>
      </c>
      <c r="L36" s="56">
        <f t="shared" ref="L36:L42" si="14">IF(J36=0,K36,(100/((F36/K36)+((100-F36)/J36))))</f>
        <v>0.79274182562250994</v>
      </c>
      <c r="M36" s="7">
        <f t="shared" si="10"/>
        <v>599.52404118708512</v>
      </c>
      <c r="N36" s="7">
        <f t="shared" si="11"/>
        <v>2.7743975457708179</v>
      </c>
      <c r="O36" s="7">
        <f t="shared" si="5"/>
        <v>3.6405418445301621</v>
      </c>
      <c r="P36" s="80">
        <f t="shared" si="6"/>
        <v>483.06</v>
      </c>
      <c r="Q36" s="83">
        <f t="shared" si="7"/>
        <v>4653977.1708532013</v>
      </c>
      <c r="R36" s="10">
        <f t="shared" ref="R36:R42" si="15">+N36/K36</f>
        <v>75.309559908663687</v>
      </c>
      <c r="S36" s="852">
        <v>235.9</v>
      </c>
      <c r="T36" s="293">
        <f t="shared" si="8"/>
        <v>18872.57571311112</v>
      </c>
      <c r="U36" s="297">
        <f t="shared" si="9"/>
        <v>1758.6001434187401</v>
      </c>
    </row>
    <row r="37" spans="2:21" ht="21" customHeight="1" x14ac:dyDescent="0.2">
      <c r="B37" s="59" t="s">
        <v>651</v>
      </c>
      <c r="C37" s="68" t="s">
        <v>569</v>
      </c>
      <c r="D37" s="93" t="s">
        <v>786</v>
      </c>
      <c r="E37" s="71">
        <f>+'Exchangers Volumes'!M24</f>
        <v>309.98633485299354</v>
      </c>
      <c r="F37" s="766">
        <v>0.995</v>
      </c>
      <c r="G37" s="137">
        <v>0.83085900473281682</v>
      </c>
      <c r="H37" s="137">
        <v>23.06</v>
      </c>
      <c r="I37" s="137">
        <v>186.3</v>
      </c>
      <c r="J37" s="137">
        <v>0.995</v>
      </c>
      <c r="K37" s="80">
        <f t="shared" si="3"/>
        <v>4.0052390156057535E-2</v>
      </c>
      <c r="L37" s="56">
        <f t="shared" si="14"/>
        <v>0.80421424315109735</v>
      </c>
      <c r="M37" s="7">
        <f t="shared" si="10"/>
        <v>252.95167952982274</v>
      </c>
      <c r="N37" s="7">
        <f t="shared" si="11"/>
        <v>5.9652642098114974</v>
      </c>
      <c r="O37" s="7">
        <f t="shared" si="5"/>
        <v>7.1796347825944009</v>
      </c>
      <c r="P37" s="80">
        <f t="shared" si="6"/>
        <v>483.06</v>
      </c>
      <c r="Q37" s="83">
        <f t="shared" si="7"/>
        <v>6933944.4317217367</v>
      </c>
      <c r="R37" s="10">
        <f t="shared" si="15"/>
        <v>148.93653503745543</v>
      </c>
      <c r="S37" s="852">
        <v>235.2</v>
      </c>
      <c r="T37" s="293">
        <f t="shared" si="8"/>
        <v>37219.24010586011</v>
      </c>
      <c r="U37" s="297">
        <f t="shared" si="9"/>
        <v>3468.1943780800511</v>
      </c>
    </row>
    <row r="38" spans="2:21" ht="21" customHeight="1" x14ac:dyDescent="0.2">
      <c r="B38" s="58" t="s">
        <v>599</v>
      </c>
      <c r="C38" s="68" t="s">
        <v>600</v>
      </c>
      <c r="D38" s="92" t="s">
        <v>255</v>
      </c>
      <c r="E38" s="9">
        <f>+'Piping Volume'!O29</f>
        <v>454.06388456600547</v>
      </c>
      <c r="F38" s="937">
        <v>0.99</v>
      </c>
      <c r="G38" s="852">
        <v>0.91378842560845364</v>
      </c>
      <c r="H38" s="137">
        <v>23.06</v>
      </c>
      <c r="I38" s="137">
        <v>126</v>
      </c>
      <c r="J38" s="137">
        <v>0.99</v>
      </c>
      <c r="K38" s="80">
        <f t="shared" si="3"/>
        <v>4.3926696319592458E-2</v>
      </c>
      <c r="L38" s="56">
        <f t="shared" si="14"/>
        <v>0.81600913036950917</v>
      </c>
      <c r="M38" s="7">
        <f t="shared" si="10"/>
        <v>372.29650581724366</v>
      </c>
      <c r="N38" s="7">
        <f t="shared" si="11"/>
        <v>2.5042216273452449</v>
      </c>
      <c r="O38" s="7">
        <f>+N38/G38</f>
        <v>2.7404829796107211</v>
      </c>
      <c r="P38" s="80">
        <f t="shared" si="6"/>
        <v>483.06</v>
      </c>
      <c r="Q38" s="83">
        <f t="shared" si="7"/>
        <v>1790040.2786782649</v>
      </c>
      <c r="R38" s="10">
        <f t="shared" si="15"/>
        <v>57.009104648470831</v>
      </c>
      <c r="S38" s="852">
        <v>234.5</v>
      </c>
      <c r="T38" s="293">
        <f t="shared" si="8"/>
        <v>14206.66887839893</v>
      </c>
      <c r="U38" s="297">
        <f t="shared" si="9"/>
        <v>1323.8177081307549</v>
      </c>
    </row>
    <row r="39" spans="2:21" ht="21" customHeight="1" x14ac:dyDescent="0.2">
      <c r="B39" s="59" t="s">
        <v>240</v>
      </c>
      <c r="C39" s="68" t="s">
        <v>240</v>
      </c>
      <c r="D39" s="92" t="s">
        <v>1014</v>
      </c>
      <c r="E39" s="9">
        <f>+'Vessels Volume'!F39</f>
        <v>12439.261244465582</v>
      </c>
      <c r="F39" s="766">
        <v>0.995</v>
      </c>
      <c r="G39" s="137">
        <v>0.92471309387003919</v>
      </c>
      <c r="H39" s="137">
        <v>22.77</v>
      </c>
      <c r="I39" s="137">
        <v>109.5</v>
      </c>
      <c r="J39" s="137">
        <v>0.995</v>
      </c>
      <c r="K39" s="80">
        <f t="shared" si="3"/>
        <v>4.4300072574031714E-2</v>
      </c>
      <c r="L39" s="56">
        <f t="shared" si="14"/>
        <v>0.81992098132421365</v>
      </c>
      <c r="M39" s="7">
        <f t="shared" si="10"/>
        <v>10256.164311376717</v>
      </c>
      <c r="N39" s="7">
        <f t="shared" si="11"/>
        <v>3.7043502328815743</v>
      </c>
      <c r="O39" s="7">
        <f>+N39/G39</f>
        <v>4.00594547372354</v>
      </c>
      <c r="P39" s="80">
        <f t="shared" si="6"/>
        <v>482.77</v>
      </c>
      <c r="Q39" s="83">
        <f t="shared" si="7"/>
        <v>2272602.6018577614</v>
      </c>
      <c r="R39" s="10">
        <f t="shared" si="15"/>
        <v>83.619507094284756</v>
      </c>
      <c r="S39" s="852">
        <v>233.5</v>
      </c>
      <c r="T39" s="293">
        <f t="shared" si="8"/>
        <v>20754.361660801474</v>
      </c>
      <c r="U39" s="297">
        <f t="shared" si="9"/>
        <v>1933.9502963495133</v>
      </c>
    </row>
    <row r="40" spans="2:21" ht="21" customHeight="1" x14ac:dyDescent="0.2">
      <c r="B40" s="58" t="s">
        <v>601</v>
      </c>
      <c r="C40" s="68" t="s">
        <v>603</v>
      </c>
      <c r="D40" s="93">
        <v>223</v>
      </c>
      <c r="E40" s="71">
        <f>+'Piping Volume'!O30</f>
        <v>1084.3316646352368</v>
      </c>
      <c r="F40" s="766">
        <v>1</v>
      </c>
      <c r="G40" s="137">
        <v>0.93833379533327599</v>
      </c>
      <c r="H40" s="137">
        <v>22.47</v>
      </c>
      <c r="I40" s="137">
        <v>92.5</v>
      </c>
      <c r="J40" s="137">
        <v>1</v>
      </c>
      <c r="K40" s="80">
        <f t="shared" si="3"/>
        <v>4.4871812518981723E-2</v>
      </c>
      <c r="L40" s="56">
        <f t="shared" si="14"/>
        <v>0.82449947065303753</v>
      </c>
      <c r="M40" s="7">
        <f t="shared" si="10"/>
        <v>892.05580233792068</v>
      </c>
      <c r="N40" s="7">
        <f t="shared" si="11"/>
        <v>102.56164311376716</v>
      </c>
      <c r="O40" s="7">
        <f>+N40/G40</f>
        <v>109.301874901926</v>
      </c>
      <c r="P40" s="80">
        <f t="shared" si="6"/>
        <v>482.47</v>
      </c>
      <c r="Q40" s="83">
        <f t="shared" si="7"/>
        <v>52348438.37076886</v>
      </c>
      <c r="R40" s="10">
        <f t="shared" si="15"/>
        <v>2285.6585762026311</v>
      </c>
      <c r="S40" s="852">
        <v>232.9</v>
      </c>
      <c r="T40" s="293">
        <f t="shared" si="8"/>
        <v>565929.06346777151</v>
      </c>
      <c r="U40" s="297">
        <f t="shared" si="9"/>
        <v>52734.87558393224</v>
      </c>
    </row>
    <row r="41" spans="2:21" ht="21" customHeight="1" x14ac:dyDescent="0.2">
      <c r="B41" s="59" t="s">
        <v>193</v>
      </c>
      <c r="C41" s="68" t="s">
        <v>193</v>
      </c>
      <c r="D41" s="93" t="s">
        <v>1003</v>
      </c>
      <c r="E41" s="9">
        <f>+'Vessels Volume'!H39</f>
        <v>2130.2536574859482</v>
      </c>
      <c r="F41" s="937">
        <v>1</v>
      </c>
      <c r="G41" s="852">
        <v>0.93016716271551714</v>
      </c>
      <c r="H41" s="137">
        <v>22.47</v>
      </c>
      <c r="I41" s="137">
        <v>95.55</v>
      </c>
      <c r="J41" s="767">
        <v>1</v>
      </c>
      <c r="K41" s="80">
        <f t="shared" si="3"/>
        <v>4.4337558338067622E-2</v>
      </c>
      <c r="L41" s="56">
        <f t="shared" si="14"/>
        <v>0.82267799736163127</v>
      </c>
      <c r="M41" s="7">
        <f t="shared" si="10"/>
        <v>1749.9350379118664</v>
      </c>
      <c r="N41" s="7">
        <f t="shared" si="11"/>
        <v>8.9205580233792077</v>
      </c>
      <c r="O41" s="7">
        <f>+N41/G41</f>
        <v>9.5902740721749993</v>
      </c>
      <c r="P41" s="80">
        <f t="shared" si="6"/>
        <v>482.47</v>
      </c>
      <c r="Q41" s="83">
        <f t="shared" si="7"/>
        <v>4744561.6729333559</v>
      </c>
      <c r="R41" s="10">
        <f t="shared" si="15"/>
        <v>201.19642032069544</v>
      </c>
      <c r="S41" s="852">
        <v>232.10000000000002</v>
      </c>
      <c r="T41" s="293">
        <f t="shared" si="8"/>
        <v>49655.276535147634</v>
      </c>
      <c r="U41" s="297">
        <f t="shared" si="9"/>
        <v>4627.0195316022719</v>
      </c>
    </row>
    <row r="42" spans="2:21" ht="21" customHeight="1" x14ac:dyDescent="0.2">
      <c r="B42" s="58" t="s">
        <v>605</v>
      </c>
      <c r="C42" s="68" t="s">
        <v>606</v>
      </c>
      <c r="D42" s="93">
        <v>219</v>
      </c>
      <c r="E42" s="9">
        <f>+'Piping Volume'!O32</f>
        <v>494.72632198982683</v>
      </c>
      <c r="F42" s="766">
        <v>1</v>
      </c>
      <c r="G42" s="137">
        <v>0.92396387709178196</v>
      </c>
      <c r="H42" s="137">
        <v>22.47</v>
      </c>
      <c r="I42" s="137">
        <v>98.6</v>
      </c>
      <c r="J42" s="767">
        <v>1</v>
      </c>
      <c r="K42" s="80">
        <f t="shared" si="3"/>
        <v>4.3988335622891291E-2</v>
      </c>
      <c r="L42" s="56">
        <f t="shared" si="14"/>
        <v>0.82146791850932876</v>
      </c>
      <c r="M42" s="7">
        <f t="shared" si="10"/>
        <v>421.29000209915904</v>
      </c>
      <c r="N42" s="7">
        <f t="shared" si="11"/>
        <v>17.499350379118663</v>
      </c>
      <c r="O42" s="7">
        <f>+N42/G42</f>
        <v>18.939431305689848</v>
      </c>
      <c r="P42" s="80">
        <f t="shared" si="6"/>
        <v>482.47</v>
      </c>
      <c r="Q42" s="83">
        <f t="shared" si="7"/>
        <v>9668925.9779155403</v>
      </c>
      <c r="R42" s="10">
        <f t="shared" si="15"/>
        <v>397.81796995320042</v>
      </c>
      <c r="S42" s="852">
        <v>231.8</v>
      </c>
      <c r="T42" s="293">
        <f t="shared" si="8"/>
        <v>98062.129593463906</v>
      </c>
      <c r="U42" s="297">
        <f t="shared" si="9"/>
        <v>9137.7074220561808</v>
      </c>
    </row>
    <row r="43" spans="2:21" ht="21" customHeight="1" x14ac:dyDescent="0.2">
      <c r="B43" s="59" t="s">
        <v>197</v>
      </c>
      <c r="C43" s="68" t="s">
        <v>197</v>
      </c>
      <c r="D43" s="93" t="s">
        <v>1004</v>
      </c>
      <c r="E43" s="9">
        <v>0</v>
      </c>
      <c r="F43" s="766">
        <v>1</v>
      </c>
      <c r="G43" s="137">
        <v>1.0141417751861685</v>
      </c>
      <c r="H43" s="137">
        <v>22.47</v>
      </c>
      <c r="I43" s="137">
        <v>111.9</v>
      </c>
      <c r="J43" s="767">
        <v>1</v>
      </c>
      <c r="K43" s="80">
        <f t="shared" si="3"/>
        <v>5.4255535674209709E-2</v>
      </c>
      <c r="L43" s="56">
        <f t="shared" ref="L43:L50" si="16">IF(J43=0,K43,(100/((F43/K43)+((100-F43)/J43))))</f>
        <v>0.85156172892660864</v>
      </c>
      <c r="M43" s="7">
        <f t="shared" si="10"/>
        <v>0</v>
      </c>
      <c r="N43" s="7">
        <f t="shared" si="11"/>
        <v>4.2129000209915901</v>
      </c>
      <c r="O43" s="7">
        <f t="shared" ref="O43:O55" si="17">+N43/G43</f>
        <v>4.1541529242479118</v>
      </c>
      <c r="P43" s="80">
        <f t="shared" si="6"/>
        <v>482.47</v>
      </c>
      <c r="Q43" s="83">
        <f t="shared" si="7"/>
        <v>2406838.5151477675</v>
      </c>
      <c r="R43" s="10">
        <f t="shared" ref="R43:R50" si="18">+N43/K43</f>
        <v>77.649219911659372</v>
      </c>
      <c r="S43" s="852">
        <v>262.3</v>
      </c>
      <c r="T43" s="293">
        <f t="shared" si="8"/>
        <v>21508.833915529645</v>
      </c>
      <c r="U43" s="297">
        <f t="shared" si="9"/>
        <v>2004.2541613618901</v>
      </c>
    </row>
    <row r="44" spans="2:21" ht="21" customHeight="1" x14ac:dyDescent="0.2">
      <c r="B44" s="58" t="s">
        <v>607</v>
      </c>
      <c r="C44" s="68" t="s">
        <v>608</v>
      </c>
      <c r="D44" s="93">
        <v>201</v>
      </c>
      <c r="E44" s="9">
        <f>'Piping Volume'!O33</f>
        <v>921.68191493995141</v>
      </c>
      <c r="F44" s="766">
        <v>1</v>
      </c>
      <c r="G44" s="137">
        <v>1.0944959524340583</v>
      </c>
      <c r="H44" s="137">
        <v>22.47</v>
      </c>
      <c r="I44" s="137">
        <v>125.2</v>
      </c>
      <c r="J44" s="767">
        <v>1</v>
      </c>
      <c r="K44" s="80">
        <f t="shared" si="3"/>
        <v>6.466350639410455E-2</v>
      </c>
      <c r="L44" s="56">
        <f t="shared" si="16"/>
        <v>0.87363198730277525</v>
      </c>
      <c r="M44" s="7">
        <f t="shared" si="10"/>
        <v>805.21080301001723</v>
      </c>
      <c r="N44" s="7">
        <f t="shared" si="11"/>
        <v>0</v>
      </c>
      <c r="O44" s="7">
        <f t="shared" si="17"/>
        <v>0</v>
      </c>
      <c r="P44" s="80">
        <f t="shared" si="6"/>
        <v>482.47</v>
      </c>
      <c r="Q44" s="83">
        <f t="shared" si="7"/>
        <v>0</v>
      </c>
      <c r="R44" s="10">
        <f t="shared" si="18"/>
        <v>0</v>
      </c>
      <c r="S44" s="852">
        <v>291.2</v>
      </c>
      <c r="T44" s="293">
        <f t="shared" si="8"/>
        <v>0</v>
      </c>
      <c r="U44" s="297">
        <f t="shared" si="9"/>
        <v>0</v>
      </c>
    </row>
    <row r="45" spans="2:21" ht="21" customHeight="1" x14ac:dyDescent="0.2">
      <c r="B45" s="58" t="s">
        <v>609</v>
      </c>
      <c r="C45" s="68" t="s">
        <v>610</v>
      </c>
      <c r="D45" s="93">
        <v>201</v>
      </c>
      <c r="E45" s="9">
        <f>+'Piping Volume'!O34</f>
        <v>589.6574975749561</v>
      </c>
      <c r="F45" s="766">
        <v>1</v>
      </c>
      <c r="G45" s="137">
        <v>1.0944959524340583</v>
      </c>
      <c r="H45" s="137">
        <v>22.47</v>
      </c>
      <c r="I45" s="137">
        <v>125.2</v>
      </c>
      <c r="J45" s="767">
        <v>1</v>
      </c>
      <c r="K45" s="80">
        <f t="shared" si="3"/>
        <v>6.466350639410455E-2</v>
      </c>
      <c r="L45" s="56">
        <f t="shared" si="16"/>
        <v>0.87363198730277525</v>
      </c>
      <c r="M45" s="7">
        <f t="shared" si="10"/>
        <v>512.36874875886883</v>
      </c>
      <c r="N45" s="7">
        <f t="shared" si="11"/>
        <v>8.0521080301001717</v>
      </c>
      <c r="O45" s="7">
        <f t="shared" si="17"/>
        <v>7.3569098288513759</v>
      </c>
      <c r="P45" s="80">
        <f t="shared" si="6"/>
        <v>482.47</v>
      </c>
      <c r="Q45" s="83">
        <f t="shared" si="7"/>
        <v>4769074.9538189694</v>
      </c>
      <c r="R45" s="10">
        <f t="shared" si="18"/>
        <v>124.5232199600344</v>
      </c>
      <c r="S45" s="852">
        <v>291.2</v>
      </c>
      <c r="T45" s="293">
        <f t="shared" si="8"/>
        <v>38091.652985774519</v>
      </c>
      <c r="U45" s="297">
        <f t="shared" si="9"/>
        <v>3549.4882851259235</v>
      </c>
    </row>
    <row r="46" spans="2:21" ht="21" customHeight="1" x14ac:dyDescent="0.2">
      <c r="B46" s="59" t="s">
        <v>198</v>
      </c>
      <c r="C46" s="68" t="s">
        <v>611</v>
      </c>
      <c r="D46" s="93" t="s">
        <v>1006</v>
      </c>
      <c r="E46" s="9">
        <f>+'Exchangers Volumes'!N30</f>
        <v>201.99720550374235</v>
      </c>
      <c r="F46" s="766">
        <v>1</v>
      </c>
      <c r="G46" s="137">
        <v>1.0571508633445683</v>
      </c>
      <c r="H46" s="137">
        <v>22.47</v>
      </c>
      <c r="I46" s="137">
        <v>143.1</v>
      </c>
      <c r="J46" s="767">
        <v>1</v>
      </c>
      <c r="K46" s="80">
        <f t="shared" si="3"/>
        <v>6.2171290127970048E-2</v>
      </c>
      <c r="L46" s="56">
        <f t="shared" si="16"/>
        <v>0.86892603056189843</v>
      </c>
      <c r="M46" s="7">
        <f t="shared" si="10"/>
        <v>174.5305973964411</v>
      </c>
      <c r="N46" s="7">
        <f t="shared" si="11"/>
        <v>5.123687487588688</v>
      </c>
      <c r="O46" s="7">
        <f t="shared" si="17"/>
        <v>4.8466947010558039</v>
      </c>
      <c r="P46" s="80">
        <f t="shared" si="6"/>
        <v>482.47</v>
      </c>
      <c r="Q46" s="83">
        <f t="shared" si="7"/>
        <v>3591035.378874558</v>
      </c>
      <c r="R46" s="10">
        <f t="shared" si="18"/>
        <v>82.412436303675932</v>
      </c>
      <c r="S46" s="852">
        <v>289.79999999999995</v>
      </c>
      <c r="T46" s="293">
        <f t="shared" si="8"/>
        <v>25094.586854469315</v>
      </c>
      <c r="U46" s="297">
        <f t="shared" si="9"/>
        <v>2338.3847924183938</v>
      </c>
    </row>
    <row r="47" spans="2:21" ht="21" customHeight="1" x14ac:dyDescent="0.2">
      <c r="B47" s="58" t="s">
        <v>612</v>
      </c>
      <c r="C47" s="68" t="s">
        <v>613</v>
      </c>
      <c r="D47" s="93" t="s">
        <v>1005</v>
      </c>
      <c r="E47" s="9">
        <f>+'Piping Volume'!O35</f>
        <v>233.31661129331644</v>
      </c>
      <c r="F47" s="766">
        <v>1</v>
      </c>
      <c r="G47" s="137">
        <v>1.0212843419211761</v>
      </c>
      <c r="H47" s="137">
        <v>22.47</v>
      </c>
      <c r="I47" s="137">
        <v>161</v>
      </c>
      <c r="J47" s="767">
        <v>1</v>
      </c>
      <c r="K47" s="80">
        <f t="shared" si="3"/>
        <v>5.9746375027294733E-2</v>
      </c>
      <c r="L47" s="56">
        <f t="shared" si="16"/>
        <v>0.86402481143833254</v>
      </c>
      <c r="M47" s="7">
        <f t="shared" si="10"/>
        <v>200.71308902857425</v>
      </c>
      <c r="N47" s="7">
        <f t="shared" si="11"/>
        <v>1.745305973964411</v>
      </c>
      <c r="O47" s="7">
        <f t="shared" si="17"/>
        <v>1.7089324709328753</v>
      </c>
      <c r="P47" s="80">
        <f t="shared" si="6"/>
        <v>482.47</v>
      </c>
      <c r="Q47" s="83">
        <f t="shared" si="7"/>
        <v>1424574.4928096747</v>
      </c>
      <c r="R47" s="10">
        <f t="shared" si="18"/>
        <v>29.211914081265675</v>
      </c>
      <c r="S47" s="852">
        <v>288.2</v>
      </c>
      <c r="T47" s="293">
        <f t="shared" si="8"/>
        <v>8848.2887752153729</v>
      </c>
      <c r="U47" s="297">
        <f t="shared" si="9"/>
        <v>824.50864925098438</v>
      </c>
    </row>
    <row r="48" spans="2:21" ht="21" customHeight="1" x14ac:dyDescent="0.2">
      <c r="B48" s="59" t="s">
        <v>199</v>
      </c>
      <c r="C48" s="68" t="s">
        <v>199</v>
      </c>
      <c r="D48" s="93" t="s">
        <v>1007</v>
      </c>
      <c r="E48" s="9">
        <f>+'Vessels Volume'!I39</f>
        <v>7621.1175515093792</v>
      </c>
      <c r="F48" s="766">
        <v>1</v>
      </c>
      <c r="G48" s="137">
        <v>0.99904196994984318</v>
      </c>
      <c r="H48" s="137">
        <v>22.229406086680996</v>
      </c>
      <c r="I48" s="137">
        <v>162.845</v>
      </c>
      <c r="J48" s="767">
        <v>1</v>
      </c>
      <c r="K48" s="80">
        <f t="shared" si="3"/>
        <v>5.7991707966197764E-2</v>
      </c>
      <c r="L48" s="56">
        <f t="shared" si="16"/>
        <v>0.8602606043178197</v>
      </c>
      <c r="M48" s="7">
        <f t="shared" si="10"/>
        <v>6522.6319029850038</v>
      </c>
      <c r="N48" s="7">
        <f t="shared" si="11"/>
        <v>2.0071308902857425</v>
      </c>
      <c r="O48" s="7">
        <f t="shared" si="17"/>
        <v>2.0090556259478372</v>
      </c>
      <c r="P48" s="80">
        <f t="shared" si="6"/>
        <v>482.22940608668102</v>
      </c>
      <c r="Q48" s="83">
        <f t="shared" si="7"/>
        <v>1693106.0126343702</v>
      </c>
      <c r="R48" s="10">
        <f t="shared" si="18"/>
        <v>34.610653155027954</v>
      </c>
      <c r="S48" s="852">
        <v>285.7</v>
      </c>
      <c r="T48" s="293">
        <f t="shared" si="8"/>
        <v>10397.040207770397</v>
      </c>
      <c r="U48" s="297">
        <f t="shared" si="9"/>
        <v>968.82570129593068</v>
      </c>
    </row>
    <row r="49" spans="2:21" ht="21" customHeight="1" x14ac:dyDescent="0.2">
      <c r="B49" s="58" t="s">
        <v>614</v>
      </c>
      <c r="C49" s="68" t="s">
        <v>615</v>
      </c>
      <c r="D49" s="93">
        <v>203</v>
      </c>
      <c r="E49" s="9">
        <f>+'Piping Volume'!O36</f>
        <v>653.28651162128608</v>
      </c>
      <c r="F49" s="766">
        <v>1</v>
      </c>
      <c r="G49" s="137">
        <v>0.97517949425240669</v>
      </c>
      <c r="H49" s="137">
        <v>21.99</v>
      </c>
      <c r="I49" s="137">
        <v>164.7</v>
      </c>
      <c r="J49" s="767">
        <v>1</v>
      </c>
      <c r="K49" s="80">
        <f t="shared" si="3"/>
        <v>5.605022621442686E-2</v>
      </c>
      <c r="L49" s="56">
        <f t="shared" si="16"/>
        <v>0.85586291759706323</v>
      </c>
      <c r="M49" s="7">
        <f t="shared" si="10"/>
        <v>560.54305805425099</v>
      </c>
      <c r="N49" s="7">
        <f t="shared" si="11"/>
        <v>65.226319029850032</v>
      </c>
      <c r="O49" s="7">
        <f t="shared" si="17"/>
        <v>66.886475171274924</v>
      </c>
      <c r="P49" s="80">
        <f t="shared" si="6"/>
        <v>481.99</v>
      </c>
      <c r="Q49" s="83">
        <f t="shared" si="7"/>
        <v>56981517.242002524</v>
      </c>
      <c r="R49" s="10">
        <f t="shared" si="18"/>
        <v>1163.7119675542242</v>
      </c>
      <c r="S49" s="852">
        <v>282.60000000000002</v>
      </c>
      <c r="T49" s="293">
        <f t="shared" si="8"/>
        <v>345971.56795387086</v>
      </c>
      <c r="U49" s="297">
        <f t="shared" si="9"/>
        <v>32238.612167802799</v>
      </c>
    </row>
    <row r="50" spans="2:21" ht="21" customHeight="1" x14ac:dyDescent="0.2">
      <c r="B50" s="59" t="s">
        <v>200</v>
      </c>
      <c r="C50" s="68" t="s">
        <v>616</v>
      </c>
      <c r="D50" s="93" t="s">
        <v>1009</v>
      </c>
      <c r="E50" s="9">
        <f>+'Exchangers Volumes'!O30</f>
        <v>262.59750676809648</v>
      </c>
      <c r="F50" s="766">
        <v>0.99540000000000006</v>
      </c>
      <c r="G50" s="137">
        <v>1.0179140967494438</v>
      </c>
      <c r="H50" s="137">
        <v>22.009999999999998</v>
      </c>
      <c r="I50" s="137">
        <v>136.6</v>
      </c>
      <c r="J50" s="767">
        <v>0.99540000000000006</v>
      </c>
      <c r="K50" s="80">
        <f t="shared" si="3"/>
        <v>5.8267906636370763E-2</v>
      </c>
      <c r="L50" s="56">
        <f t="shared" si="16"/>
        <v>0.85803556032885153</v>
      </c>
      <c r="M50" s="7">
        <f t="shared" si="10"/>
        <v>225.84758918801015</v>
      </c>
      <c r="N50" s="7">
        <f t="shared" si="11"/>
        <v>5.5796455998720145</v>
      </c>
      <c r="O50" s="7">
        <f t="shared" si="17"/>
        <v>5.481450367658506</v>
      </c>
      <c r="P50" s="80">
        <f t="shared" si="6"/>
        <v>482.01</v>
      </c>
      <c r="Q50" s="83">
        <f t="shared" si="7"/>
        <v>3873167.7404214358</v>
      </c>
      <c r="R50" s="10">
        <f t="shared" si="18"/>
        <v>95.758470176260047</v>
      </c>
      <c r="S50" s="852">
        <v>281.39999999999998</v>
      </c>
      <c r="T50" s="293">
        <f t="shared" si="8"/>
        <v>28354.083019190595</v>
      </c>
      <c r="U50" s="297">
        <f t="shared" si="9"/>
        <v>2642.1138917150765</v>
      </c>
    </row>
    <row r="51" spans="2:21" ht="21" customHeight="1" x14ac:dyDescent="0.2">
      <c r="B51" s="58" t="s">
        <v>617</v>
      </c>
      <c r="C51" s="68" t="s">
        <v>618</v>
      </c>
      <c r="D51" s="93" t="s">
        <v>1008</v>
      </c>
      <c r="E51" s="9">
        <f>+'Piping Volume'!O37</f>
        <v>338.85364519851151</v>
      </c>
      <c r="F51" s="766">
        <v>0.99080000000000001</v>
      </c>
      <c r="G51" s="137">
        <v>1.0641432433186884</v>
      </c>
      <c r="H51" s="137">
        <v>22.03</v>
      </c>
      <c r="I51" s="137">
        <v>108.5</v>
      </c>
      <c r="J51" s="767">
        <v>0.99080000000000001</v>
      </c>
      <c r="K51" s="80">
        <f t="shared" si="3"/>
        <v>6.0623650950994874E-2</v>
      </c>
      <c r="L51" s="56">
        <f>IF(J51=0,K51,(100/((F51/K51)+((100-F51)/J51))))</f>
        <v>0.86005229816389428</v>
      </c>
      <c r="M51" s="7">
        <f t="shared" si="10"/>
        <v>292.34365925181385</v>
      </c>
      <c r="N51" s="7">
        <f t="shared" si="11"/>
        <v>2.2376979136748045</v>
      </c>
      <c r="O51" s="7">
        <f t="shared" si="17"/>
        <v>2.102816446680817</v>
      </c>
      <c r="P51" s="80">
        <f t="shared" si="6"/>
        <v>482.03</v>
      </c>
      <c r="Q51" s="83">
        <f t="shared" si="7"/>
        <v>1180237.0491129584</v>
      </c>
      <c r="R51" s="10">
        <f>+N51/K51</f>
        <v>36.911302413700682</v>
      </c>
      <c r="S51" s="852">
        <v>280</v>
      </c>
      <c r="T51" s="293">
        <f t="shared" si="8"/>
        <v>10877.76082131759</v>
      </c>
      <c r="U51" s="297">
        <f t="shared" si="9"/>
        <v>1013.6206117935542</v>
      </c>
    </row>
    <row r="52" spans="2:21" ht="21" customHeight="1" x14ac:dyDescent="0.2">
      <c r="B52" s="59" t="s">
        <v>201</v>
      </c>
      <c r="C52" s="68" t="s">
        <v>201</v>
      </c>
      <c r="D52" s="93" t="s">
        <v>1010</v>
      </c>
      <c r="E52" s="9">
        <f>+'Vessels Volume'!J39</f>
        <v>2058.3909323000444</v>
      </c>
      <c r="F52" s="766">
        <v>0.99540000000000006</v>
      </c>
      <c r="G52" s="137">
        <v>1.0632405089758663</v>
      </c>
      <c r="H52" s="137">
        <v>22.03</v>
      </c>
      <c r="I52" s="137">
        <v>108.5</v>
      </c>
      <c r="J52" s="767">
        <v>0.99540000000000006</v>
      </c>
      <c r="K52" s="80">
        <f t="shared" si="3"/>
        <v>6.0520838027999742E-2</v>
      </c>
      <c r="L52" s="56">
        <f>IF(J52=0,K52,(100/((F52/K52)+((100-F52)/J52))))</f>
        <v>0.86274314411034114</v>
      </c>
      <c r="M52" s="7">
        <f t="shared" si="10"/>
        <v>1781.3650144909489</v>
      </c>
      <c r="N52" s="7">
        <f t="shared" si="11"/>
        <v>2.9099887841925551</v>
      </c>
      <c r="O52" s="7">
        <f t="shared" si="17"/>
        <v>2.7369054881058963</v>
      </c>
      <c r="P52" s="80">
        <f t="shared" si="6"/>
        <v>482.03</v>
      </c>
      <c r="Q52" s="83">
        <f t="shared" si="7"/>
        <v>1536128.967453083</v>
      </c>
      <c r="R52" s="10">
        <f>+N52/K52</f>
        <v>48.082427127764817</v>
      </c>
      <c r="S52" s="852">
        <v>279.75</v>
      </c>
      <c r="T52" s="293">
        <f t="shared" si="8"/>
        <v>14157.87066777035</v>
      </c>
      <c r="U52" s="297">
        <f t="shared" si="9"/>
        <v>1319.270552431685</v>
      </c>
    </row>
    <row r="53" spans="2:21" ht="21" customHeight="1" x14ac:dyDescent="0.2">
      <c r="B53" s="58" t="s">
        <v>704</v>
      </c>
      <c r="C53" s="68" t="s">
        <v>570</v>
      </c>
      <c r="D53" s="93" t="s">
        <v>202</v>
      </c>
      <c r="E53" s="9">
        <f>'Piping Volume'!O38</f>
        <v>167.98796013118783</v>
      </c>
      <c r="F53" s="766">
        <v>1</v>
      </c>
      <c r="G53" s="137">
        <v>1.062337774633044</v>
      </c>
      <c r="H53" s="137">
        <v>22.03</v>
      </c>
      <c r="I53" s="137">
        <v>108.5</v>
      </c>
      <c r="J53" s="767">
        <v>1</v>
      </c>
      <c r="K53" s="80">
        <f>((S53+14.7)*G53)/(10.73159*P53)</f>
        <v>6.0418112360307148E-2</v>
      </c>
      <c r="L53" s="56">
        <f>IF(J53=0,K53,(100/((F53/K53)+((100-F53)/J53))))</f>
        <v>0.86541627566365786</v>
      </c>
      <c r="M53" s="7">
        <f t="shared" si="10"/>
        <v>152.18221520268963</v>
      </c>
      <c r="N53" s="7">
        <f t="shared" si="11"/>
        <v>17.813650144909488</v>
      </c>
      <c r="O53" s="7">
        <f>+N53/G53</f>
        <v>16.768348608391275</v>
      </c>
      <c r="P53" s="80">
        <f>460+H53</f>
        <v>482.03</v>
      </c>
      <c r="Q53" s="83">
        <f t="shared" si="7"/>
        <v>9411485.3967894074</v>
      </c>
      <c r="R53" s="10">
        <f>+N53/K53</f>
        <v>294.83956795400496</v>
      </c>
      <c r="S53" s="852">
        <v>279.5</v>
      </c>
      <c r="T53" s="293">
        <f>+(R53)*(S53+14.7)</f>
        <v>86741.800892068262</v>
      </c>
      <c r="U53" s="297">
        <f t="shared" si="9"/>
        <v>8082.8470797028458</v>
      </c>
    </row>
    <row r="54" spans="2:21" ht="21" customHeight="1" x14ac:dyDescent="0.2">
      <c r="B54" s="58" t="s">
        <v>619</v>
      </c>
      <c r="C54" s="68" t="s">
        <v>620</v>
      </c>
      <c r="D54" s="806">
        <v>102</v>
      </c>
      <c r="E54" s="807">
        <f>'Piping Volume'!O40</f>
        <v>10.03126098449955</v>
      </c>
      <c r="F54" s="766">
        <v>1</v>
      </c>
      <c r="G54" s="137">
        <v>1.4852976590223028</v>
      </c>
      <c r="H54" s="137">
        <v>28.05</v>
      </c>
      <c r="I54" s="137">
        <v>85</v>
      </c>
      <c r="J54" s="767">
        <v>1</v>
      </c>
      <c r="K54" s="80">
        <f t="shared" si="3"/>
        <v>8.7826649001250187E-2</v>
      </c>
      <c r="L54" s="56">
        <f>IF(J54=0,K54,(100/((F54/K54)+((100-F54)/J54))))</f>
        <v>0.90591144200956464</v>
      </c>
      <c r="M54" s="7">
        <f t="shared" si="10"/>
        <v>9.2989556012503272</v>
      </c>
      <c r="N54" s="7">
        <f t="shared" si="11"/>
        <v>1.5218221520268964</v>
      </c>
      <c r="O54" s="7">
        <f t="shared" si="17"/>
        <v>1.0245906891340797</v>
      </c>
      <c r="P54" s="80">
        <f t="shared" si="6"/>
        <v>488.05</v>
      </c>
      <c r="Q54" s="83">
        <f t="shared" si="7"/>
        <v>456139.53961128334</v>
      </c>
      <c r="R54" s="10">
        <f>+N54/K54</f>
        <v>17.32756708052511</v>
      </c>
      <c r="S54" s="852">
        <v>295</v>
      </c>
      <c r="T54" s="293">
        <f t="shared" si="8"/>
        <v>5366.3475248386267</v>
      </c>
      <c r="U54" s="297">
        <f t="shared" si="9"/>
        <v>500.05148583188759</v>
      </c>
    </row>
    <row r="55" spans="2:21" ht="21" customHeight="1" x14ac:dyDescent="0.2">
      <c r="B55" s="58" t="s">
        <v>621</v>
      </c>
      <c r="C55" s="68" t="s">
        <v>622</v>
      </c>
      <c r="D55" s="808">
        <v>101</v>
      </c>
      <c r="E55" s="71">
        <v>10</v>
      </c>
      <c r="F55" s="766">
        <v>1</v>
      </c>
      <c r="G55" s="137">
        <v>1.8044466524882281</v>
      </c>
      <c r="H55" s="137">
        <v>32.01</v>
      </c>
      <c r="I55" s="137">
        <v>85</v>
      </c>
      <c r="J55" s="767">
        <v>1</v>
      </c>
      <c r="K55" s="80">
        <f t="shared" si="3"/>
        <v>0.11267433203417891</v>
      </c>
      <c r="L55" s="56">
        <f>IF(J55=0,K55,(100/((F55/K55)+((100-F55)/J55))))</f>
        <v>0.9269976741328142</v>
      </c>
      <c r="M55" s="7">
        <f t="shared" si="10"/>
        <v>0</v>
      </c>
      <c r="N55" s="7">
        <f t="shared" si="11"/>
        <v>9.2989556012503277E-2</v>
      </c>
      <c r="O55" s="7">
        <f t="shared" si="17"/>
        <v>5.1533557882842383E-2</v>
      </c>
      <c r="P55" s="80">
        <f t="shared" si="6"/>
        <v>492.01</v>
      </c>
      <c r="Q55" s="83">
        <f t="shared" si="7"/>
        <v>23128.47802534025</v>
      </c>
      <c r="R55" s="10">
        <f>+N55/K55</f>
        <v>0.82529493926172637</v>
      </c>
      <c r="S55" s="852">
        <v>315</v>
      </c>
      <c r="T55" s="293">
        <f t="shared" si="8"/>
        <v>272.09974147459116</v>
      </c>
      <c r="U55" s="297">
        <f t="shared" si="9"/>
        <v>25.355025813937281</v>
      </c>
    </row>
    <row r="56" spans="2:21" ht="21" hidden="1" customHeight="1" x14ac:dyDescent="0.2">
      <c r="B56" s="59"/>
      <c r="C56" s="68"/>
      <c r="D56" s="808"/>
      <c r="E56" s="9"/>
      <c r="F56" s="9"/>
      <c r="G56" s="9"/>
      <c r="H56" s="9"/>
      <c r="I56" s="20"/>
      <c r="J56" s="8"/>
      <c r="K56" s="80"/>
      <c r="L56" s="56"/>
      <c r="M56" s="7"/>
      <c r="N56" s="7"/>
      <c r="O56" s="7"/>
      <c r="P56" s="80"/>
      <c r="Q56" s="83"/>
      <c r="R56" s="10"/>
      <c r="S56" s="71"/>
      <c r="T56" s="293"/>
      <c r="U56" s="297"/>
    </row>
    <row r="57" spans="2:21" ht="21" hidden="1" customHeight="1" x14ac:dyDescent="0.2">
      <c r="B57" s="58"/>
      <c r="C57" s="68"/>
      <c r="D57" s="808"/>
      <c r="E57" s="9"/>
      <c r="F57" s="9"/>
      <c r="G57" s="9"/>
      <c r="H57" s="9"/>
      <c r="I57" s="20"/>
      <c r="J57" s="8"/>
      <c r="K57" s="80"/>
      <c r="L57" s="56"/>
      <c r="M57" s="7"/>
      <c r="N57" s="7"/>
      <c r="O57" s="7"/>
      <c r="P57" s="80"/>
      <c r="Q57" s="83"/>
      <c r="R57" s="10"/>
      <c r="S57" s="71"/>
      <c r="T57" s="293"/>
      <c r="U57" s="297"/>
    </row>
    <row r="58" spans="2:21" ht="21" hidden="1" customHeight="1" x14ac:dyDescent="0.2">
      <c r="B58" s="59"/>
      <c r="C58" s="68"/>
      <c r="D58" s="808"/>
      <c r="E58" s="9"/>
      <c r="F58" s="9"/>
      <c r="G58" s="9"/>
      <c r="H58" s="9"/>
      <c r="I58" s="20"/>
      <c r="J58" s="8"/>
      <c r="K58" s="80"/>
      <c r="L58" s="56"/>
      <c r="M58" s="7"/>
      <c r="N58" s="7"/>
      <c r="O58" s="7"/>
      <c r="P58" s="80"/>
      <c r="Q58" s="83"/>
      <c r="R58" s="10"/>
      <c r="S58" s="71"/>
      <c r="T58" s="293"/>
      <c r="U58" s="297"/>
    </row>
    <row r="59" spans="2:21" ht="21" hidden="1" customHeight="1" x14ac:dyDescent="0.2">
      <c r="B59" s="58"/>
      <c r="C59" s="68"/>
      <c r="D59" s="808"/>
      <c r="E59" s="9"/>
      <c r="F59" s="9"/>
      <c r="G59" s="9"/>
      <c r="H59" s="9"/>
      <c r="I59" s="20"/>
      <c r="J59" s="8"/>
      <c r="K59" s="80"/>
      <c r="L59" s="56"/>
      <c r="M59" s="7"/>
      <c r="N59" s="7"/>
      <c r="O59" s="7"/>
      <c r="P59" s="80"/>
      <c r="Q59" s="83"/>
      <c r="R59" s="10"/>
      <c r="S59" s="71"/>
      <c r="T59" s="293"/>
      <c r="U59" s="297"/>
    </row>
    <row r="60" spans="2:21" ht="21" hidden="1" customHeight="1" x14ac:dyDescent="0.2">
      <c r="B60" s="59"/>
      <c r="C60" s="68"/>
      <c r="D60" s="808"/>
      <c r="E60" s="9"/>
      <c r="F60" s="9"/>
      <c r="G60" s="9"/>
      <c r="H60" s="9"/>
      <c r="I60" s="20"/>
      <c r="J60" s="8"/>
      <c r="K60" s="80"/>
      <c r="L60" s="56"/>
      <c r="M60" s="7"/>
      <c r="N60" s="7"/>
      <c r="O60" s="7"/>
      <c r="P60" s="80"/>
      <c r="Q60" s="83"/>
      <c r="R60" s="10"/>
      <c r="S60" s="71"/>
      <c r="T60" s="293"/>
      <c r="U60" s="297"/>
    </row>
    <row r="61" spans="2:21" ht="21" hidden="1" customHeight="1" x14ac:dyDescent="0.2">
      <c r="B61" s="58"/>
      <c r="C61" s="68"/>
      <c r="D61" s="808"/>
      <c r="E61" s="9"/>
      <c r="F61" s="9"/>
      <c r="G61" s="9"/>
      <c r="H61" s="9"/>
      <c r="I61" s="20"/>
      <c r="J61" s="8"/>
      <c r="K61" s="80"/>
      <c r="L61" s="56"/>
      <c r="M61" s="7"/>
      <c r="N61" s="7"/>
      <c r="O61" s="7"/>
      <c r="P61" s="80"/>
      <c r="Q61" s="83"/>
      <c r="R61" s="10"/>
      <c r="S61" s="71"/>
      <c r="T61" s="293"/>
      <c r="U61" s="297"/>
    </row>
    <row r="62" spans="2:21" ht="21" hidden="1" customHeight="1" x14ac:dyDescent="0.2">
      <c r="B62" s="59"/>
      <c r="C62" s="68"/>
      <c r="D62" s="808"/>
      <c r="E62" s="9"/>
      <c r="F62" s="9"/>
      <c r="G62" s="9"/>
      <c r="H62" s="9"/>
      <c r="I62" s="20"/>
      <c r="J62" s="8"/>
      <c r="K62" s="80"/>
      <c r="L62" s="56"/>
      <c r="M62" s="7"/>
      <c r="N62" s="7"/>
      <c r="O62" s="7"/>
      <c r="P62" s="80"/>
      <c r="Q62" s="83"/>
      <c r="R62" s="10"/>
      <c r="S62" s="71"/>
      <c r="T62" s="293"/>
      <c r="U62" s="297"/>
    </row>
    <row r="63" spans="2:21" ht="21" hidden="1" customHeight="1" x14ac:dyDescent="0.2">
      <c r="B63" s="58"/>
      <c r="C63" s="68"/>
      <c r="D63" s="808"/>
      <c r="E63" s="9"/>
      <c r="F63" s="9"/>
      <c r="G63" s="9"/>
      <c r="H63" s="9"/>
      <c r="I63" s="20"/>
      <c r="J63" s="8"/>
      <c r="K63" s="80"/>
      <c r="L63" s="56"/>
      <c r="M63" s="7"/>
      <c r="N63" s="7"/>
      <c r="O63" s="7"/>
      <c r="P63" s="80"/>
      <c r="Q63" s="83"/>
      <c r="R63" s="10"/>
      <c r="S63" s="71"/>
      <c r="T63" s="293"/>
      <c r="U63" s="297"/>
    </row>
    <row r="64" spans="2:21" ht="21" hidden="1" customHeight="1" x14ac:dyDescent="0.2">
      <c r="B64" s="59"/>
      <c r="C64" s="68"/>
      <c r="D64" s="808"/>
      <c r="E64" s="9"/>
      <c r="F64" s="9"/>
      <c r="G64" s="9"/>
      <c r="H64" s="9"/>
      <c r="I64" s="20"/>
      <c r="J64" s="8"/>
      <c r="K64" s="80"/>
      <c r="L64" s="56"/>
      <c r="M64" s="7"/>
      <c r="N64" s="7"/>
      <c r="O64" s="7"/>
      <c r="P64" s="80"/>
      <c r="Q64" s="83"/>
      <c r="R64" s="10"/>
      <c r="S64" s="71"/>
      <c r="T64" s="293"/>
      <c r="U64" s="297"/>
    </row>
    <row r="65" spans="2:21" ht="21" hidden="1" customHeight="1" x14ac:dyDescent="0.2">
      <c r="B65" s="58"/>
      <c r="C65" s="68"/>
      <c r="D65" s="808"/>
      <c r="E65" s="9"/>
      <c r="F65" s="9"/>
      <c r="G65" s="9"/>
      <c r="H65" s="9"/>
      <c r="I65" s="20"/>
      <c r="J65" s="8"/>
      <c r="K65" s="80"/>
      <c r="L65" s="56"/>
      <c r="M65" s="7"/>
      <c r="N65" s="7"/>
      <c r="O65" s="7"/>
      <c r="P65" s="80"/>
      <c r="Q65" s="83"/>
      <c r="R65" s="10"/>
      <c r="S65" s="71"/>
      <c r="T65" s="293"/>
      <c r="U65" s="297"/>
    </row>
    <row r="66" spans="2:21" ht="21" hidden="1" customHeight="1" x14ac:dyDescent="0.2">
      <c r="B66" s="58"/>
      <c r="C66" s="68"/>
      <c r="D66" s="808"/>
      <c r="E66" s="9"/>
      <c r="F66" s="9"/>
      <c r="G66" s="9"/>
      <c r="H66" s="9"/>
      <c r="I66" s="20"/>
      <c r="J66" s="8"/>
      <c r="K66" s="80"/>
      <c r="L66" s="56"/>
      <c r="M66" s="7"/>
      <c r="N66" s="7"/>
      <c r="O66" s="7"/>
      <c r="P66" s="80"/>
      <c r="Q66" s="83"/>
      <c r="R66" s="10"/>
      <c r="S66" s="72"/>
      <c r="T66" s="293"/>
      <c r="U66" s="297"/>
    </row>
    <row r="67" spans="2:21" ht="21" hidden="1" customHeight="1" x14ac:dyDescent="0.2">
      <c r="B67" s="58"/>
      <c r="C67" s="68"/>
      <c r="D67" s="808"/>
      <c r="E67" s="9"/>
      <c r="F67" s="9"/>
      <c r="G67" s="9"/>
      <c r="H67" s="9"/>
      <c r="I67" s="20"/>
      <c r="J67" s="8"/>
      <c r="K67" s="80"/>
      <c r="L67" s="56"/>
      <c r="M67" s="7"/>
      <c r="N67" s="7"/>
      <c r="O67" s="7"/>
      <c r="P67" s="80"/>
      <c r="Q67" s="83"/>
      <c r="R67" s="10"/>
      <c r="S67" s="72"/>
      <c r="T67" s="293"/>
      <c r="U67" s="297"/>
    </row>
    <row r="68" spans="2:21" ht="21" hidden="1" customHeight="1" x14ac:dyDescent="0.2">
      <c r="B68" s="58"/>
      <c r="C68" s="68"/>
      <c r="D68" s="808"/>
      <c r="E68" s="9"/>
      <c r="F68" s="9"/>
      <c r="G68" s="9"/>
      <c r="H68" s="9"/>
      <c r="I68" s="20"/>
      <c r="J68" s="8"/>
      <c r="K68" s="80"/>
      <c r="L68" s="56"/>
      <c r="M68" s="7"/>
      <c r="N68" s="7"/>
      <c r="O68" s="7"/>
      <c r="P68" s="80"/>
      <c r="Q68" s="83"/>
      <c r="R68" s="10"/>
      <c r="S68" s="72"/>
      <c r="T68" s="293"/>
      <c r="U68" s="297"/>
    </row>
    <row r="69" spans="2:21" ht="21" hidden="1" customHeight="1" x14ac:dyDescent="0.2">
      <c r="B69" s="58"/>
      <c r="C69" s="68"/>
      <c r="D69" s="808"/>
      <c r="E69" s="9"/>
      <c r="F69" s="9"/>
      <c r="G69" s="9"/>
      <c r="H69" s="9"/>
      <c r="I69" s="20"/>
      <c r="J69" s="8"/>
      <c r="K69" s="80"/>
      <c r="L69" s="56"/>
      <c r="M69" s="7"/>
      <c r="N69" s="7"/>
      <c r="O69" s="7"/>
      <c r="P69" s="80"/>
      <c r="Q69" s="83"/>
      <c r="R69" s="10"/>
      <c r="S69" s="72"/>
      <c r="T69" s="293"/>
      <c r="U69" s="297"/>
    </row>
    <row r="70" spans="2:21" ht="21" hidden="1" customHeight="1" x14ac:dyDescent="0.2">
      <c r="B70" s="58"/>
      <c r="C70" s="68"/>
      <c r="D70" s="808"/>
      <c r="E70" s="9"/>
      <c r="F70" s="9"/>
      <c r="G70" s="9"/>
      <c r="H70" s="9"/>
      <c r="I70" s="20"/>
      <c r="J70" s="8"/>
      <c r="K70" s="80"/>
      <c r="L70" s="56"/>
      <c r="M70" s="7"/>
      <c r="N70" s="7"/>
      <c r="O70" s="7"/>
      <c r="P70" s="80"/>
      <c r="Q70" s="83"/>
      <c r="R70" s="10"/>
      <c r="S70" s="72"/>
      <c r="T70" s="293"/>
      <c r="U70" s="297"/>
    </row>
    <row r="71" spans="2:21" ht="21" hidden="1" customHeight="1" x14ac:dyDescent="0.2">
      <c r="B71" s="58"/>
      <c r="C71" s="68"/>
      <c r="D71" s="808"/>
      <c r="E71" s="9"/>
      <c r="F71" s="9"/>
      <c r="G71" s="9"/>
      <c r="H71" s="9"/>
      <c r="I71" s="20"/>
      <c r="J71" s="8"/>
      <c r="K71" s="80"/>
      <c r="L71" s="56"/>
      <c r="M71" s="7"/>
      <c r="N71" s="7"/>
      <c r="O71" s="7"/>
      <c r="P71" s="80"/>
      <c r="Q71" s="83"/>
      <c r="R71" s="10"/>
      <c r="S71" s="72"/>
      <c r="T71" s="293"/>
      <c r="U71" s="297"/>
    </row>
    <row r="72" spans="2:21" ht="21" hidden="1" customHeight="1" x14ac:dyDescent="0.2">
      <c r="B72" s="59"/>
      <c r="C72" s="68"/>
      <c r="D72" s="808"/>
      <c r="E72" s="9"/>
      <c r="F72" s="9"/>
      <c r="G72" s="9"/>
      <c r="H72" s="9"/>
      <c r="I72" s="20"/>
      <c r="J72" s="8"/>
      <c r="K72" s="80"/>
      <c r="L72" s="56"/>
      <c r="M72" s="7"/>
      <c r="N72" s="7"/>
      <c r="O72" s="7"/>
      <c r="P72" s="80"/>
      <c r="Q72" s="83"/>
      <c r="R72" s="10"/>
      <c r="S72" s="71"/>
      <c r="T72" s="293"/>
      <c r="U72" s="297"/>
    </row>
    <row r="73" spans="2:21" ht="21" hidden="1" customHeight="1" x14ac:dyDescent="0.2">
      <c r="B73" s="58"/>
      <c r="C73" s="68"/>
      <c r="D73" s="808"/>
      <c r="E73" s="9"/>
      <c r="F73" s="9"/>
      <c r="G73" s="9"/>
      <c r="H73" s="9"/>
      <c r="I73" s="20"/>
      <c r="J73" s="8"/>
      <c r="K73" s="80"/>
      <c r="L73" s="56"/>
      <c r="M73" s="7"/>
      <c r="N73" s="7"/>
      <c r="O73" s="7"/>
      <c r="P73" s="80"/>
      <c r="Q73" s="83"/>
      <c r="R73" s="10"/>
      <c r="S73" s="71"/>
      <c r="T73" s="293"/>
      <c r="U73" s="297"/>
    </row>
    <row r="74" spans="2:21" ht="21" hidden="1" customHeight="1" x14ac:dyDescent="0.2">
      <c r="B74" s="58"/>
      <c r="C74" s="68"/>
      <c r="D74" s="808"/>
      <c r="E74" s="9"/>
      <c r="F74" s="9"/>
      <c r="G74" s="9"/>
      <c r="H74" s="9"/>
      <c r="I74" s="20"/>
      <c r="J74" s="8"/>
      <c r="K74" s="80"/>
      <c r="L74" s="56"/>
      <c r="M74" s="7"/>
      <c r="N74" s="7"/>
      <c r="O74" s="7"/>
      <c r="P74" s="80"/>
      <c r="Q74" s="83"/>
      <c r="R74" s="10"/>
      <c r="S74" s="71"/>
      <c r="T74" s="293"/>
      <c r="U74" s="297"/>
    </row>
    <row r="75" spans="2:21" ht="21" hidden="1" customHeight="1" x14ac:dyDescent="0.2">
      <c r="B75" s="60"/>
      <c r="C75" s="68"/>
      <c r="D75" s="808"/>
      <c r="E75" s="9"/>
      <c r="F75" s="9"/>
      <c r="G75" s="9"/>
      <c r="H75" s="9"/>
      <c r="I75" s="20"/>
      <c r="J75" s="8"/>
      <c r="K75" s="80"/>
      <c r="L75" s="56"/>
      <c r="M75" s="7"/>
      <c r="N75" s="7"/>
      <c r="O75" s="7"/>
      <c r="P75" s="80"/>
      <c r="Q75" s="83"/>
      <c r="R75" s="10"/>
      <c r="S75" s="71"/>
      <c r="T75" s="293"/>
      <c r="U75" s="297"/>
    </row>
    <row r="76" spans="2:21" ht="21" hidden="1" customHeight="1" x14ac:dyDescent="0.2">
      <c r="B76" s="60"/>
      <c r="C76" s="68"/>
      <c r="D76" s="808"/>
      <c r="E76" s="9"/>
      <c r="F76" s="9"/>
      <c r="G76" s="9"/>
      <c r="H76" s="9"/>
      <c r="I76" s="20"/>
      <c r="J76" s="8"/>
      <c r="K76" s="80"/>
      <c r="L76" s="56"/>
      <c r="M76" s="7"/>
      <c r="N76" s="7"/>
      <c r="O76" s="7"/>
      <c r="P76" s="80"/>
      <c r="Q76" s="83"/>
      <c r="R76" s="10"/>
      <c r="S76" s="71"/>
      <c r="T76" s="293"/>
      <c r="U76" s="297"/>
    </row>
    <row r="77" spans="2:21" ht="21" hidden="1" customHeight="1" thickBot="1" x14ac:dyDescent="0.25">
      <c r="B77" s="60"/>
      <c r="C77" s="68"/>
      <c r="D77" s="808"/>
      <c r="E77" s="71"/>
      <c r="F77" s="9"/>
      <c r="G77" s="9"/>
      <c r="H77" s="9"/>
      <c r="I77" s="20"/>
      <c r="J77" s="8"/>
      <c r="K77" s="80"/>
      <c r="L77" s="56"/>
      <c r="M77" s="804"/>
      <c r="N77" s="7"/>
      <c r="O77" s="7"/>
      <c r="P77" s="80"/>
      <c r="Q77" s="83"/>
      <c r="R77" s="10"/>
      <c r="S77" s="71"/>
      <c r="T77" s="293"/>
      <c r="U77" s="297"/>
    </row>
    <row r="78" spans="2:21" ht="21" customHeight="1" thickBot="1" x14ac:dyDescent="0.25">
      <c r="B78" s="67" t="s">
        <v>47</v>
      </c>
      <c r="C78" s="95"/>
      <c r="D78" s="809"/>
      <c r="E78" s="805"/>
      <c r="F78" s="21"/>
      <c r="G78" s="21"/>
      <c r="H78" s="21"/>
      <c r="I78" s="23"/>
      <c r="J78" s="70"/>
      <c r="K78" s="57"/>
      <c r="L78" s="57"/>
      <c r="M78" s="18"/>
      <c r="N78" s="18"/>
      <c r="O78" s="18">
        <f>SUM(O14:O77)</f>
        <v>369.03823283130498</v>
      </c>
      <c r="P78" s="22"/>
      <c r="Q78" s="24"/>
      <c r="R78" s="19"/>
      <c r="S78" s="77"/>
      <c r="T78" s="294"/>
      <c r="U78" s="298">
        <f>SUM(U14:U77)</f>
        <v>178205.12053153804</v>
      </c>
    </row>
    <row r="79" spans="2:21" ht="20.100000000000001" customHeight="1" thickBot="1" x14ac:dyDescent="0.25">
      <c r="B79" s="253"/>
      <c r="C79" s="51"/>
      <c r="D79" s="1"/>
      <c r="E79" s="1"/>
      <c r="F79" s="1"/>
      <c r="G79" s="1"/>
      <c r="H79" s="1"/>
      <c r="I79" s="1"/>
      <c r="J79" s="1"/>
      <c r="K79" s="1"/>
      <c r="L79" s="1"/>
      <c r="M79" s="1"/>
      <c r="N79" s="1"/>
      <c r="O79" s="1"/>
      <c r="P79" s="1"/>
      <c r="Q79" s="254" t="s">
        <v>70</v>
      </c>
      <c r="R79" s="254"/>
      <c r="S79" s="254"/>
      <c r="T79" s="254" t="s">
        <v>71</v>
      </c>
      <c r="U79" s="302"/>
    </row>
    <row r="80" spans="2:21" ht="20.100000000000001" customHeight="1" thickBot="1" x14ac:dyDescent="0.25">
      <c r="B80" s="1282" t="s">
        <v>48</v>
      </c>
      <c r="C80" s="1283"/>
      <c r="D80" s="1284"/>
      <c r="E80" s="27">
        <f>SUM(E14:E77)</f>
        <v>42100.362089076072</v>
      </c>
      <c r="F80" s="255" t="s">
        <v>213</v>
      </c>
      <c r="G80" s="1"/>
      <c r="H80" s="1"/>
      <c r="I80" s="1"/>
      <c r="J80" s="1"/>
      <c r="K80" s="1"/>
      <c r="L80" s="1"/>
      <c r="M80" s="1"/>
      <c r="N80" s="256"/>
      <c r="O80" s="255"/>
      <c r="P80" s="255" t="s">
        <v>47</v>
      </c>
      <c r="Q80" s="54">
        <f>SUM(Q14:Q78)</f>
        <v>376359919.31627011</v>
      </c>
      <c r="R80" s="54">
        <f>SUM(R14:R78)</f>
        <v>7223.7259010152275</v>
      </c>
      <c r="S80" s="257"/>
      <c r="T80" s="54">
        <f>SUM(T14:T78)</f>
        <v>1912424.289445048</v>
      </c>
      <c r="U80" s="267"/>
    </row>
    <row r="81" spans="2:28" ht="20.100000000000001" customHeight="1" thickBot="1" x14ac:dyDescent="0.25">
      <c r="B81" s="258"/>
      <c r="C81" s="259"/>
      <c r="D81" s="260"/>
      <c r="E81" s="261"/>
      <c r="F81" s="255"/>
      <c r="G81" s="1"/>
      <c r="H81" s="1"/>
      <c r="I81" s="1"/>
      <c r="J81" s="1"/>
      <c r="K81" s="1"/>
      <c r="L81" s="1"/>
      <c r="M81" s="1"/>
      <c r="N81" s="256"/>
      <c r="O81" s="255"/>
      <c r="P81" s="255"/>
      <c r="Q81" s="255"/>
      <c r="R81" s="255"/>
      <c r="S81" s="255"/>
      <c r="T81" s="255"/>
      <c r="U81" s="264"/>
    </row>
    <row r="82" spans="2:28" ht="20.100000000000001" customHeight="1" thickBot="1" x14ac:dyDescent="0.25">
      <c r="B82" s="1282" t="s">
        <v>49</v>
      </c>
      <c r="C82" s="1283"/>
      <c r="D82" s="1284"/>
      <c r="E82" s="54">
        <f>'Piping Volume'!O41</f>
        <v>10447.661769601813</v>
      </c>
      <c r="F82" s="255" t="s">
        <v>213</v>
      </c>
      <c r="G82" s="1"/>
      <c r="H82" s="1"/>
      <c r="I82" s="1"/>
      <c r="J82" s="1"/>
      <c r="K82" s="1"/>
      <c r="L82" s="1"/>
      <c r="M82" s="255" t="s">
        <v>52</v>
      </c>
      <c r="N82" s="1"/>
      <c r="O82" s="1"/>
      <c r="P82" s="255"/>
      <c r="Q82" s="255"/>
      <c r="R82" s="255"/>
      <c r="S82" s="117">
        <f>(Q80+T80)/(2*R80)</f>
        <v>26182.634058177133</v>
      </c>
      <c r="T82" s="255" t="s">
        <v>214</v>
      </c>
      <c r="U82" s="264"/>
    </row>
    <row r="83" spans="2:28" ht="20.100000000000001" customHeight="1" thickBot="1" x14ac:dyDescent="0.25">
      <c r="B83" s="253"/>
      <c r="C83" s="51"/>
      <c r="D83" s="1"/>
      <c r="E83" s="1"/>
      <c r="F83" s="1"/>
      <c r="G83" s="1"/>
      <c r="H83" s="1"/>
      <c r="I83" s="1"/>
      <c r="J83" s="1"/>
      <c r="K83" s="1"/>
      <c r="L83" s="1"/>
      <c r="M83" s="1"/>
      <c r="N83" s="1"/>
      <c r="O83" s="288"/>
      <c r="P83" s="288"/>
      <c r="Q83" s="288"/>
      <c r="R83" s="288"/>
      <c r="S83" s="117">
        <f>CEILING((S82-14.7),5)</f>
        <v>26170</v>
      </c>
      <c r="T83" s="255" t="s">
        <v>215</v>
      </c>
      <c r="U83" s="264"/>
    </row>
    <row r="84" spans="2:28" ht="20.100000000000001" customHeight="1" thickBot="1" x14ac:dyDescent="0.25">
      <c r="B84" s="253"/>
      <c r="C84" s="51"/>
      <c r="D84" s="1"/>
      <c r="E84" s="1"/>
      <c r="F84" s="1"/>
      <c r="G84" s="1"/>
      <c r="H84" s="1"/>
      <c r="I84" s="1"/>
      <c r="J84" s="1"/>
      <c r="K84" s="1"/>
      <c r="L84" s="1"/>
      <c r="M84" s="290" t="s">
        <v>707</v>
      </c>
      <c r="N84" s="1"/>
      <c r="O84" s="288"/>
      <c r="P84" s="288"/>
      <c r="Q84" s="288"/>
      <c r="R84" s="288"/>
      <c r="S84" s="117">
        <f>U78/O78</f>
        <v>482.89067277481598</v>
      </c>
      <c r="T84" s="255" t="s">
        <v>209</v>
      </c>
      <c r="U84" s="264"/>
    </row>
    <row r="85" spans="2:28" ht="20.100000000000001" customHeight="1" thickBot="1" x14ac:dyDescent="0.25">
      <c r="B85" s="269"/>
      <c r="C85" s="270"/>
      <c r="D85" s="271"/>
      <c r="E85" s="271"/>
      <c r="F85" s="271"/>
      <c r="G85" s="271"/>
      <c r="H85" s="271"/>
      <c r="I85" s="271"/>
      <c r="J85" s="271"/>
      <c r="K85" s="271"/>
      <c r="L85" s="271"/>
      <c r="M85" s="271"/>
      <c r="N85" s="271"/>
      <c r="O85" s="271"/>
      <c r="P85" s="271"/>
      <c r="Q85" s="271"/>
      <c r="R85" s="271"/>
      <c r="S85" s="117">
        <f>S84-460</f>
        <v>22.890672774815982</v>
      </c>
      <c r="T85" s="304" t="s">
        <v>706</v>
      </c>
      <c r="U85" s="305"/>
    </row>
    <row r="86" spans="2:28" ht="20.100000000000001" customHeight="1" x14ac:dyDescent="0.2">
      <c r="B86" s="253"/>
      <c r="C86" s="51"/>
      <c r="D86" s="262"/>
      <c r="E86" s="263"/>
      <c r="F86" s="260"/>
      <c r="G86" s="1"/>
      <c r="H86" s="1"/>
      <c r="I86" s="1"/>
      <c r="J86" s="1"/>
      <c r="K86" s="1"/>
      <c r="L86" s="1"/>
      <c r="M86" s="1"/>
      <c r="N86" s="1"/>
      <c r="O86" s="1"/>
      <c r="P86" s="1"/>
      <c r="Q86" s="1"/>
      <c r="R86" s="1"/>
      <c r="S86" s="289"/>
      <c r="T86" s="300"/>
      <c r="U86" s="264"/>
    </row>
    <row r="87" spans="2:28" ht="20.100000000000001" customHeight="1" x14ac:dyDescent="0.2">
      <c r="B87" s="253"/>
      <c r="C87" s="51"/>
      <c r="D87" s="262"/>
      <c r="E87" s="265"/>
      <c r="F87" s="260"/>
      <c r="G87" s="1"/>
      <c r="H87" s="1"/>
      <c r="I87" s="1"/>
      <c r="J87" s="1"/>
      <c r="K87" s="1"/>
      <c r="L87" s="1"/>
      <c r="M87" s="1"/>
      <c r="N87" s="255"/>
      <c r="O87" s="1"/>
      <c r="P87" s="1"/>
      <c r="Q87" s="1"/>
      <c r="R87" s="1"/>
      <c r="S87" s="266"/>
      <c r="T87" s="1"/>
      <c r="U87" s="264"/>
    </row>
    <row r="88" spans="2:28" ht="20.100000000000001" customHeight="1" x14ac:dyDescent="0.2">
      <c r="B88" s="253"/>
      <c r="C88" s="51"/>
      <c r="D88" s="1"/>
      <c r="E88" s="262"/>
      <c r="F88" s="262"/>
      <c r="G88" s="262"/>
      <c r="H88" s="1"/>
      <c r="I88" s="1"/>
      <c r="J88" s="1"/>
      <c r="K88" s="51"/>
      <c r="L88" s="51"/>
      <c r="M88" s="51"/>
      <c r="N88" s="51"/>
      <c r="O88" s="51"/>
      <c r="P88" s="51"/>
      <c r="Q88" s="51"/>
      <c r="R88" s="51"/>
      <c r="S88" s="51"/>
      <c r="T88" s="51"/>
      <c r="U88" s="267"/>
      <c r="V88" s="51"/>
      <c r="W88" s="51"/>
      <c r="X88" s="51"/>
      <c r="Y88" s="51"/>
      <c r="Z88" s="51"/>
      <c r="AA88" s="51"/>
      <c r="AB88" s="51"/>
    </row>
    <row r="89" spans="2:28" ht="20.100000000000001" customHeight="1" x14ac:dyDescent="0.2">
      <c r="B89" s="253"/>
      <c r="C89" s="51"/>
      <c r="D89" s="1"/>
      <c r="E89" s="266"/>
      <c r="F89" s="268"/>
      <c r="G89" s="268"/>
      <c r="H89" s="260"/>
      <c r="I89" s="1"/>
      <c r="J89" s="1"/>
      <c r="K89" s="51"/>
      <c r="L89" s="51"/>
      <c r="M89" s="51"/>
      <c r="N89" s="51"/>
      <c r="O89" s="51"/>
      <c r="P89" s="51"/>
      <c r="Q89" s="51"/>
      <c r="R89" s="51"/>
      <c r="S89" s="51"/>
      <c r="T89" s="51"/>
      <c r="U89" s="267"/>
      <c r="V89" s="51"/>
      <c r="W89" s="51"/>
      <c r="X89" s="51"/>
      <c r="Y89" s="51"/>
      <c r="Z89" s="51"/>
      <c r="AA89" s="51"/>
      <c r="AB89" s="51"/>
    </row>
    <row r="90" spans="2:28" ht="20.100000000000001" customHeight="1" thickBot="1" x14ac:dyDescent="0.35">
      <c r="B90" s="269"/>
      <c r="C90" s="270"/>
      <c r="D90" s="271"/>
      <c r="E90" s="272"/>
      <c r="F90" s="273"/>
      <c r="G90" s="273"/>
      <c r="H90" s="274"/>
      <c r="I90" s="271"/>
      <c r="J90" s="271"/>
      <c r="K90" s="270"/>
      <c r="L90" s="275"/>
      <c r="M90" s="275"/>
      <c r="N90" s="276"/>
      <c r="O90" s="276"/>
      <c r="P90" s="276"/>
      <c r="Q90" s="276"/>
      <c r="R90" s="277"/>
      <c r="S90" s="278"/>
      <c r="T90" s="301"/>
      <c r="U90" s="303"/>
      <c r="V90" s="51"/>
      <c r="W90" s="51"/>
      <c r="X90" s="51"/>
      <c r="Y90" s="51"/>
      <c r="Z90" s="51"/>
      <c r="AA90" s="51"/>
      <c r="AB90" s="51"/>
    </row>
    <row r="91" spans="2:28" ht="20.100000000000001" customHeight="1" x14ac:dyDescent="0.2">
      <c r="C91" s="66" t="s">
        <v>44</v>
      </c>
      <c r="D91" s="16" t="s">
        <v>29</v>
      </c>
      <c r="E91" s="25"/>
      <c r="F91" s="25"/>
      <c r="G91" s="3"/>
      <c r="J91" s="138"/>
      <c r="K91" s="51"/>
      <c r="L91" s="51"/>
      <c r="M91" s="51"/>
      <c r="N91" s="51"/>
      <c r="O91" s="51"/>
      <c r="P91" s="51"/>
      <c r="Q91" s="51"/>
      <c r="R91" s="51"/>
      <c r="S91" s="51"/>
      <c r="T91" s="51"/>
      <c r="U91" s="51"/>
      <c r="V91" s="51"/>
      <c r="W91" s="51"/>
      <c r="X91" s="51"/>
      <c r="Y91" s="51"/>
      <c r="Z91" s="51"/>
      <c r="AA91" s="51"/>
      <c r="AB91" s="51"/>
    </row>
    <row r="92" spans="2:28" ht="20.100000000000001" customHeight="1" x14ac:dyDescent="0.3">
      <c r="C92" s="53"/>
      <c r="D92" s="17" t="s">
        <v>30</v>
      </c>
      <c r="E92" s="25"/>
      <c r="F92" s="25"/>
      <c r="G92" s="3"/>
      <c r="K92" s="51"/>
      <c r="L92" s="73"/>
      <c r="M92" s="73"/>
      <c r="N92" s="74"/>
      <c r="O92" s="74"/>
      <c r="P92" s="74"/>
      <c r="Q92" s="74"/>
      <c r="R92" s="52"/>
      <c r="S92" s="75"/>
      <c r="T92" s="76"/>
      <c r="U92" s="51"/>
      <c r="V92" s="51"/>
      <c r="W92" s="51"/>
      <c r="X92" s="51"/>
      <c r="Y92" s="51"/>
      <c r="Z92" s="51"/>
      <c r="AA92" s="51"/>
      <c r="AB92" s="51"/>
    </row>
    <row r="93" spans="2:28" ht="20.100000000000001" customHeight="1" x14ac:dyDescent="0.2">
      <c r="C93" s="53"/>
      <c r="D93" s="17" t="s">
        <v>31</v>
      </c>
      <c r="E93" s="25"/>
      <c r="F93" s="25"/>
      <c r="G93" s="3"/>
      <c r="K93" s="51"/>
      <c r="L93" s="51"/>
      <c r="M93" s="51"/>
      <c r="N93" s="51"/>
      <c r="O93" s="51"/>
      <c r="P93" s="51"/>
      <c r="Q93" s="51"/>
      <c r="R93" s="51"/>
      <c r="S93" s="51"/>
      <c r="T93" s="51"/>
      <c r="U93" s="51"/>
      <c r="V93" s="51"/>
      <c r="W93" s="51"/>
      <c r="X93" s="51"/>
      <c r="Y93" s="51"/>
      <c r="Z93" s="51"/>
      <c r="AA93" s="51"/>
      <c r="AB93" s="51"/>
    </row>
    <row r="94" spans="2:28" ht="20.100000000000001" customHeight="1" x14ac:dyDescent="0.2">
      <c r="C94" s="53"/>
      <c r="D94" s="17"/>
      <c r="E94" s="25"/>
      <c r="F94" s="25"/>
      <c r="G94" s="3"/>
      <c r="K94" s="51"/>
      <c r="L94" s="51"/>
      <c r="M94" s="51"/>
      <c r="N94" s="51"/>
      <c r="O94" s="51"/>
      <c r="P94" s="51"/>
      <c r="Q94" s="51"/>
      <c r="R94" s="51"/>
      <c r="S94" s="51"/>
      <c r="T94" s="51"/>
      <c r="U94" s="51"/>
      <c r="V94" s="51"/>
      <c r="W94" s="51"/>
      <c r="X94" s="51"/>
      <c r="Y94" s="51"/>
      <c r="Z94" s="51"/>
      <c r="AA94" s="51"/>
      <c r="AB94" s="51"/>
    </row>
    <row r="95" spans="2:28" ht="20.100000000000001" customHeight="1" x14ac:dyDescent="0.2">
      <c r="C95" s="66" t="s">
        <v>46</v>
      </c>
      <c r="D95" s="17" t="s">
        <v>212</v>
      </c>
      <c r="E95" s="25"/>
      <c r="F95" s="25"/>
      <c r="G95" s="3"/>
      <c r="K95" s="51"/>
      <c r="L95" s="51"/>
      <c r="M95" s="51"/>
      <c r="N95" s="51"/>
      <c r="O95" s="51"/>
      <c r="P95" s="51"/>
      <c r="Q95" s="51"/>
      <c r="R95" s="51"/>
      <c r="S95" s="51"/>
      <c r="T95" s="51"/>
      <c r="U95" s="51"/>
      <c r="V95" s="51"/>
      <c r="W95" s="51"/>
      <c r="X95" s="51"/>
      <c r="Y95" s="51"/>
      <c r="Z95" s="51"/>
      <c r="AA95" s="51"/>
      <c r="AB95" s="51"/>
    </row>
    <row r="96" spans="2:28" ht="20.100000000000001" customHeight="1" x14ac:dyDescent="0.2">
      <c r="D96" s="17" t="s">
        <v>183</v>
      </c>
      <c r="E96" s="3"/>
      <c r="F96" s="3"/>
      <c r="G96" s="3"/>
      <c r="K96" s="51"/>
      <c r="L96" s="51"/>
      <c r="M96" s="51"/>
      <c r="N96" s="51"/>
      <c r="O96" s="51"/>
      <c r="P96" s="51"/>
      <c r="Q96" s="51"/>
      <c r="R96" s="51"/>
      <c r="S96" s="51"/>
      <c r="T96" s="51"/>
      <c r="U96" s="51"/>
      <c r="V96" s="51"/>
      <c r="W96" s="51"/>
      <c r="X96" s="51"/>
      <c r="Y96" s="51"/>
      <c r="Z96" s="51"/>
      <c r="AA96" s="51"/>
      <c r="AB96" s="51"/>
    </row>
    <row r="97" spans="11:28" ht="20.100000000000001" customHeight="1" x14ac:dyDescent="0.2">
      <c r="K97" s="51"/>
      <c r="L97" s="51"/>
      <c r="M97" s="51"/>
      <c r="N97" s="51"/>
      <c r="O97" s="51"/>
      <c r="P97" s="51"/>
      <c r="Q97" s="51"/>
      <c r="R97" s="51"/>
      <c r="S97" s="51"/>
      <c r="T97" s="51"/>
      <c r="U97" s="51"/>
      <c r="V97" s="51"/>
      <c r="W97" s="51"/>
      <c r="X97" s="51"/>
      <c r="Y97" s="51"/>
      <c r="Z97" s="51"/>
      <c r="AA97" s="51"/>
      <c r="AB97" s="51"/>
    </row>
    <row r="98" spans="11:28" ht="20.100000000000001" customHeight="1" x14ac:dyDescent="0.2">
      <c r="K98" s="51"/>
      <c r="L98" s="51"/>
      <c r="M98" s="51"/>
      <c r="N98" s="51"/>
      <c r="O98" s="51"/>
      <c r="P98" s="51"/>
      <c r="Q98" s="51"/>
      <c r="R98" s="51"/>
      <c r="S98" s="51"/>
      <c r="T98" s="51"/>
      <c r="U98" s="51"/>
      <c r="V98" s="51"/>
      <c r="W98" s="51"/>
      <c r="X98" s="51"/>
      <c r="Y98" s="51"/>
      <c r="Z98" s="51"/>
      <c r="AA98" s="51"/>
      <c r="AB98" s="51"/>
    </row>
    <row r="99" spans="11:28" ht="20.100000000000001" customHeight="1" x14ac:dyDescent="0.2">
      <c r="K99" s="51"/>
      <c r="L99" s="51"/>
      <c r="M99" s="51"/>
      <c r="N99" s="51"/>
      <c r="O99" s="51"/>
      <c r="P99" s="51"/>
      <c r="Q99" s="51"/>
      <c r="R99" s="51"/>
      <c r="S99" s="51"/>
      <c r="T99" s="51"/>
      <c r="U99" s="51"/>
      <c r="V99" s="51"/>
      <c r="W99" s="51"/>
      <c r="X99" s="51"/>
      <c r="Y99" s="51"/>
      <c r="Z99" s="51"/>
      <c r="AA99" s="51"/>
      <c r="AB99" s="51"/>
    </row>
    <row r="100" spans="11:28" ht="20.100000000000001" customHeight="1" x14ac:dyDescent="0.2"/>
    <row r="101" spans="11:28" ht="20.100000000000001" customHeight="1" x14ac:dyDescent="0.2"/>
    <row r="102" spans="11:28" ht="20.100000000000001" customHeight="1" x14ac:dyDescent="0.2"/>
    <row r="103" spans="11:28" ht="20.100000000000001" customHeight="1" x14ac:dyDescent="0.2"/>
    <row r="104" spans="11:28" ht="20.100000000000001" customHeight="1" x14ac:dyDescent="0.2"/>
    <row r="105" spans="11:28" ht="20.100000000000001" customHeight="1" x14ac:dyDescent="0.2"/>
    <row r="106" spans="11:28" ht="20.100000000000001" customHeight="1" x14ac:dyDescent="0.2"/>
    <row r="107" spans="11:28" ht="20.100000000000001" customHeight="1" x14ac:dyDescent="0.2"/>
    <row r="108" spans="11:28" ht="20.100000000000001" customHeight="1" x14ac:dyDescent="0.2"/>
    <row r="109" spans="11:28" ht="20.100000000000001" customHeight="1" x14ac:dyDescent="0.2"/>
    <row r="110" spans="11:28" ht="20.100000000000001" customHeight="1" x14ac:dyDescent="0.2"/>
    <row r="111" spans="11:28" ht="20.100000000000001" customHeight="1" x14ac:dyDescent="0.2"/>
    <row r="112" spans="11:28" ht="20.100000000000001" customHeight="1" x14ac:dyDescent="0.2"/>
    <row r="113" ht="20.100000000000001" customHeight="1" x14ac:dyDescent="0.2"/>
    <row r="114" ht="20.100000000000001" customHeight="1" x14ac:dyDescent="0.2"/>
    <row r="115" ht="20.100000000000001" customHeight="1" x14ac:dyDescent="0.2"/>
    <row r="116" ht="20.100000000000001" customHeight="1" x14ac:dyDescent="0.2"/>
    <row r="117" ht="20.100000000000001" customHeight="1" x14ac:dyDescent="0.2"/>
    <row r="118" ht="20.100000000000001" customHeight="1" x14ac:dyDescent="0.2"/>
    <row r="119" ht="20.100000000000001" customHeight="1" x14ac:dyDescent="0.2"/>
    <row r="120" ht="20.100000000000001" customHeight="1" x14ac:dyDescent="0.2"/>
    <row r="121" ht="20.100000000000001" customHeight="1" x14ac:dyDescent="0.2"/>
    <row r="122" ht="20.100000000000001" customHeight="1" x14ac:dyDescent="0.2"/>
    <row r="123" ht="20.100000000000001" customHeight="1" x14ac:dyDescent="0.2"/>
    <row r="124" ht="20.100000000000001" customHeight="1" x14ac:dyDescent="0.2"/>
    <row r="125" ht="20.100000000000001" customHeight="1" x14ac:dyDescent="0.2"/>
    <row r="126" ht="20.100000000000001" customHeight="1" x14ac:dyDescent="0.2"/>
    <row r="127" ht="20.100000000000001" customHeight="1" x14ac:dyDescent="0.2"/>
    <row r="128" ht="20.100000000000001" customHeight="1" x14ac:dyDescent="0.2"/>
    <row r="129" ht="20.100000000000001" customHeight="1" x14ac:dyDescent="0.2"/>
    <row r="130" ht="20.100000000000001" customHeight="1" x14ac:dyDescent="0.2"/>
    <row r="131" ht="20.100000000000001" customHeight="1" x14ac:dyDescent="0.2"/>
    <row r="132" ht="20.100000000000001" customHeight="1" x14ac:dyDescent="0.2"/>
    <row r="133" ht="20.100000000000001" customHeight="1" x14ac:dyDescent="0.2"/>
    <row r="134" ht="20.100000000000001" customHeight="1" x14ac:dyDescent="0.2"/>
    <row r="135" ht="20.100000000000001" customHeight="1" x14ac:dyDescent="0.2"/>
    <row r="136" ht="20.100000000000001" customHeight="1" x14ac:dyDescent="0.2"/>
    <row r="137" ht="20.100000000000001" customHeight="1" x14ac:dyDescent="0.2"/>
    <row r="138" ht="20.100000000000001" customHeight="1" x14ac:dyDescent="0.2"/>
    <row r="139" ht="20.100000000000001" customHeight="1" x14ac:dyDescent="0.2"/>
    <row r="140" ht="20.100000000000001" customHeight="1" x14ac:dyDescent="0.2"/>
    <row r="141" ht="20.100000000000001" customHeight="1" x14ac:dyDescent="0.2"/>
    <row r="142" ht="20.100000000000001" customHeight="1" x14ac:dyDescent="0.2"/>
    <row r="143" ht="20.100000000000001" customHeight="1" x14ac:dyDescent="0.2"/>
    <row r="144" ht="20.100000000000001" customHeight="1" x14ac:dyDescent="0.2"/>
    <row r="145" ht="20.100000000000001" customHeight="1" x14ac:dyDescent="0.2"/>
    <row r="146" ht="20.100000000000001" customHeight="1" x14ac:dyDescent="0.2"/>
    <row r="147" ht="20.100000000000001" customHeight="1" x14ac:dyDescent="0.2"/>
    <row r="148" ht="20.100000000000001" customHeight="1" x14ac:dyDescent="0.2"/>
    <row r="149" ht="20.100000000000001" customHeight="1" x14ac:dyDescent="0.2"/>
    <row r="150" ht="20.100000000000001" customHeight="1" x14ac:dyDescent="0.2"/>
    <row r="151" ht="20.100000000000001" customHeight="1" x14ac:dyDescent="0.2"/>
    <row r="152" ht="20.100000000000001" customHeight="1" x14ac:dyDescent="0.2"/>
    <row r="153" ht="20.100000000000001" customHeight="1" x14ac:dyDescent="0.2"/>
    <row r="154" ht="20.100000000000001" customHeight="1" x14ac:dyDescent="0.2"/>
    <row r="155" ht="20.100000000000001" customHeight="1" x14ac:dyDescent="0.2"/>
    <row r="156" ht="20.100000000000001" customHeight="1" x14ac:dyDescent="0.2"/>
    <row r="157" ht="20.100000000000001" customHeight="1" x14ac:dyDescent="0.2"/>
    <row r="158" ht="20.100000000000001" customHeight="1" x14ac:dyDescent="0.2"/>
    <row r="159" ht="20.100000000000001" customHeight="1" x14ac:dyDescent="0.2"/>
    <row r="160" ht="20.100000000000001" customHeight="1" x14ac:dyDescent="0.2"/>
    <row r="161" ht="20.100000000000001" customHeight="1" x14ac:dyDescent="0.2"/>
    <row r="162" ht="20.100000000000001" customHeight="1" x14ac:dyDescent="0.2"/>
    <row r="163" ht="20.100000000000001" customHeight="1" x14ac:dyDescent="0.2"/>
    <row r="164" ht="20.100000000000001" customHeight="1" x14ac:dyDescent="0.2"/>
    <row r="165" ht="20.100000000000001" customHeight="1" x14ac:dyDescent="0.2"/>
    <row r="166" ht="20.100000000000001" customHeight="1" x14ac:dyDescent="0.2"/>
    <row r="167" ht="20.100000000000001" customHeight="1" x14ac:dyDescent="0.2"/>
    <row r="168" ht="20.100000000000001" customHeight="1" x14ac:dyDescent="0.2"/>
  </sheetData>
  <mergeCells count="20">
    <mergeCell ref="I7:M7"/>
    <mergeCell ref="I8:M8"/>
    <mergeCell ref="N7:U7"/>
    <mergeCell ref="N8:U8"/>
    <mergeCell ref="B80:D80"/>
    <mergeCell ref="B82:D82"/>
    <mergeCell ref="D7:H7"/>
    <mergeCell ref="S2:T2"/>
    <mergeCell ref="S3:T3"/>
    <mergeCell ref="S4:T4"/>
    <mergeCell ref="S5:T5"/>
    <mergeCell ref="D6:H6"/>
    <mergeCell ref="D2:P5"/>
    <mergeCell ref="I6:M6"/>
    <mergeCell ref="N6:U6"/>
    <mergeCell ref="B6:C6"/>
    <mergeCell ref="B7:C7"/>
    <mergeCell ref="B8:C8"/>
    <mergeCell ref="D8:H8"/>
    <mergeCell ref="B9:U9"/>
  </mergeCells>
  <phoneticPr fontId="0" type="noConversion"/>
  <dataValidations count="2">
    <dataValidation allowBlank="1" showInputMessage="1" showErrorMessage="1" errorTitle="Error" error="Please choose stream number from drop down list." sqref="D56:D86"/>
    <dataValidation type="list" allowBlank="1" showInputMessage="1" showErrorMessage="1" errorTitle="Error" error="Please choose stream number from drop down list." sqref="D14:D55">
      <formula1>strms</formula1>
    </dataValidation>
  </dataValidations>
  <printOptions horizontalCentered="1" verticalCentered="1"/>
  <pageMargins left="0.1181091426071741" right="0.1181091426071741" top="0.19684930008748908" bottom="0.27558945756780401" header="0.354329615048119" footer="0.27558945756780401"/>
  <pageSetup paperSize="17" scale="37"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36">
    <pageSetUpPr fitToPage="1"/>
  </sheetPr>
  <dimension ref="A1:S144"/>
  <sheetViews>
    <sheetView view="pageBreakPreview" zoomScale="55" zoomScaleNormal="50" zoomScaleSheetLayoutView="55" workbookViewId="0">
      <selection activeCell="H12" sqref="H12"/>
    </sheetView>
  </sheetViews>
  <sheetFormatPr defaultColWidth="11.42578125" defaultRowHeight="12.75" x14ac:dyDescent="0.2"/>
  <cols>
    <col min="1" max="1" width="26.85546875" customWidth="1"/>
    <col min="2" max="2" width="26.7109375" customWidth="1"/>
    <col min="3" max="3" width="63.5703125" bestFit="1" customWidth="1"/>
    <col min="4" max="4" width="17.42578125" customWidth="1"/>
    <col min="5" max="5" width="19.28515625" customWidth="1"/>
    <col min="6" max="6" width="16.140625" customWidth="1"/>
    <col min="7" max="7" width="17.85546875" customWidth="1"/>
    <col min="8" max="8" width="27.140625" customWidth="1"/>
    <col min="9" max="9" width="23.42578125" bestFit="1" customWidth="1"/>
    <col min="10" max="10" width="13.28515625" customWidth="1"/>
    <col min="11" max="11" width="16.5703125" bestFit="1" customWidth="1"/>
    <col min="12" max="12" width="12.7109375" customWidth="1"/>
    <col min="13" max="13" width="28.85546875" bestFit="1" customWidth="1"/>
    <col min="14" max="14" width="35" bestFit="1" customWidth="1"/>
    <col min="15" max="15" width="28.5703125" bestFit="1" customWidth="1"/>
  </cols>
  <sheetData>
    <row r="1" spans="1:12" ht="13.5" thickBot="1" x14ac:dyDescent="0.25">
      <c r="A1" s="541"/>
      <c r="B1" s="541"/>
      <c r="C1" s="541"/>
      <c r="D1" s="541"/>
      <c r="E1" s="541"/>
      <c r="F1" s="541"/>
      <c r="G1" s="541"/>
      <c r="H1" s="541"/>
      <c r="I1" s="541"/>
      <c r="J1" s="541"/>
      <c r="K1" s="542" t="s">
        <v>957</v>
      </c>
      <c r="L1" s="543" t="e">
        <f>'Settling out'!U1+1</f>
        <v>#REF!</v>
      </c>
    </row>
    <row r="2" spans="1:12" ht="15.75" x14ac:dyDescent="0.25">
      <c r="A2" s="544"/>
      <c r="B2" s="984" t="s">
        <v>970</v>
      </c>
      <c r="C2" s="984"/>
      <c r="D2" s="984"/>
      <c r="E2" s="984"/>
      <c r="F2" s="984"/>
      <c r="G2" s="984"/>
      <c r="H2" s="984"/>
      <c r="I2" s="984"/>
      <c r="J2" s="987" t="s">
        <v>851</v>
      </c>
      <c r="K2" s="988"/>
      <c r="L2" s="820" t="str">
        <f>IF(ISBLANK(General!$E$6),"",General!$E$6)</f>
        <v/>
      </c>
    </row>
    <row r="3" spans="1:12" ht="12.75" customHeight="1" x14ac:dyDescent="0.2">
      <c r="A3" s="547"/>
      <c r="B3" s="985"/>
      <c r="C3" s="985"/>
      <c r="D3" s="985"/>
      <c r="E3" s="985"/>
      <c r="F3" s="985"/>
      <c r="G3" s="985"/>
      <c r="H3" s="985"/>
      <c r="I3" s="985"/>
      <c r="J3" s="989" t="s">
        <v>958</v>
      </c>
      <c r="K3" s="990"/>
      <c r="L3" s="550" t="str">
        <f>IF(ISBLANK(General!$E$12),"",General!$E$12)</f>
        <v/>
      </c>
    </row>
    <row r="4" spans="1:12" ht="12.75" customHeight="1" x14ac:dyDescent="0.2">
      <c r="A4" s="547"/>
      <c r="B4" s="985"/>
      <c r="C4" s="985"/>
      <c r="D4" s="985"/>
      <c r="E4" s="985"/>
      <c r="F4" s="985"/>
      <c r="G4" s="985"/>
      <c r="H4" s="985"/>
      <c r="I4" s="985"/>
      <c r="J4" s="989" t="s">
        <v>959</v>
      </c>
      <c r="K4" s="990"/>
      <c r="L4" s="551" t="str">
        <f>IF(ISBLANK(General!$E$13),"",General!$E$13)</f>
        <v/>
      </c>
    </row>
    <row r="5" spans="1:12" ht="12.75" customHeight="1" x14ac:dyDescent="0.2">
      <c r="A5" s="552"/>
      <c r="B5" s="986"/>
      <c r="C5" s="986"/>
      <c r="D5" s="986"/>
      <c r="E5" s="986"/>
      <c r="F5" s="986"/>
      <c r="G5" s="986"/>
      <c r="H5" s="986"/>
      <c r="I5" s="986"/>
      <c r="J5" s="1089" t="s">
        <v>960</v>
      </c>
      <c r="K5" s="1090"/>
      <c r="L5" s="554" t="str">
        <f>IF(ISBLANK(General!$E$14),"",General!$E$14)</f>
        <v/>
      </c>
    </row>
    <row r="6" spans="1:12" x14ac:dyDescent="0.2">
      <c r="A6" s="818" t="s">
        <v>897</v>
      </c>
      <c r="B6" s="822" t="str">
        <f>IF(ISBLANK(General!$E$8),"",General!$E$8)</f>
        <v/>
      </c>
      <c r="C6" s="811"/>
      <c r="D6" s="811"/>
      <c r="E6" s="970" t="s">
        <v>961</v>
      </c>
      <c r="F6" s="971"/>
      <c r="G6" s="972"/>
      <c r="H6" s="834"/>
      <c r="I6" s="834"/>
      <c r="J6" s="834"/>
      <c r="K6" s="834"/>
      <c r="L6" s="835"/>
    </row>
    <row r="7" spans="1:12" x14ac:dyDescent="0.2">
      <c r="A7" s="816" t="s">
        <v>962</v>
      </c>
      <c r="B7" s="823" t="str">
        <f>IF(ISBLANK(General!$E$9),"",General!$E$9)</f>
        <v/>
      </c>
      <c r="C7" s="812"/>
      <c r="D7" s="812"/>
      <c r="E7" s="975" t="s">
        <v>963</v>
      </c>
      <c r="F7" s="976"/>
      <c r="G7" s="977"/>
      <c r="H7" s="836"/>
      <c r="I7" s="836"/>
      <c r="J7" s="836"/>
      <c r="K7" s="836"/>
      <c r="L7" s="837"/>
    </row>
    <row r="8" spans="1:12" x14ac:dyDescent="0.2">
      <c r="A8" s="817" t="s">
        <v>932</v>
      </c>
      <c r="B8" s="824" t="str">
        <f>IF(ISBLANK(General!$E$17),"",General!$E$17)</f>
        <v/>
      </c>
      <c r="C8" s="813"/>
      <c r="D8" s="813"/>
      <c r="E8" s="954" t="s">
        <v>930</v>
      </c>
      <c r="F8" s="955"/>
      <c r="G8" s="956"/>
      <c r="H8" s="838"/>
      <c r="I8" s="838"/>
      <c r="J8" s="838"/>
      <c r="K8" s="838"/>
      <c r="L8" s="839"/>
    </row>
    <row r="9" spans="1:12" ht="15.75" x14ac:dyDescent="0.25">
      <c r="A9" s="1013" t="s">
        <v>170</v>
      </c>
      <c r="B9" s="1014"/>
      <c r="C9" s="1014"/>
      <c r="D9" s="1014"/>
      <c r="E9" s="1014"/>
      <c r="F9" s="1014"/>
      <c r="G9" s="1014"/>
      <c r="H9" s="1014"/>
      <c r="I9" s="1014"/>
      <c r="J9" s="1014"/>
      <c r="K9" s="1014"/>
      <c r="L9" s="1082"/>
    </row>
    <row r="10" spans="1:12" x14ac:dyDescent="0.2">
      <c r="A10" s="253"/>
      <c r="B10" s="1"/>
      <c r="C10" s="1"/>
      <c r="D10" s="1"/>
      <c r="E10" s="1"/>
      <c r="F10" s="1"/>
      <c r="G10" s="1"/>
      <c r="H10" s="1"/>
      <c r="I10" s="1"/>
      <c r="J10" s="1"/>
      <c r="K10" s="1"/>
      <c r="L10" s="264"/>
    </row>
    <row r="11" spans="1:12" x14ac:dyDescent="0.2">
      <c r="A11" s="253"/>
      <c r="B11" s="1"/>
      <c r="C11" s="1"/>
      <c r="D11" s="1"/>
      <c r="E11" s="1"/>
      <c r="F11" s="1"/>
      <c r="G11" s="1"/>
      <c r="H11" s="1"/>
      <c r="I11" s="1"/>
      <c r="J11" s="1"/>
      <c r="K11" s="1"/>
      <c r="L11" s="264"/>
    </row>
    <row r="12" spans="1:12" s="97" customFormat="1" ht="20.100000000000001" customHeight="1" x14ac:dyDescent="0.25">
      <c r="A12" s="867"/>
      <c r="B12" s="868"/>
      <c r="C12" s="868"/>
      <c r="D12" s="868"/>
      <c r="E12" s="868"/>
      <c r="F12" s="868"/>
      <c r="G12" s="868"/>
      <c r="H12" s="868"/>
      <c r="I12" s="868"/>
      <c r="J12" s="868"/>
      <c r="K12" s="868"/>
      <c r="L12" s="869"/>
    </row>
    <row r="13" spans="1:12" s="97" customFormat="1" ht="20.100000000000001" customHeight="1" thickBot="1" x14ac:dyDescent="0.3">
      <c r="A13" s="867"/>
      <c r="B13" s="1293" t="s">
        <v>686</v>
      </c>
      <c r="C13" s="1293"/>
      <c r="D13" s="1293"/>
      <c r="E13" s="1293"/>
      <c r="F13" s="1293"/>
      <c r="G13" s="1293"/>
      <c r="H13" s="1293"/>
      <c r="I13" s="1293"/>
      <c r="J13" s="1"/>
      <c r="K13" s="868"/>
      <c r="L13" s="869"/>
    </row>
    <row r="14" spans="1:12" s="97" customFormat="1" ht="53.25" customHeight="1" x14ac:dyDescent="0.25">
      <c r="A14" s="867"/>
      <c r="B14" s="98" t="s">
        <v>171</v>
      </c>
      <c r="C14" s="99" t="s">
        <v>168</v>
      </c>
      <c r="D14" s="100" t="s">
        <v>172</v>
      </c>
      <c r="E14" s="100" t="s">
        <v>173</v>
      </c>
      <c r="F14" s="100" t="s">
        <v>173</v>
      </c>
      <c r="G14" s="101" t="s">
        <v>174</v>
      </c>
      <c r="H14" s="101" t="s">
        <v>175</v>
      </c>
      <c r="I14" s="102" t="s">
        <v>684</v>
      </c>
      <c r="J14" s="102" t="s">
        <v>685</v>
      </c>
      <c r="K14" s="868"/>
      <c r="L14" s="869"/>
    </row>
    <row r="15" spans="1:12" s="97" customFormat="1" ht="18.75" thickBot="1" x14ac:dyDescent="0.3">
      <c r="A15" s="867"/>
      <c r="B15" s="148"/>
      <c r="C15" s="149"/>
      <c r="D15" s="150" t="s">
        <v>669</v>
      </c>
      <c r="E15" s="150" t="s">
        <v>194</v>
      </c>
      <c r="F15" s="150" t="s">
        <v>683</v>
      </c>
      <c r="G15" s="150" t="s">
        <v>682</v>
      </c>
      <c r="H15" s="150" t="s">
        <v>682</v>
      </c>
      <c r="I15" s="116" t="s">
        <v>669</v>
      </c>
      <c r="J15" s="116" t="s">
        <v>669</v>
      </c>
      <c r="K15" s="868"/>
      <c r="L15" s="869"/>
    </row>
    <row r="16" spans="1:12" ht="20.25" customHeight="1" x14ac:dyDescent="0.2">
      <c r="A16" s="253"/>
      <c r="B16" s="153" t="s">
        <v>197</v>
      </c>
      <c r="C16" s="61" t="s">
        <v>671</v>
      </c>
      <c r="D16" s="118">
        <f>'Settling out'!$S$83</f>
        <v>26170</v>
      </c>
      <c r="E16" s="113">
        <v>275.5</v>
      </c>
      <c r="F16" s="106">
        <f>E16+14.7</f>
        <v>290.2</v>
      </c>
      <c r="G16" s="107"/>
      <c r="H16" s="107"/>
      <c r="I16" s="108"/>
      <c r="J16" s="108"/>
      <c r="K16" s="1"/>
      <c r="L16" s="264"/>
    </row>
    <row r="17" spans="1:19" ht="17.25" customHeight="1" x14ac:dyDescent="0.2">
      <c r="A17" s="253"/>
      <c r="B17" s="153" t="s">
        <v>611</v>
      </c>
      <c r="C17" s="61" t="s">
        <v>673</v>
      </c>
      <c r="D17" s="118">
        <f>'Settling out'!$S$83</f>
        <v>26170</v>
      </c>
      <c r="E17" s="113">
        <v>275.5</v>
      </c>
      <c r="F17" s="106">
        <f>E17+14.7</f>
        <v>290.2</v>
      </c>
      <c r="G17" s="147">
        <f>E17-E18</f>
        <v>5</v>
      </c>
      <c r="H17" s="107">
        <f>G17*(($I$30+14.7)/($E$30+14.7))+S35</f>
        <v>5.8806975683223834</v>
      </c>
      <c r="I17" s="151">
        <f>I18+H17</f>
        <v>320.24527418109795</v>
      </c>
      <c r="J17" s="151">
        <v>320</v>
      </c>
      <c r="K17" s="1"/>
      <c r="L17" s="264"/>
    </row>
    <row r="18" spans="1:19" ht="17.25" customHeight="1" x14ac:dyDescent="0.2">
      <c r="A18" s="253"/>
      <c r="B18" s="153" t="s">
        <v>199</v>
      </c>
      <c r="C18" s="61" t="s">
        <v>674</v>
      </c>
      <c r="D18" s="118">
        <f>'Settling out'!$S$83</f>
        <v>26170</v>
      </c>
      <c r="E18" s="113">
        <v>270.5</v>
      </c>
      <c r="F18" s="106">
        <f>E18+14.7</f>
        <v>285.2</v>
      </c>
      <c r="G18" s="147">
        <f>E18-E19</f>
        <v>3</v>
      </c>
      <c r="H18" s="107">
        <f>G18*(($I$30+14.7)/($E$30+14.7))+S36</f>
        <v>3.6846259802697228</v>
      </c>
      <c r="I18" s="151">
        <f>I19+H18</f>
        <v>314.36457661277558</v>
      </c>
      <c r="J18" s="151">
        <v>310</v>
      </c>
      <c r="K18" s="1"/>
      <c r="L18" s="264"/>
    </row>
    <row r="19" spans="1:19" ht="17.25" customHeight="1" thickBot="1" x14ac:dyDescent="0.25">
      <c r="A19" s="253"/>
      <c r="B19" s="153" t="s">
        <v>616</v>
      </c>
      <c r="C19" s="61" t="s">
        <v>675</v>
      </c>
      <c r="D19" s="118">
        <f>'Settling out'!$S$83</f>
        <v>26170</v>
      </c>
      <c r="E19" s="113">
        <v>267.5</v>
      </c>
      <c r="F19" s="106">
        <f>E19+14.7</f>
        <v>282.2</v>
      </c>
      <c r="G19" s="147">
        <f>E19-E20</f>
        <v>0.5</v>
      </c>
      <c r="H19" s="107">
        <f>G19*(($I$30+14.7)/($E$30+14.7))+S37</f>
        <v>0.67995063250584931</v>
      </c>
      <c r="I19" s="151">
        <f>I20+H19</f>
        <v>310.67995063250584</v>
      </c>
      <c r="J19" s="151">
        <v>310</v>
      </c>
      <c r="K19" s="1"/>
      <c r="L19" s="264"/>
    </row>
    <row r="20" spans="1:19" s="103" customFormat="1" ht="19.5" customHeight="1" thickBot="1" x14ac:dyDescent="0.3">
      <c r="A20" s="870"/>
      <c r="B20" s="155" t="s">
        <v>201</v>
      </c>
      <c r="C20" s="156" t="s">
        <v>676</v>
      </c>
      <c r="D20" s="157">
        <f>'Settling out'!$S$83</f>
        <v>26170</v>
      </c>
      <c r="E20" s="146">
        <v>267</v>
      </c>
      <c r="F20" s="158">
        <f>E20+14.7</f>
        <v>281.7</v>
      </c>
      <c r="G20" s="147">
        <v>0.1</v>
      </c>
      <c r="H20" s="147">
        <f>G20*(($I$30+14.7)/($E$30+14.7))</f>
        <v>0.11067687348912168</v>
      </c>
      <c r="I20" s="152">
        <v>310</v>
      </c>
      <c r="J20" s="152">
        <v>310</v>
      </c>
      <c r="K20" s="862"/>
      <c r="L20" s="871"/>
      <c r="M20" s="862"/>
      <c r="O20" s="4" t="s">
        <v>18</v>
      </c>
      <c r="P20" s="177" t="s">
        <v>168</v>
      </c>
      <c r="Q20" s="100" t="s">
        <v>172</v>
      </c>
      <c r="R20" s="101" t="s">
        <v>174</v>
      </c>
      <c r="S20" s="176" t="s">
        <v>175</v>
      </c>
    </row>
    <row r="21" spans="1:19" s="103" customFormat="1" ht="29.25" customHeight="1" thickBot="1" x14ac:dyDescent="0.3">
      <c r="A21" s="870"/>
      <c r="B21" s="166" t="s">
        <v>649</v>
      </c>
      <c r="C21" s="167" t="s">
        <v>679</v>
      </c>
      <c r="D21" s="168">
        <f>'Settling out'!$S$83</f>
        <v>26170</v>
      </c>
      <c r="E21" s="169">
        <f>+'Settling out'!S20</f>
        <v>276.10000000000002</v>
      </c>
      <c r="F21" s="170">
        <f t="shared" ref="F21:F30" si="0">E21+14.7</f>
        <v>290.8</v>
      </c>
      <c r="G21" s="171">
        <f t="shared" ref="G21:G27" si="1">E21-E23</f>
        <v>19</v>
      </c>
      <c r="H21" s="171">
        <f>G21*(($I$30+14.7)/($E$30+14.7))</f>
        <v>21.028605962933117</v>
      </c>
      <c r="I21" s="172">
        <f t="shared" ref="I21:I26" si="2">I23+H21</f>
        <v>325.34097076284979</v>
      </c>
      <c r="J21" s="172">
        <v>310</v>
      </c>
      <c r="K21" s="863"/>
      <c r="L21" s="872"/>
      <c r="M21" s="863"/>
      <c r="O21" s="94"/>
      <c r="P21" s="178" t="s">
        <v>169</v>
      </c>
      <c r="Q21" s="150" t="s">
        <v>669</v>
      </c>
      <c r="R21" s="150" t="s">
        <v>682</v>
      </c>
      <c r="S21" s="116" t="s">
        <v>682</v>
      </c>
    </row>
    <row r="22" spans="1:19" s="104" customFormat="1" ht="21" customHeight="1" x14ac:dyDescent="0.25">
      <c r="A22" s="873"/>
      <c r="B22" s="155" t="s">
        <v>650</v>
      </c>
      <c r="C22" s="156" t="s">
        <v>679</v>
      </c>
      <c r="D22" s="157">
        <f>'Settling out'!$S$83</f>
        <v>26170</v>
      </c>
      <c r="E22" s="146">
        <f>+'Settling out'!S21</f>
        <v>276.10000000000002</v>
      </c>
      <c r="F22" s="158">
        <f t="shared" si="0"/>
        <v>290.8</v>
      </c>
      <c r="G22" s="147">
        <f t="shared" si="1"/>
        <v>19</v>
      </c>
      <c r="H22" s="147">
        <f>G22*(($I$30+14.7)/($E$30+14.7))</f>
        <v>21.028605962933117</v>
      </c>
      <c r="I22" s="159">
        <f>I24+H22</f>
        <v>325.34097076284979</v>
      </c>
      <c r="J22" s="159">
        <v>310</v>
      </c>
      <c r="K22" s="864"/>
      <c r="L22" s="874"/>
      <c r="M22" s="864"/>
      <c r="O22" s="179" t="s">
        <v>582</v>
      </c>
      <c r="P22" s="180" t="s">
        <v>583</v>
      </c>
      <c r="Q22" s="181">
        <f>'Settling out'!$S$83</f>
        <v>26170</v>
      </c>
      <c r="R22" s="181">
        <v>0.34</v>
      </c>
      <c r="S22" s="182">
        <f>R22*(($I$30+14.7)/F25)</f>
        <v>0.36727487219819116</v>
      </c>
    </row>
    <row r="23" spans="1:19" s="104" customFormat="1" ht="21" customHeight="1" x14ac:dyDescent="0.25">
      <c r="A23" s="873"/>
      <c r="B23" s="153" t="s">
        <v>647</v>
      </c>
      <c r="C23" s="61" t="s">
        <v>677</v>
      </c>
      <c r="D23" s="118">
        <f>'Settling out'!$S$83</f>
        <v>26170</v>
      </c>
      <c r="E23" s="113">
        <f>+'Settling out'!S24</f>
        <v>257.10000000000002</v>
      </c>
      <c r="F23" s="106">
        <f t="shared" si="0"/>
        <v>271.8</v>
      </c>
      <c r="G23" s="107">
        <v>32</v>
      </c>
      <c r="H23" s="107">
        <f>G23*(($I$30+14.7)/($E$30+14.7))+S22</f>
        <v>35.78387438871713</v>
      </c>
      <c r="I23" s="151">
        <f t="shared" si="2"/>
        <v>304.31236479991668</v>
      </c>
      <c r="J23" s="151">
        <v>310</v>
      </c>
      <c r="K23" s="865"/>
      <c r="L23" s="875"/>
      <c r="M23" s="865"/>
      <c r="O23" s="183" t="s">
        <v>592</v>
      </c>
      <c r="P23" s="184" t="s">
        <v>585</v>
      </c>
      <c r="Q23" s="185">
        <f>'Settling out'!$S$83</f>
        <v>26170</v>
      </c>
      <c r="R23" s="185">
        <v>0.34</v>
      </c>
      <c r="S23" s="186">
        <f>R23*(($I$30+14.7)/F26)</f>
        <v>0.36727487219819116</v>
      </c>
    </row>
    <row r="24" spans="1:19" s="104" customFormat="1" ht="21" customHeight="1" x14ac:dyDescent="0.25">
      <c r="A24" s="873"/>
      <c r="B24" s="153" t="s">
        <v>648</v>
      </c>
      <c r="C24" s="61" t="s">
        <v>680</v>
      </c>
      <c r="D24" s="118">
        <f>'Settling out'!$S$83</f>
        <v>26170</v>
      </c>
      <c r="E24" s="113">
        <f>+'Settling out'!S26</f>
        <v>257.10000000000002</v>
      </c>
      <c r="F24" s="106">
        <f t="shared" si="0"/>
        <v>271.8</v>
      </c>
      <c r="G24" s="107">
        <v>32</v>
      </c>
      <c r="H24" s="107">
        <f>G24*(($I$30+14.7)/($E$30+14.7))+S23</f>
        <v>35.78387438871713</v>
      </c>
      <c r="I24" s="151">
        <f t="shared" si="2"/>
        <v>304.31236479991668</v>
      </c>
      <c r="J24" s="151">
        <v>310</v>
      </c>
      <c r="K24" s="865"/>
      <c r="L24" s="875"/>
      <c r="M24" s="865"/>
      <c r="O24" s="183" t="s">
        <v>588</v>
      </c>
      <c r="P24" s="184" t="s">
        <v>590</v>
      </c>
      <c r="Q24" s="185">
        <f>'Settling out'!$S$83</f>
        <v>26170</v>
      </c>
      <c r="R24" s="185">
        <v>0.64</v>
      </c>
      <c r="S24" s="186">
        <f>R24*(($I$30+14.7)/F27)</f>
        <v>0.69723577235772372</v>
      </c>
    </row>
    <row r="25" spans="1:19" s="104" customFormat="1" ht="21" customHeight="1" x14ac:dyDescent="0.25">
      <c r="A25" s="873"/>
      <c r="B25" s="153" t="s">
        <v>645</v>
      </c>
      <c r="C25" s="61" t="s">
        <v>678</v>
      </c>
      <c r="D25" s="118">
        <f>'Settling out'!$S$83</f>
        <v>26170</v>
      </c>
      <c r="E25" s="113">
        <f>+'Settling out'!S28</f>
        <v>239.6</v>
      </c>
      <c r="F25" s="106">
        <f t="shared" si="0"/>
        <v>254.29999999999998</v>
      </c>
      <c r="G25" s="107">
        <f t="shared" si="1"/>
        <v>2.1500000000000057</v>
      </c>
      <c r="H25" s="107">
        <f>G25*(($I$30+14.7)/($E$30+14.7))+S24</f>
        <v>3.0767885523738459</v>
      </c>
      <c r="I25" s="151">
        <f t="shared" si="2"/>
        <v>268.52849041119953</v>
      </c>
      <c r="J25" s="151">
        <v>285</v>
      </c>
      <c r="K25" s="865"/>
      <c r="L25" s="875"/>
      <c r="M25" s="865"/>
      <c r="O25" s="183" t="s">
        <v>589</v>
      </c>
      <c r="P25" s="184" t="s">
        <v>591</v>
      </c>
      <c r="Q25" s="185">
        <f>'Settling out'!$S$83</f>
        <v>26170</v>
      </c>
      <c r="R25" s="185">
        <v>0.64</v>
      </c>
      <c r="S25" s="186">
        <f>R25*(($I$30+14.7)/F28)</f>
        <v>0.69723577235772372</v>
      </c>
    </row>
    <row r="26" spans="1:19" s="104" customFormat="1" ht="21" customHeight="1" x14ac:dyDescent="0.25">
      <c r="A26" s="873"/>
      <c r="B26" s="153" t="s">
        <v>646</v>
      </c>
      <c r="C26" s="61" t="s">
        <v>678</v>
      </c>
      <c r="D26" s="118">
        <f>'Settling out'!$S$83</f>
        <v>26170</v>
      </c>
      <c r="E26" s="113">
        <f>+'Settling out'!S29</f>
        <v>239.6</v>
      </c>
      <c r="F26" s="106">
        <f t="shared" si="0"/>
        <v>254.29999999999998</v>
      </c>
      <c r="G26" s="107">
        <f t="shared" si="1"/>
        <v>2.1500000000000057</v>
      </c>
      <c r="H26" s="107">
        <f>G26*(($I$30+14.7)/($E$30+14.7))+S25</f>
        <v>3.0767885523738459</v>
      </c>
      <c r="I26" s="151">
        <f t="shared" si="2"/>
        <v>268.52849041119953</v>
      </c>
      <c r="J26" s="151">
        <v>285</v>
      </c>
      <c r="K26" s="866"/>
      <c r="L26" s="876"/>
      <c r="M26" s="866"/>
      <c r="O26" s="183" t="s">
        <v>593</v>
      </c>
      <c r="P26" s="184" t="s">
        <v>595</v>
      </c>
      <c r="Q26" s="185">
        <f>'Settling out'!$S$83</f>
        <v>26170</v>
      </c>
      <c r="R26" s="185">
        <v>0.15</v>
      </c>
      <c r="S26" s="186">
        <f>R26*(($I$30+14.7)/F29)</f>
        <v>0.16488595438175271</v>
      </c>
    </row>
    <row r="27" spans="1:19" s="104" customFormat="1" ht="21" customHeight="1" x14ac:dyDescent="0.25">
      <c r="A27" s="873"/>
      <c r="B27" s="153" t="s">
        <v>643</v>
      </c>
      <c r="C27" s="61" t="s">
        <v>679</v>
      </c>
      <c r="D27" s="118">
        <f>'Settling out'!$S$83</f>
        <v>26170</v>
      </c>
      <c r="E27" s="113">
        <f>+'Settling out'!S32</f>
        <v>237.45</v>
      </c>
      <c r="F27" s="106">
        <f t="shared" si="0"/>
        <v>252.14999999999998</v>
      </c>
      <c r="G27" s="107">
        <f t="shared" si="1"/>
        <v>2.25</v>
      </c>
      <c r="H27" s="107">
        <f>G27*(($I$30+14.7)/($E$30+14.7))+S26+S28</f>
        <v>3.1717582649498155</v>
      </c>
      <c r="I27" s="151">
        <f>(I29+(H27+14.7))-14.7</f>
        <v>265.45170185882569</v>
      </c>
      <c r="J27" s="151">
        <v>285</v>
      </c>
      <c r="K27" s="865"/>
      <c r="L27" s="875"/>
      <c r="M27" s="865"/>
      <c r="N27" s="104">
        <f t="shared" ref="N27:N37" si="3">I21/1.1</f>
        <v>295.76451887531795</v>
      </c>
      <c r="O27" s="183" t="s">
        <v>594</v>
      </c>
      <c r="P27" s="184" t="s">
        <v>596</v>
      </c>
      <c r="Q27" s="185">
        <f>'Settling out'!$S$83</f>
        <v>26170</v>
      </c>
      <c r="R27" s="185">
        <v>0.15</v>
      </c>
      <c r="S27" s="186">
        <f>R27*(($I$30+14.7)/F29)</f>
        <v>0.16488595438175271</v>
      </c>
    </row>
    <row r="28" spans="1:19" s="104" customFormat="1" ht="21" customHeight="1" x14ac:dyDescent="0.25">
      <c r="A28" s="873"/>
      <c r="B28" s="153" t="s">
        <v>644</v>
      </c>
      <c r="C28" s="61" t="s">
        <v>679</v>
      </c>
      <c r="D28" s="118">
        <f>'Settling out'!$S$83</f>
        <v>26170</v>
      </c>
      <c r="E28" s="113">
        <f>+'Settling out'!S33</f>
        <v>237.45</v>
      </c>
      <c r="F28" s="106">
        <f t="shared" si="0"/>
        <v>252.14999999999998</v>
      </c>
      <c r="G28" s="107">
        <f>E28-E29</f>
        <v>2.25</v>
      </c>
      <c r="H28" s="107">
        <f>G28*(($I$30+14.7)/($E$30+14.7))+S27+S28</f>
        <v>3.1717582649498155</v>
      </c>
      <c r="I28" s="151">
        <f>(I29+(H28+14.7))-14.7</f>
        <v>265.45170185882569</v>
      </c>
      <c r="J28" s="151">
        <v>285</v>
      </c>
      <c r="K28" s="865"/>
      <c r="L28" s="875"/>
      <c r="M28" s="865"/>
      <c r="N28" s="104">
        <f t="shared" si="3"/>
        <v>295.76451887531795</v>
      </c>
      <c r="O28" s="183" t="s">
        <v>597</v>
      </c>
      <c r="P28" s="184" t="s">
        <v>598</v>
      </c>
      <c r="Q28" s="185">
        <f>'Settling out'!$S$83</f>
        <v>26170</v>
      </c>
      <c r="R28" s="185">
        <v>0.47</v>
      </c>
      <c r="S28" s="186">
        <f>R28*(($I$30+14.7)/F29)</f>
        <v>0.51664265706282519</v>
      </c>
    </row>
    <row r="29" spans="1:19" s="104" customFormat="1" ht="21" customHeight="1" x14ac:dyDescent="0.25">
      <c r="A29" s="873"/>
      <c r="B29" s="153" t="s">
        <v>569</v>
      </c>
      <c r="C29" s="105" t="s">
        <v>681</v>
      </c>
      <c r="D29" s="118">
        <f>'Settling out'!$S$83</f>
        <v>26170</v>
      </c>
      <c r="E29" s="113">
        <f>+'Settling out'!S37</f>
        <v>235.2</v>
      </c>
      <c r="F29" s="106">
        <f t="shared" si="0"/>
        <v>249.89999999999998</v>
      </c>
      <c r="G29" s="107">
        <f>E29-E30</f>
        <v>1.6999999999999886</v>
      </c>
      <c r="H29" s="107">
        <f>G29*(($I$30+14.7)/($E$30+14.7))+S29</f>
        <v>2.2799435938758941</v>
      </c>
      <c r="I29" s="151">
        <f>(I30+(H29+14.7))-14.7</f>
        <v>262.27994359387588</v>
      </c>
      <c r="J29" s="151">
        <v>275</v>
      </c>
      <c r="K29" s="865"/>
      <c r="L29" s="875"/>
      <c r="M29" s="865"/>
      <c r="N29" s="104">
        <f t="shared" si="3"/>
        <v>276.64760436356062</v>
      </c>
      <c r="O29" s="183" t="s">
        <v>599</v>
      </c>
      <c r="P29" s="184" t="s">
        <v>600</v>
      </c>
      <c r="Q29" s="185">
        <f>'Settling out'!$S$83</f>
        <v>26170</v>
      </c>
      <c r="R29" s="185">
        <v>0.36</v>
      </c>
      <c r="S29" s="186">
        <f>R29*(($I$30+14.7)/F30)</f>
        <v>0.398436744560838</v>
      </c>
    </row>
    <row r="30" spans="1:19" s="104" customFormat="1" ht="21" customHeight="1" thickBot="1" x14ac:dyDescent="0.3">
      <c r="A30" s="873"/>
      <c r="B30" s="154" t="s">
        <v>240</v>
      </c>
      <c r="C30" s="61" t="s">
        <v>672</v>
      </c>
      <c r="D30" s="118">
        <f>'Settling out'!$S$83</f>
        <v>26170</v>
      </c>
      <c r="E30" s="146">
        <f>+'Settling out'!S39</f>
        <v>233.5</v>
      </c>
      <c r="F30" s="106">
        <f t="shared" si="0"/>
        <v>248.2</v>
      </c>
      <c r="G30" s="147">
        <f>+E30-E31</f>
        <v>1.3999999999999773</v>
      </c>
      <c r="H30" s="107">
        <f>G30*(($I$30+14.7)/($E$30+14.7))</f>
        <v>1.5494762288476782</v>
      </c>
      <c r="I30" s="152">
        <v>260</v>
      </c>
      <c r="J30" s="152">
        <v>260</v>
      </c>
      <c r="K30" s="865"/>
      <c r="L30" s="875"/>
      <c r="M30" s="865"/>
      <c r="N30" s="104">
        <f t="shared" si="3"/>
        <v>276.64760436356062</v>
      </c>
      <c r="O30" s="187" t="s">
        <v>601</v>
      </c>
      <c r="P30" s="188" t="s">
        <v>603</v>
      </c>
      <c r="Q30" s="189">
        <f>'Settling out'!$S$83</f>
        <v>26170</v>
      </c>
      <c r="R30" s="189">
        <v>0.53</v>
      </c>
      <c r="S30" s="190">
        <f>R30*(($I$30+14.7)/F31)</f>
        <v>0.58991491085899506</v>
      </c>
    </row>
    <row r="31" spans="1:19" s="104" customFormat="1" ht="21" customHeight="1" thickBot="1" x14ac:dyDescent="0.3">
      <c r="A31" s="873"/>
      <c r="B31" s="173" t="s">
        <v>193</v>
      </c>
      <c r="C31" s="174" t="s">
        <v>670</v>
      </c>
      <c r="D31" s="109">
        <f>'Settling out'!$S$83</f>
        <v>26170</v>
      </c>
      <c r="E31" s="114">
        <f>+'Settling out'!S41</f>
        <v>232.10000000000002</v>
      </c>
      <c r="F31" s="110">
        <f>E31+14.7</f>
        <v>246.8</v>
      </c>
      <c r="G31" s="111">
        <v>0.5</v>
      </c>
      <c r="H31" s="111">
        <f>G31*(($I$30+14.7)/($E$30+14.7))+S30</f>
        <v>1.1432992783046034</v>
      </c>
      <c r="I31" s="175">
        <f>I30-H31</f>
        <v>258.8567007216954</v>
      </c>
      <c r="J31" s="175">
        <v>270</v>
      </c>
      <c r="K31" s="865"/>
      <c r="L31" s="875"/>
      <c r="M31" s="865"/>
      <c r="N31" s="104">
        <f t="shared" si="3"/>
        <v>244.11680946472683</v>
      </c>
    </row>
    <row r="32" spans="1:19" s="104" customFormat="1" ht="21" customHeight="1" thickBot="1" x14ac:dyDescent="0.3">
      <c r="A32" s="873"/>
      <c r="B32" s="160"/>
      <c r="C32" s="69"/>
      <c r="D32" s="161"/>
      <c r="E32" s="162"/>
      <c r="F32" s="163"/>
      <c r="G32" s="164"/>
      <c r="H32" s="164"/>
      <c r="I32" s="165"/>
      <c r="J32" s="165"/>
      <c r="K32" s="865"/>
      <c r="L32" s="875"/>
      <c r="M32" s="865"/>
      <c r="N32" s="104">
        <f t="shared" si="3"/>
        <v>244.11680946472683</v>
      </c>
    </row>
    <row r="33" spans="1:19" s="104" customFormat="1" ht="21" customHeight="1" x14ac:dyDescent="0.25">
      <c r="A33" s="873"/>
      <c r="B33" s="58"/>
      <c r="C33" s="61"/>
      <c r="D33" s="118"/>
      <c r="E33" s="113"/>
      <c r="F33" s="106"/>
      <c r="G33" s="107"/>
      <c r="H33" s="107"/>
      <c r="I33" s="108"/>
      <c r="J33" s="108"/>
      <c r="K33" s="865"/>
      <c r="L33" s="875"/>
      <c r="M33" s="865"/>
      <c r="N33" s="104">
        <f t="shared" si="3"/>
        <v>241.31972896256877</v>
      </c>
      <c r="O33" s="4" t="s">
        <v>18</v>
      </c>
      <c r="P33" s="177" t="s">
        <v>168</v>
      </c>
      <c r="Q33" s="100" t="s">
        <v>172</v>
      </c>
      <c r="R33" s="101" t="s">
        <v>174</v>
      </c>
      <c r="S33" s="176" t="s">
        <v>175</v>
      </c>
    </row>
    <row r="34" spans="1:19" s="104" customFormat="1" ht="21" customHeight="1" thickBot="1" x14ac:dyDescent="0.3">
      <c r="A34" s="873"/>
      <c r="B34" s="62"/>
      <c r="C34" s="61"/>
      <c r="D34" s="118"/>
      <c r="E34" s="113"/>
      <c r="F34" s="106"/>
      <c r="G34" s="107"/>
      <c r="H34" s="107"/>
      <c r="I34" s="108"/>
      <c r="J34" s="108"/>
      <c r="K34" s="865"/>
      <c r="L34" s="875"/>
      <c r="M34" s="865"/>
      <c r="N34" s="104">
        <f t="shared" si="3"/>
        <v>241.31972896256877</v>
      </c>
      <c r="O34" s="94"/>
      <c r="P34" s="178" t="s">
        <v>169</v>
      </c>
      <c r="Q34" s="150" t="s">
        <v>669</v>
      </c>
      <c r="R34" s="150" t="s">
        <v>682</v>
      </c>
      <c r="S34" s="116" t="s">
        <v>682</v>
      </c>
    </row>
    <row r="35" spans="1:19" s="104" customFormat="1" ht="21" customHeight="1" thickBot="1" x14ac:dyDescent="0.3">
      <c r="A35" s="253"/>
      <c r="B35" s="67"/>
      <c r="C35" s="96"/>
      <c r="D35" s="109"/>
      <c r="E35" s="114"/>
      <c r="F35" s="110"/>
      <c r="G35" s="111"/>
      <c r="H35" s="111"/>
      <c r="I35" s="112"/>
      <c r="J35" s="112"/>
      <c r="K35" s="865"/>
      <c r="L35" s="875"/>
      <c r="M35" s="865"/>
      <c r="N35" s="104">
        <f t="shared" si="3"/>
        <v>238.43631235806896</v>
      </c>
      <c r="O35" s="179" t="s">
        <v>612</v>
      </c>
      <c r="P35" s="180" t="s">
        <v>613</v>
      </c>
      <c r="Q35" s="181">
        <f>'Settling out'!$S$83</f>
        <v>26170</v>
      </c>
      <c r="R35" s="181">
        <v>0.31</v>
      </c>
      <c r="S35" s="182">
        <f>R35*(($I$20+14.7)/F17)</f>
        <v>0.34685389386629911</v>
      </c>
    </row>
    <row r="36" spans="1:19" s="104" customFormat="1" ht="21" customHeight="1" x14ac:dyDescent="0.25">
      <c r="A36" s="877"/>
      <c r="B36" s="840"/>
      <c r="C36" s="840"/>
      <c r="D36" s="840"/>
      <c r="E36" s="261"/>
      <c r="F36" s="261"/>
      <c r="G36" s="261"/>
      <c r="H36" s="261"/>
      <c r="I36" s="1"/>
      <c r="J36" s="866"/>
      <c r="K36" s="866"/>
      <c r="L36" s="876"/>
      <c r="M36" s="866"/>
      <c r="N36" s="104">
        <f t="shared" si="3"/>
        <v>236.36363636363635</v>
      </c>
      <c r="O36" s="183" t="s">
        <v>614</v>
      </c>
      <c r="P36" s="184" t="s">
        <v>615</v>
      </c>
      <c r="Q36" s="185">
        <f>'Settling out'!$S$83</f>
        <v>26170</v>
      </c>
      <c r="R36" s="185">
        <v>0.32</v>
      </c>
      <c r="S36" s="186">
        <f>R36*(($I$20+14.7)/F18)</f>
        <v>0.36431977559607293</v>
      </c>
    </row>
    <row r="37" spans="1:19" s="104" customFormat="1" ht="21" customHeight="1" thickBot="1" x14ac:dyDescent="0.3">
      <c r="A37" s="253"/>
      <c r="B37" s="827"/>
      <c r="C37" s="827"/>
      <c r="D37" s="827"/>
      <c r="E37" s="255"/>
      <c r="F37" s="255"/>
      <c r="G37" s="255"/>
      <c r="H37" s="255"/>
      <c r="I37" s="1"/>
      <c r="J37" s="865"/>
      <c r="K37" s="865"/>
      <c r="L37" s="875"/>
      <c r="M37" s="865"/>
      <c r="N37" s="104">
        <f t="shared" si="3"/>
        <v>235.32427338335944</v>
      </c>
      <c r="O37" s="187" t="s">
        <v>617</v>
      </c>
      <c r="P37" s="188" t="s">
        <v>618</v>
      </c>
      <c r="Q37" s="189">
        <f>'Settling out'!$S$83</f>
        <v>26170</v>
      </c>
      <c r="R37" s="189">
        <v>0.11</v>
      </c>
      <c r="S37" s="190">
        <f>R37*(($I$20+14.7)/F19)</f>
        <v>0.12656626506024096</v>
      </c>
    </row>
    <row r="38" spans="1:19" s="104" customFormat="1" ht="21" hidden="1" customHeight="1" x14ac:dyDescent="0.25">
      <c r="A38" s="1291"/>
      <c r="B38" s="1292"/>
      <c r="C38" s="878"/>
      <c r="D38" s="878"/>
      <c r="E38" s="879"/>
      <c r="F38" s="879"/>
      <c r="G38" s="879"/>
      <c r="H38" s="825"/>
      <c r="I38" s="1"/>
      <c r="J38" s="880"/>
      <c r="K38" s="880"/>
      <c r="L38" s="881"/>
    </row>
    <row r="39" spans="1:19" s="104" customFormat="1" ht="21" hidden="1" customHeight="1" x14ac:dyDescent="0.25">
      <c r="A39" s="253"/>
      <c r="B39" s="1"/>
      <c r="C39" s="1"/>
      <c r="D39" s="1"/>
      <c r="E39" s="1"/>
      <c r="F39" s="1"/>
      <c r="G39" s="1"/>
      <c r="H39" s="1"/>
      <c r="I39" s="1"/>
      <c r="J39" s="880"/>
      <c r="K39" s="880"/>
      <c r="L39" s="881"/>
    </row>
    <row r="40" spans="1:19" s="104" customFormat="1" ht="21" hidden="1" customHeight="1" x14ac:dyDescent="0.25">
      <c r="A40" s="253"/>
      <c r="B40" s="1"/>
      <c r="C40" s="1"/>
      <c r="D40" s="1"/>
      <c r="E40" s="1"/>
      <c r="F40" s="1"/>
      <c r="G40" s="1"/>
      <c r="H40" s="1"/>
      <c r="I40" s="1"/>
      <c r="J40" s="880"/>
      <c r="K40" s="880"/>
      <c r="L40" s="881"/>
    </row>
    <row r="41" spans="1:19" s="104" customFormat="1" ht="21" hidden="1" customHeight="1" thickBot="1" x14ac:dyDescent="0.3">
      <c r="A41" s="253"/>
      <c r="B41" s="1"/>
      <c r="C41" s="1"/>
      <c r="D41" s="1"/>
      <c r="E41" s="1"/>
      <c r="F41" s="1"/>
      <c r="G41" s="1"/>
      <c r="H41" s="1"/>
      <c r="I41" s="1"/>
      <c r="J41" s="880"/>
      <c r="K41" s="880"/>
      <c r="L41" s="881"/>
    </row>
    <row r="42" spans="1:19" ht="18.75" customHeight="1" x14ac:dyDescent="0.2">
      <c r="A42" s="253"/>
      <c r="B42" s="1"/>
      <c r="C42" s="1"/>
      <c r="D42" s="1"/>
      <c r="E42" s="1"/>
      <c r="F42" s="1"/>
      <c r="G42" s="1"/>
      <c r="H42" s="1"/>
      <c r="I42" s="1"/>
      <c r="J42" s="1"/>
      <c r="K42" s="1"/>
      <c r="L42" s="264"/>
    </row>
    <row r="43" spans="1:19" ht="19.5" hidden="1" customHeight="1" x14ac:dyDescent="0.2">
      <c r="A43" s="253"/>
      <c r="B43" s="1"/>
      <c r="C43" s="1"/>
      <c r="D43" s="1"/>
      <c r="E43" s="1"/>
      <c r="F43" s="1"/>
      <c r="G43" s="1"/>
      <c r="H43" s="1"/>
      <c r="I43" s="1"/>
      <c r="J43" s="1"/>
      <c r="K43" s="1"/>
      <c r="L43" s="264"/>
    </row>
    <row r="44" spans="1:19" ht="19.5" hidden="1" customHeight="1" x14ac:dyDescent="0.2">
      <c r="A44" s="253"/>
      <c r="B44" s="1"/>
      <c r="C44" s="1"/>
      <c r="D44" s="1"/>
      <c r="E44" s="1"/>
      <c r="F44" s="1"/>
      <c r="G44" s="1"/>
      <c r="H44" s="1"/>
      <c r="I44" s="1"/>
      <c r="J44" s="1"/>
      <c r="K44" s="1"/>
      <c r="L44" s="264"/>
    </row>
    <row r="45" spans="1:19" ht="19.5" hidden="1" customHeight="1" x14ac:dyDescent="0.2">
      <c r="A45" s="253"/>
      <c r="B45" s="1"/>
      <c r="C45" s="1"/>
      <c r="D45" s="1"/>
      <c r="E45" s="1"/>
      <c r="F45" s="1"/>
      <c r="G45" s="1"/>
      <c r="H45" s="1"/>
      <c r="I45" s="1"/>
      <c r="J45" s="1"/>
      <c r="K45" s="1"/>
      <c r="L45" s="264"/>
    </row>
    <row r="46" spans="1:19" ht="19.5" hidden="1" customHeight="1" x14ac:dyDescent="0.2">
      <c r="A46" s="253"/>
      <c r="B46" s="1"/>
      <c r="C46" s="1"/>
      <c r="D46" s="1"/>
      <c r="E46" s="1"/>
      <c r="F46" s="1"/>
      <c r="G46" s="1"/>
      <c r="H46" s="1"/>
      <c r="I46" s="1"/>
      <c r="J46" s="1"/>
      <c r="K46" s="1"/>
      <c r="L46" s="264"/>
    </row>
    <row r="47" spans="1:19" hidden="1" x14ac:dyDescent="0.2">
      <c r="A47" s="253"/>
      <c r="B47" s="1"/>
      <c r="C47" s="1"/>
      <c r="D47" s="1"/>
      <c r="E47" s="1"/>
      <c r="F47" s="1"/>
      <c r="G47" s="1"/>
      <c r="H47" s="1"/>
      <c r="I47" s="1"/>
      <c r="J47" s="1"/>
      <c r="K47" s="1"/>
      <c r="L47" s="264"/>
    </row>
    <row r="48" spans="1:19" hidden="1" x14ac:dyDescent="0.2">
      <c r="A48" s="253"/>
      <c r="B48" s="1"/>
      <c r="C48" s="1"/>
      <c r="D48" s="1"/>
      <c r="E48" s="1"/>
      <c r="F48" s="1"/>
      <c r="G48" s="1"/>
      <c r="H48" s="1"/>
      <c r="I48" s="1"/>
      <c r="J48" s="1"/>
      <c r="K48" s="1"/>
      <c r="L48" s="264"/>
    </row>
    <row r="49" spans="1:12" hidden="1" x14ac:dyDescent="0.2">
      <c r="A49" s="253"/>
      <c r="B49" s="1"/>
      <c r="C49" s="1"/>
      <c r="D49" s="1"/>
      <c r="E49" s="1"/>
      <c r="F49" s="1"/>
      <c r="G49" s="1"/>
      <c r="H49" s="1"/>
      <c r="I49" s="1"/>
      <c r="J49" s="1"/>
      <c r="K49" s="1"/>
      <c r="L49" s="264"/>
    </row>
    <row r="50" spans="1:12" x14ac:dyDescent="0.2">
      <c r="A50" s="253"/>
      <c r="B50" s="1"/>
      <c r="C50" s="1"/>
      <c r="D50" s="1"/>
      <c r="E50" s="1"/>
      <c r="F50" s="1"/>
      <c r="G50" s="1"/>
      <c r="H50" s="1"/>
      <c r="I50" s="1"/>
      <c r="J50" s="1"/>
      <c r="K50" s="1"/>
      <c r="L50" s="264"/>
    </row>
    <row r="51" spans="1:12" x14ac:dyDescent="0.2">
      <c r="A51" s="253"/>
      <c r="B51" s="1"/>
      <c r="C51" s="1"/>
      <c r="D51" s="1"/>
      <c r="E51" s="1"/>
      <c r="F51" s="1"/>
      <c r="G51" s="1"/>
      <c r="H51" s="1"/>
      <c r="I51" s="1"/>
      <c r="J51" s="1"/>
      <c r="K51" s="1"/>
      <c r="L51" s="264"/>
    </row>
    <row r="52" spans="1:12" x14ac:dyDescent="0.2">
      <c r="A52" s="253"/>
      <c r="B52" s="1"/>
      <c r="C52" s="1"/>
      <c r="D52" s="1"/>
      <c r="E52" s="1"/>
      <c r="F52" s="1"/>
      <c r="G52" s="1"/>
      <c r="H52" s="1"/>
      <c r="I52" s="1"/>
      <c r="J52" s="1"/>
      <c r="K52" s="1"/>
      <c r="L52" s="264"/>
    </row>
    <row r="53" spans="1:12" x14ac:dyDescent="0.2">
      <c r="A53" s="253"/>
      <c r="B53" s="1"/>
      <c r="C53" s="1"/>
      <c r="D53" s="1"/>
      <c r="E53" s="1"/>
      <c r="F53" s="1"/>
      <c r="G53" s="1"/>
      <c r="H53" s="1"/>
      <c r="I53" s="1"/>
      <c r="J53" s="1"/>
      <c r="K53" s="1"/>
      <c r="L53" s="264"/>
    </row>
    <row r="54" spans="1:12" x14ac:dyDescent="0.2">
      <c r="A54" s="253"/>
      <c r="B54" s="1"/>
      <c r="C54" s="1"/>
      <c r="D54" s="1"/>
      <c r="E54" s="1"/>
      <c r="F54" s="1"/>
      <c r="G54" s="1"/>
      <c r="H54" s="1"/>
      <c r="I54" s="1"/>
      <c r="J54" s="1"/>
      <c r="K54" s="1"/>
      <c r="L54" s="264"/>
    </row>
    <row r="55" spans="1:12" x14ac:dyDescent="0.2">
      <c r="A55" s="253"/>
      <c r="B55" s="1"/>
      <c r="C55" s="1"/>
      <c r="D55" s="1"/>
      <c r="E55" s="1"/>
      <c r="F55" s="1"/>
      <c r="G55" s="1"/>
      <c r="H55" s="1"/>
      <c r="I55" s="1"/>
      <c r="J55" s="1"/>
      <c r="K55" s="1"/>
      <c r="L55" s="264"/>
    </row>
    <row r="56" spans="1:12" x14ac:dyDescent="0.2">
      <c r="A56" s="253"/>
      <c r="B56" s="1"/>
      <c r="C56" s="1"/>
      <c r="D56" s="1"/>
      <c r="E56" s="1"/>
      <c r="F56" s="1"/>
      <c r="G56" s="1"/>
      <c r="H56" s="1"/>
      <c r="I56" s="1"/>
      <c r="J56" s="1"/>
      <c r="K56" s="1"/>
      <c r="L56" s="264"/>
    </row>
    <row r="57" spans="1:12" x14ac:dyDescent="0.2">
      <c r="A57" s="253"/>
      <c r="B57" s="1"/>
      <c r="C57" s="1"/>
      <c r="D57" s="1"/>
      <c r="E57" s="1"/>
      <c r="F57" s="1"/>
      <c r="G57" s="1"/>
      <c r="H57" s="1"/>
      <c r="I57" s="1"/>
      <c r="J57" s="1"/>
      <c r="K57" s="1"/>
      <c r="L57" s="264"/>
    </row>
    <row r="58" spans="1:12" x14ac:dyDescent="0.2">
      <c r="A58" s="253"/>
      <c r="B58" s="1"/>
      <c r="C58" s="1"/>
      <c r="D58" s="1"/>
      <c r="E58" s="1"/>
      <c r="F58" s="1"/>
      <c r="G58" s="1"/>
      <c r="H58" s="1"/>
      <c r="I58" s="1"/>
      <c r="J58" s="1"/>
      <c r="K58" s="1"/>
      <c r="L58" s="264"/>
    </row>
    <row r="59" spans="1:12" x14ac:dyDescent="0.2">
      <c r="A59" s="253"/>
      <c r="B59" s="1"/>
      <c r="C59" s="1"/>
      <c r="D59" s="1"/>
      <c r="E59" s="1"/>
      <c r="F59" s="1"/>
      <c r="G59" s="1"/>
      <c r="H59" s="1"/>
      <c r="I59" s="1"/>
      <c r="J59" s="1"/>
      <c r="K59" s="1"/>
      <c r="L59" s="264"/>
    </row>
    <row r="60" spans="1:12" x14ac:dyDescent="0.2">
      <c r="A60" s="253"/>
      <c r="B60" s="1"/>
      <c r="C60" s="1"/>
      <c r="D60" s="1"/>
      <c r="E60" s="1"/>
      <c r="F60" s="1"/>
      <c r="G60" s="1"/>
      <c r="H60" s="1"/>
      <c r="I60" s="1"/>
      <c r="J60" s="1"/>
      <c r="K60" s="1"/>
      <c r="L60" s="264"/>
    </row>
    <row r="61" spans="1:12" x14ac:dyDescent="0.2">
      <c r="A61" s="253"/>
      <c r="B61" s="1"/>
      <c r="C61" s="1"/>
      <c r="D61" s="1"/>
      <c r="E61" s="1"/>
      <c r="F61" s="1"/>
      <c r="G61" s="1"/>
      <c r="H61" s="1"/>
      <c r="I61" s="1"/>
      <c r="J61" s="1"/>
      <c r="K61" s="1"/>
      <c r="L61" s="264"/>
    </row>
    <row r="62" spans="1:12" x14ac:dyDescent="0.2">
      <c r="A62" s="253"/>
      <c r="B62" s="1"/>
      <c r="C62" s="1"/>
      <c r="D62" s="1"/>
      <c r="E62" s="1"/>
      <c r="F62" s="1"/>
      <c r="G62" s="1"/>
      <c r="H62" s="1"/>
      <c r="I62" s="1"/>
      <c r="J62" s="1"/>
      <c r="K62" s="1"/>
      <c r="L62" s="264"/>
    </row>
    <row r="63" spans="1:12" x14ac:dyDescent="0.2">
      <c r="A63" s="253"/>
      <c r="B63" s="1"/>
      <c r="C63" s="1"/>
      <c r="D63" s="1"/>
      <c r="E63" s="1"/>
      <c r="F63" s="1"/>
      <c r="G63" s="1"/>
      <c r="H63" s="1"/>
      <c r="I63" s="1"/>
      <c r="J63" s="1"/>
      <c r="K63" s="1"/>
      <c r="L63" s="264"/>
    </row>
    <row r="64" spans="1:12" x14ac:dyDescent="0.2">
      <c r="A64" s="253"/>
      <c r="B64" s="1"/>
      <c r="C64" s="1"/>
      <c r="D64" s="1"/>
      <c r="E64" s="1"/>
      <c r="F64" s="1"/>
      <c r="G64" s="1"/>
      <c r="H64" s="1"/>
      <c r="I64" s="1"/>
      <c r="J64" s="1"/>
      <c r="K64" s="1"/>
      <c r="L64" s="264"/>
    </row>
    <row r="65" spans="1:12" x14ac:dyDescent="0.2">
      <c r="A65" s="253"/>
      <c r="B65" s="1"/>
      <c r="C65" s="1"/>
      <c r="D65" s="1"/>
      <c r="E65" s="1"/>
      <c r="F65" s="1"/>
      <c r="G65" s="1"/>
      <c r="H65" s="1"/>
      <c r="I65" s="1"/>
      <c r="J65" s="1"/>
      <c r="K65" s="1"/>
      <c r="L65" s="264"/>
    </row>
    <row r="66" spans="1:12" x14ac:dyDescent="0.2">
      <c r="A66" s="253"/>
      <c r="B66" s="1"/>
      <c r="C66" s="1"/>
      <c r="D66" s="1"/>
      <c r="E66" s="1"/>
      <c r="F66" s="1"/>
      <c r="G66" s="1"/>
      <c r="H66" s="1"/>
      <c r="I66" s="1"/>
      <c r="J66" s="1"/>
      <c r="K66" s="1"/>
      <c r="L66" s="264"/>
    </row>
    <row r="67" spans="1:12" x14ac:dyDescent="0.2">
      <c r="A67" s="253"/>
      <c r="B67" s="1"/>
      <c r="C67" s="1"/>
      <c r="D67" s="1"/>
      <c r="E67" s="1"/>
      <c r="F67" s="1"/>
      <c r="G67" s="1"/>
      <c r="H67" s="1"/>
      <c r="I67" s="1"/>
      <c r="J67" s="1"/>
      <c r="K67" s="1"/>
      <c r="L67" s="264"/>
    </row>
    <row r="68" spans="1:12" x14ac:dyDescent="0.2">
      <c r="A68" s="253"/>
      <c r="B68" s="1"/>
      <c r="C68" s="1"/>
      <c r="D68" s="1"/>
      <c r="E68" s="1"/>
      <c r="F68" s="1"/>
      <c r="G68" s="1"/>
      <c r="H68" s="1"/>
      <c r="I68" s="1"/>
      <c r="J68" s="1"/>
      <c r="K68" s="1"/>
      <c r="L68" s="264"/>
    </row>
    <row r="69" spans="1:12" x14ac:dyDescent="0.2">
      <c r="A69" s="253"/>
      <c r="B69" s="1"/>
      <c r="C69" s="1"/>
      <c r="D69" s="1"/>
      <c r="E69" s="1"/>
      <c r="F69" s="1"/>
      <c r="G69" s="1"/>
      <c r="H69" s="1"/>
      <c r="I69" s="1"/>
      <c r="J69" s="1"/>
      <c r="K69" s="1"/>
      <c r="L69" s="264"/>
    </row>
    <row r="70" spans="1:12" x14ac:dyDescent="0.2">
      <c r="A70" s="253"/>
      <c r="B70" s="1"/>
      <c r="C70" s="1"/>
      <c r="D70" s="1"/>
      <c r="E70" s="1"/>
      <c r="F70" s="1"/>
      <c r="G70" s="1"/>
      <c r="H70" s="1"/>
      <c r="I70" s="1"/>
      <c r="J70" s="1"/>
      <c r="K70" s="1"/>
      <c r="L70" s="264"/>
    </row>
    <row r="71" spans="1:12" x14ac:dyDescent="0.2">
      <c r="A71" s="253"/>
      <c r="B71" s="1"/>
      <c r="C71" s="1"/>
      <c r="D71" s="1"/>
      <c r="E71" s="1"/>
      <c r="F71" s="1"/>
      <c r="G71" s="1"/>
      <c r="H71" s="1"/>
      <c r="I71" s="1"/>
      <c r="J71" s="1"/>
      <c r="K71" s="1"/>
      <c r="L71" s="264"/>
    </row>
    <row r="72" spans="1:12" x14ac:dyDescent="0.2">
      <c r="A72" s="253"/>
      <c r="B72" s="1"/>
      <c r="C72" s="1"/>
      <c r="D72" s="1"/>
      <c r="E72" s="1"/>
      <c r="F72" s="1"/>
      <c r="G72" s="1"/>
      <c r="H72" s="1"/>
      <c r="I72" s="1"/>
      <c r="J72" s="1"/>
      <c r="K72" s="1"/>
      <c r="L72" s="264"/>
    </row>
    <row r="73" spans="1:12" x14ac:dyDescent="0.2">
      <c r="A73" s="253"/>
      <c r="B73" s="1"/>
      <c r="C73" s="1"/>
      <c r="D73" s="1"/>
      <c r="E73" s="1"/>
      <c r="F73" s="1"/>
      <c r="G73" s="1"/>
      <c r="H73" s="1"/>
      <c r="I73" s="1"/>
      <c r="J73" s="1"/>
      <c r="K73" s="1"/>
      <c r="L73" s="264"/>
    </row>
    <row r="74" spans="1:12" x14ac:dyDescent="0.2">
      <c r="A74" s="253"/>
      <c r="B74" s="1"/>
      <c r="C74" s="1"/>
      <c r="D74" s="1"/>
      <c r="E74" s="1"/>
      <c r="F74" s="1"/>
      <c r="G74" s="1"/>
      <c r="H74" s="1"/>
      <c r="I74" s="1"/>
      <c r="J74" s="1"/>
      <c r="K74" s="1"/>
      <c r="L74" s="264"/>
    </row>
    <row r="75" spans="1:12" x14ac:dyDescent="0.2">
      <c r="A75" s="253"/>
      <c r="B75" s="1"/>
      <c r="C75" s="1"/>
      <c r="D75" s="1"/>
      <c r="E75" s="1"/>
      <c r="F75" s="1"/>
      <c r="G75" s="1"/>
      <c r="H75" s="1"/>
      <c r="I75" s="1"/>
      <c r="J75" s="1"/>
      <c r="K75" s="1"/>
      <c r="L75" s="264"/>
    </row>
    <row r="76" spans="1:12" x14ac:dyDescent="0.2">
      <c r="A76" s="253"/>
      <c r="B76" s="1"/>
      <c r="C76" s="1"/>
      <c r="D76" s="1"/>
      <c r="E76" s="1"/>
      <c r="F76" s="1"/>
      <c r="G76" s="1"/>
      <c r="H76" s="1"/>
      <c r="I76" s="1"/>
      <c r="J76" s="1"/>
      <c r="K76" s="1"/>
      <c r="L76" s="264"/>
    </row>
    <row r="77" spans="1:12" x14ac:dyDescent="0.2">
      <c r="A77" s="253"/>
      <c r="B77" s="1"/>
      <c r="C77" s="1"/>
      <c r="D77" s="1"/>
      <c r="E77" s="1"/>
      <c r="F77" s="1"/>
      <c r="G77" s="1"/>
      <c r="H77" s="1"/>
      <c r="I77" s="1"/>
      <c r="J77" s="1"/>
      <c r="K77" s="1"/>
      <c r="L77" s="264"/>
    </row>
    <row r="78" spans="1:12" x14ac:dyDescent="0.2">
      <c r="A78" s="253"/>
      <c r="B78" s="1"/>
      <c r="C78" s="1"/>
      <c r="D78" s="1"/>
      <c r="E78" s="1"/>
      <c r="F78" s="1"/>
      <c r="G78" s="1"/>
      <c r="H78" s="1"/>
      <c r="I78" s="1"/>
      <c r="J78" s="1"/>
      <c r="K78" s="1"/>
      <c r="L78" s="264"/>
    </row>
    <row r="79" spans="1:12" x14ac:dyDescent="0.2">
      <c r="A79" s="253"/>
      <c r="B79" s="1"/>
      <c r="C79" s="1"/>
      <c r="D79" s="1"/>
      <c r="E79" s="1"/>
      <c r="F79" s="1"/>
      <c r="G79" s="1"/>
      <c r="H79" s="1"/>
      <c r="I79" s="1"/>
      <c r="J79" s="1"/>
      <c r="K79" s="1"/>
      <c r="L79" s="264"/>
    </row>
    <row r="80" spans="1:12" x14ac:dyDescent="0.2">
      <c r="A80" s="253"/>
      <c r="B80" s="1"/>
      <c r="C80" s="1"/>
      <c r="D80" s="1"/>
      <c r="E80" s="1"/>
      <c r="F80" s="1"/>
      <c r="G80" s="1"/>
      <c r="H80" s="1"/>
      <c r="I80" s="1"/>
      <c r="J80" s="1"/>
      <c r="K80" s="1"/>
      <c r="L80" s="264"/>
    </row>
    <row r="81" spans="1:12" x14ac:dyDescent="0.2">
      <c r="A81" s="253"/>
      <c r="B81" s="1"/>
      <c r="C81" s="1"/>
      <c r="D81" s="1"/>
      <c r="E81" s="1"/>
      <c r="F81" s="1"/>
      <c r="G81" s="1"/>
      <c r="H81" s="1"/>
      <c r="I81" s="1"/>
      <c r="J81" s="1"/>
      <c r="K81" s="1"/>
      <c r="L81" s="264"/>
    </row>
    <row r="82" spans="1:12" x14ac:dyDescent="0.2">
      <c r="A82" s="253"/>
      <c r="B82" s="1"/>
      <c r="C82" s="1"/>
      <c r="D82" s="1"/>
      <c r="E82" s="1"/>
      <c r="F82" s="1"/>
      <c r="G82" s="1"/>
      <c r="H82" s="1"/>
      <c r="I82" s="1"/>
      <c r="J82" s="1"/>
      <c r="K82" s="1"/>
      <c r="L82" s="264"/>
    </row>
    <row r="83" spans="1:12" x14ac:dyDescent="0.2">
      <c r="A83" s="253"/>
      <c r="B83" s="1"/>
      <c r="C83" s="1"/>
      <c r="D83" s="1"/>
      <c r="E83" s="1"/>
      <c r="F83" s="1"/>
      <c r="G83" s="1"/>
      <c r="H83" s="1"/>
      <c r="I83" s="1"/>
      <c r="J83" s="1"/>
      <c r="K83" s="1"/>
      <c r="L83" s="264"/>
    </row>
    <row r="84" spans="1:12" x14ac:dyDescent="0.2">
      <c r="A84" s="253"/>
      <c r="B84" s="1"/>
      <c r="C84" s="1"/>
      <c r="D84" s="1"/>
      <c r="E84" s="1"/>
      <c r="F84" s="1"/>
      <c r="G84" s="1"/>
      <c r="H84" s="1"/>
      <c r="I84" s="1"/>
      <c r="J84" s="1"/>
      <c r="K84" s="1"/>
      <c r="L84" s="264"/>
    </row>
    <row r="85" spans="1:12" x14ac:dyDescent="0.2">
      <c r="A85" s="253"/>
      <c r="B85" s="1"/>
      <c r="C85" s="1"/>
      <c r="D85" s="1"/>
      <c r="E85" s="1"/>
      <c r="F85" s="1"/>
      <c r="G85" s="1"/>
      <c r="H85" s="1"/>
      <c r="I85" s="1"/>
      <c r="J85" s="1"/>
      <c r="K85" s="1"/>
      <c r="L85" s="264"/>
    </row>
    <row r="86" spans="1:12" x14ac:dyDescent="0.2">
      <c r="A86" s="253"/>
      <c r="B86" s="1"/>
      <c r="C86" s="1"/>
      <c r="D86" s="1"/>
      <c r="E86" s="1"/>
      <c r="F86" s="1"/>
      <c r="G86" s="1"/>
      <c r="H86" s="1"/>
      <c r="I86" s="1"/>
      <c r="J86" s="1"/>
      <c r="K86" s="1"/>
      <c r="L86" s="264"/>
    </row>
    <row r="87" spans="1:12" x14ac:dyDescent="0.2">
      <c r="A87" s="253"/>
      <c r="B87" s="1"/>
      <c r="C87" s="1"/>
      <c r="D87" s="1"/>
      <c r="E87" s="1"/>
      <c r="F87" s="1"/>
      <c r="G87" s="1"/>
      <c r="H87" s="1"/>
      <c r="I87" s="1"/>
      <c r="J87" s="1"/>
      <c r="K87" s="1"/>
      <c r="L87" s="264"/>
    </row>
    <row r="88" spans="1:12" x14ac:dyDescent="0.2">
      <c r="A88" s="253"/>
      <c r="B88" s="1"/>
      <c r="C88" s="1"/>
      <c r="D88" s="1"/>
      <c r="E88" s="1"/>
      <c r="F88" s="1"/>
      <c r="G88" s="1"/>
      <c r="H88" s="1"/>
      <c r="I88" s="1"/>
      <c r="J88" s="1"/>
      <c r="K88" s="1"/>
      <c r="L88" s="264"/>
    </row>
    <row r="89" spans="1:12" x14ac:dyDescent="0.2">
      <c r="A89" s="253"/>
      <c r="B89" s="1"/>
      <c r="C89" s="1"/>
      <c r="D89" s="1"/>
      <c r="E89" s="1"/>
      <c r="F89" s="1"/>
      <c r="G89" s="1"/>
      <c r="H89" s="1"/>
      <c r="I89" s="1"/>
      <c r="J89" s="1"/>
      <c r="K89" s="1"/>
      <c r="L89" s="264"/>
    </row>
    <row r="90" spans="1:12" x14ac:dyDescent="0.2">
      <c r="A90" s="253"/>
      <c r="B90" s="1"/>
      <c r="C90" s="1"/>
      <c r="D90" s="1"/>
      <c r="E90" s="1"/>
      <c r="F90" s="1"/>
      <c r="G90" s="1"/>
      <c r="H90" s="1"/>
      <c r="I90" s="1"/>
      <c r="J90" s="1"/>
      <c r="K90" s="1"/>
      <c r="L90" s="264"/>
    </row>
    <row r="91" spans="1:12" x14ac:dyDescent="0.2">
      <c r="A91" s="253"/>
      <c r="B91" s="1"/>
      <c r="C91" s="1"/>
      <c r="D91" s="1"/>
      <c r="E91" s="1"/>
      <c r="F91" s="1"/>
      <c r="G91" s="1"/>
      <c r="H91" s="1"/>
      <c r="I91" s="1"/>
      <c r="J91" s="1"/>
      <c r="K91" s="1"/>
      <c r="L91" s="264"/>
    </row>
    <row r="92" spans="1:12" x14ac:dyDescent="0.2">
      <c r="A92" s="253"/>
      <c r="B92" s="1"/>
      <c r="C92" s="1"/>
      <c r="D92" s="1"/>
      <c r="E92" s="1"/>
      <c r="F92" s="1"/>
      <c r="G92" s="1"/>
      <c r="H92" s="1"/>
      <c r="I92" s="1"/>
      <c r="J92" s="1"/>
      <c r="K92" s="1"/>
      <c r="L92" s="264"/>
    </row>
    <row r="93" spans="1:12" x14ac:dyDescent="0.2">
      <c r="A93" s="253"/>
      <c r="B93" s="1"/>
      <c r="C93" s="1"/>
      <c r="D93" s="1"/>
      <c r="E93" s="1"/>
      <c r="F93" s="1"/>
      <c r="G93" s="1"/>
      <c r="H93" s="1"/>
      <c r="I93" s="1"/>
      <c r="J93" s="1"/>
      <c r="K93" s="1"/>
      <c r="L93" s="264"/>
    </row>
    <row r="94" spans="1:12" x14ac:dyDescent="0.2">
      <c r="A94" s="253"/>
      <c r="B94" s="1"/>
      <c r="C94" s="1"/>
      <c r="D94" s="1"/>
      <c r="E94" s="1"/>
      <c r="F94" s="1"/>
      <c r="G94" s="1"/>
      <c r="H94" s="1"/>
      <c r="I94" s="1"/>
      <c r="J94" s="1"/>
      <c r="K94" s="1"/>
      <c r="L94" s="264"/>
    </row>
    <row r="95" spans="1:12" x14ac:dyDescent="0.2">
      <c r="A95" s="253"/>
      <c r="B95" s="1"/>
      <c r="C95" s="1"/>
      <c r="D95" s="1"/>
      <c r="E95" s="1"/>
      <c r="F95" s="1"/>
      <c r="G95" s="1"/>
      <c r="H95" s="1"/>
      <c r="I95" s="1"/>
      <c r="J95" s="1"/>
      <c r="K95" s="1"/>
      <c r="L95" s="264"/>
    </row>
    <row r="96" spans="1:12" x14ac:dyDescent="0.2">
      <c r="A96" s="253"/>
      <c r="B96" s="1"/>
      <c r="C96" s="1"/>
      <c r="D96" s="1"/>
      <c r="E96" s="1"/>
      <c r="F96" s="1"/>
      <c r="G96" s="1"/>
      <c r="H96" s="1"/>
      <c r="I96" s="1"/>
      <c r="J96" s="1"/>
      <c r="K96" s="1"/>
      <c r="L96" s="264"/>
    </row>
    <row r="97" spans="1:12" x14ac:dyDescent="0.2">
      <c r="A97" s="253"/>
      <c r="B97" s="1"/>
      <c r="C97" s="1"/>
      <c r="D97" s="1"/>
      <c r="E97" s="1"/>
      <c r="F97" s="1"/>
      <c r="G97" s="1"/>
      <c r="H97" s="1"/>
      <c r="I97" s="1"/>
      <c r="J97" s="1"/>
      <c r="K97" s="1"/>
      <c r="L97" s="264"/>
    </row>
    <row r="98" spans="1:12" x14ac:dyDescent="0.2">
      <c r="A98" s="253"/>
      <c r="B98" s="1"/>
      <c r="C98" s="1"/>
      <c r="D98" s="1"/>
      <c r="E98" s="1"/>
      <c r="F98" s="1"/>
      <c r="G98" s="1"/>
      <c r="H98" s="1"/>
      <c r="I98" s="1"/>
      <c r="J98" s="1"/>
      <c r="K98" s="1"/>
      <c r="L98" s="264"/>
    </row>
    <row r="99" spans="1:12" x14ac:dyDescent="0.2">
      <c r="A99" s="253"/>
      <c r="B99" s="1"/>
      <c r="C99" s="1"/>
      <c r="D99" s="1"/>
      <c r="E99" s="1"/>
      <c r="F99" s="1"/>
      <c r="G99" s="1"/>
      <c r="H99" s="1"/>
      <c r="I99" s="1"/>
      <c r="J99" s="1"/>
      <c r="K99" s="1"/>
      <c r="L99" s="264"/>
    </row>
    <row r="100" spans="1:12" x14ac:dyDescent="0.2">
      <c r="A100" s="253"/>
      <c r="B100" s="1"/>
      <c r="C100" s="1"/>
      <c r="D100" s="1"/>
      <c r="E100" s="1"/>
      <c r="F100" s="1"/>
      <c r="G100" s="1"/>
      <c r="H100" s="1"/>
      <c r="I100" s="1"/>
      <c r="J100" s="1"/>
      <c r="K100" s="1"/>
      <c r="L100" s="264"/>
    </row>
    <row r="101" spans="1:12" x14ac:dyDescent="0.2">
      <c r="A101" s="253"/>
      <c r="B101" s="1"/>
      <c r="C101" s="1"/>
      <c r="D101" s="1"/>
      <c r="E101" s="1"/>
      <c r="F101" s="1"/>
      <c r="G101" s="1"/>
      <c r="H101" s="1"/>
      <c r="I101" s="1"/>
      <c r="J101" s="1"/>
      <c r="K101" s="1"/>
      <c r="L101" s="264"/>
    </row>
    <row r="102" spans="1:12" x14ac:dyDescent="0.2">
      <c r="A102" s="253"/>
      <c r="B102" s="1"/>
      <c r="C102" s="1"/>
      <c r="D102" s="1"/>
      <c r="E102" s="1"/>
      <c r="F102" s="1"/>
      <c r="G102" s="1"/>
      <c r="H102" s="1"/>
      <c r="I102" s="1"/>
      <c r="J102" s="1"/>
      <c r="K102" s="1"/>
      <c r="L102" s="264"/>
    </row>
    <row r="103" spans="1:12" x14ac:dyDescent="0.2">
      <c r="A103" s="253"/>
      <c r="B103" s="1"/>
      <c r="C103" s="1"/>
      <c r="D103" s="1"/>
      <c r="E103" s="1"/>
      <c r="F103" s="1"/>
      <c r="G103" s="1"/>
      <c r="H103" s="1"/>
      <c r="I103" s="1"/>
      <c r="J103" s="1"/>
      <c r="K103" s="1"/>
      <c r="L103" s="264"/>
    </row>
    <row r="104" spans="1:12" x14ac:dyDescent="0.2">
      <c r="A104" s="253"/>
      <c r="B104" s="1"/>
      <c r="C104" s="1"/>
      <c r="D104" s="1"/>
      <c r="E104" s="1"/>
      <c r="F104" s="1"/>
      <c r="G104" s="1"/>
      <c r="H104" s="1"/>
      <c r="I104" s="1"/>
      <c r="J104" s="1"/>
      <c r="K104" s="1"/>
      <c r="L104" s="264"/>
    </row>
    <row r="105" spans="1:12" x14ac:dyDescent="0.2">
      <c r="A105" s="253"/>
      <c r="B105" s="1"/>
      <c r="C105" s="1"/>
      <c r="D105" s="1"/>
      <c r="E105" s="1"/>
      <c r="F105" s="1"/>
      <c r="G105" s="1"/>
      <c r="H105" s="1"/>
      <c r="I105" s="1"/>
      <c r="J105" s="1"/>
      <c r="K105" s="1"/>
      <c r="L105" s="264"/>
    </row>
    <row r="106" spans="1:12" x14ac:dyDescent="0.2">
      <c r="A106" s="253"/>
      <c r="B106" s="1"/>
      <c r="C106" s="1"/>
      <c r="D106" s="1"/>
      <c r="E106" s="1"/>
      <c r="F106" s="1"/>
      <c r="G106" s="1"/>
      <c r="H106" s="1"/>
      <c r="I106" s="1"/>
      <c r="J106" s="1"/>
      <c r="K106" s="1"/>
      <c r="L106" s="264"/>
    </row>
    <row r="107" spans="1:12" x14ac:dyDescent="0.2">
      <c r="A107" s="253"/>
      <c r="B107" s="1"/>
      <c r="C107" s="1"/>
      <c r="D107" s="1"/>
      <c r="E107" s="1"/>
      <c r="F107" s="1"/>
      <c r="G107" s="1"/>
      <c r="H107" s="1"/>
      <c r="I107" s="1"/>
      <c r="J107" s="1"/>
      <c r="K107" s="1"/>
      <c r="L107" s="264"/>
    </row>
    <row r="108" spans="1:12" x14ac:dyDescent="0.2">
      <c r="A108" s="253"/>
      <c r="B108" s="1"/>
      <c r="C108" s="1"/>
      <c r="D108" s="1"/>
      <c r="E108" s="1"/>
      <c r="F108" s="1"/>
      <c r="G108" s="1"/>
      <c r="H108" s="1"/>
      <c r="I108" s="1"/>
      <c r="J108" s="1"/>
      <c r="K108" s="1"/>
      <c r="L108" s="264"/>
    </row>
    <row r="109" spans="1:12" x14ac:dyDescent="0.2">
      <c r="A109" s="253"/>
      <c r="B109" s="1"/>
      <c r="C109" s="1"/>
      <c r="D109" s="1"/>
      <c r="E109" s="1"/>
      <c r="F109" s="1"/>
      <c r="G109" s="1"/>
      <c r="H109" s="1"/>
      <c r="I109" s="1"/>
      <c r="J109" s="1"/>
      <c r="K109" s="1"/>
      <c r="L109" s="264"/>
    </row>
    <row r="110" spans="1:12" x14ac:dyDescent="0.2">
      <c r="A110" s="253"/>
      <c r="B110" s="1"/>
      <c r="C110" s="1"/>
      <c r="D110" s="1"/>
      <c r="E110" s="1"/>
      <c r="F110" s="1"/>
      <c r="G110" s="1"/>
      <c r="H110" s="1"/>
      <c r="I110" s="1"/>
      <c r="J110" s="1"/>
      <c r="K110" s="1"/>
      <c r="L110" s="264"/>
    </row>
    <row r="111" spans="1:12" x14ac:dyDescent="0.2">
      <c r="A111" s="253"/>
      <c r="B111" s="1"/>
      <c r="C111" s="1"/>
      <c r="D111" s="1"/>
      <c r="E111" s="1"/>
      <c r="F111" s="1"/>
      <c r="G111" s="1"/>
      <c r="H111" s="1"/>
      <c r="I111" s="1"/>
      <c r="J111" s="1"/>
      <c r="K111" s="1"/>
      <c r="L111" s="264"/>
    </row>
    <row r="112" spans="1:12" x14ac:dyDescent="0.2">
      <c r="A112" s="253"/>
      <c r="B112" s="1"/>
      <c r="C112" s="1"/>
      <c r="D112" s="1"/>
      <c r="E112" s="1"/>
      <c r="F112" s="1"/>
      <c r="G112" s="1"/>
      <c r="H112" s="1"/>
      <c r="I112" s="1"/>
      <c r="J112" s="1"/>
      <c r="K112" s="1"/>
      <c r="L112" s="264"/>
    </row>
    <row r="113" spans="1:12" x14ac:dyDescent="0.2">
      <c r="A113" s="253"/>
      <c r="B113" s="1"/>
      <c r="C113" s="1"/>
      <c r="D113" s="1"/>
      <c r="E113" s="1"/>
      <c r="F113" s="1"/>
      <c r="G113" s="1"/>
      <c r="H113" s="1"/>
      <c r="I113" s="1"/>
      <c r="J113" s="1"/>
      <c r="K113" s="1"/>
      <c r="L113" s="264"/>
    </row>
    <row r="114" spans="1:12" x14ac:dyDescent="0.2">
      <c r="A114" s="253"/>
      <c r="B114" s="1"/>
      <c r="C114" s="1"/>
      <c r="D114" s="1"/>
      <c r="E114" s="1"/>
      <c r="F114" s="1"/>
      <c r="G114" s="1"/>
      <c r="H114" s="1"/>
      <c r="I114" s="1"/>
      <c r="J114" s="1"/>
      <c r="K114" s="1"/>
      <c r="L114" s="264"/>
    </row>
    <row r="115" spans="1:12" x14ac:dyDescent="0.2">
      <c r="A115" s="253"/>
      <c r="B115" s="1"/>
      <c r="C115" s="1"/>
      <c r="D115" s="1"/>
      <c r="E115" s="1"/>
      <c r="F115" s="1"/>
      <c r="G115" s="1"/>
      <c r="H115" s="1"/>
      <c r="I115" s="1"/>
      <c r="J115" s="1"/>
      <c r="K115" s="1"/>
      <c r="L115" s="264"/>
    </row>
    <row r="116" spans="1:12" x14ac:dyDescent="0.2">
      <c r="A116" s="253"/>
      <c r="B116" s="1"/>
      <c r="C116" s="1"/>
      <c r="D116" s="1"/>
      <c r="E116" s="1"/>
      <c r="F116" s="1"/>
      <c r="G116" s="1"/>
      <c r="H116" s="1"/>
      <c r="I116" s="1"/>
      <c r="J116" s="1"/>
      <c r="K116" s="1"/>
      <c r="L116" s="264"/>
    </row>
    <row r="117" spans="1:12" x14ac:dyDescent="0.2">
      <c r="A117" s="253"/>
      <c r="B117" s="1"/>
      <c r="C117" s="1"/>
      <c r="D117" s="1"/>
      <c r="E117" s="1"/>
      <c r="F117" s="1"/>
      <c r="G117" s="1"/>
      <c r="H117" s="1"/>
      <c r="I117" s="1"/>
      <c r="J117" s="1"/>
      <c r="K117" s="1"/>
      <c r="L117" s="264"/>
    </row>
    <row r="118" spans="1:12" x14ac:dyDescent="0.2">
      <c r="A118" s="253"/>
      <c r="B118" s="1"/>
      <c r="C118" s="1"/>
      <c r="D118" s="1"/>
      <c r="E118" s="1"/>
      <c r="F118" s="1"/>
      <c r="G118" s="1"/>
      <c r="H118" s="1"/>
      <c r="I118" s="1"/>
      <c r="J118" s="1"/>
      <c r="K118" s="1"/>
      <c r="L118" s="264"/>
    </row>
    <row r="119" spans="1:12" x14ac:dyDescent="0.2">
      <c r="A119" s="253"/>
      <c r="B119" s="1"/>
      <c r="C119" s="1"/>
      <c r="D119" s="1"/>
      <c r="E119" s="1"/>
      <c r="F119" s="1"/>
      <c r="G119" s="1"/>
      <c r="H119" s="1"/>
      <c r="I119" s="1"/>
      <c r="J119" s="1"/>
      <c r="K119" s="1"/>
      <c r="L119" s="264"/>
    </row>
    <row r="120" spans="1:12" x14ac:dyDescent="0.2">
      <c r="A120" s="253"/>
      <c r="B120" s="1"/>
      <c r="C120" s="1"/>
      <c r="D120" s="1"/>
      <c r="E120" s="1"/>
      <c r="F120" s="1"/>
      <c r="G120" s="1"/>
      <c r="H120" s="1"/>
      <c r="I120" s="1"/>
      <c r="J120" s="1"/>
      <c r="K120" s="1"/>
      <c r="L120" s="264"/>
    </row>
    <row r="121" spans="1:12" x14ac:dyDescent="0.2">
      <c r="A121" s="253"/>
      <c r="B121" s="1"/>
      <c r="C121" s="1"/>
      <c r="D121" s="1"/>
      <c r="E121" s="1"/>
      <c r="F121" s="1"/>
      <c r="G121" s="1"/>
      <c r="H121" s="1"/>
      <c r="I121" s="1"/>
      <c r="J121" s="1"/>
      <c r="K121" s="1"/>
      <c r="L121" s="264"/>
    </row>
    <row r="122" spans="1:12" x14ac:dyDescent="0.2">
      <c r="A122" s="253"/>
      <c r="B122" s="1"/>
      <c r="C122" s="1"/>
      <c r="D122" s="1"/>
      <c r="E122" s="1"/>
      <c r="F122" s="1"/>
      <c r="G122" s="1"/>
      <c r="H122" s="1"/>
      <c r="I122" s="1"/>
      <c r="J122" s="1"/>
      <c r="K122" s="1"/>
      <c r="L122" s="264"/>
    </row>
    <row r="123" spans="1:12" x14ac:dyDescent="0.2">
      <c r="A123" s="253"/>
      <c r="B123" s="1"/>
      <c r="C123" s="1"/>
      <c r="D123" s="1"/>
      <c r="E123" s="1"/>
      <c r="F123" s="1"/>
      <c r="G123" s="1"/>
      <c r="H123" s="1"/>
      <c r="I123" s="1"/>
      <c r="J123" s="1"/>
      <c r="K123" s="1"/>
      <c r="L123" s="264"/>
    </row>
    <row r="124" spans="1:12" x14ac:dyDescent="0.2">
      <c r="A124" s="253"/>
      <c r="B124" s="1"/>
      <c r="C124" s="1"/>
      <c r="D124" s="1"/>
      <c r="E124" s="1"/>
      <c r="F124" s="1"/>
      <c r="G124" s="1"/>
      <c r="H124" s="1"/>
      <c r="I124" s="1"/>
      <c r="J124" s="1"/>
      <c r="K124" s="1"/>
      <c r="L124" s="264"/>
    </row>
    <row r="125" spans="1:12" x14ac:dyDescent="0.2">
      <c r="A125" s="253"/>
      <c r="B125" s="1"/>
      <c r="C125" s="1"/>
      <c r="D125" s="1"/>
      <c r="E125" s="1"/>
      <c r="F125" s="1"/>
      <c r="G125" s="1"/>
      <c r="H125" s="1"/>
      <c r="I125" s="1"/>
      <c r="J125" s="1"/>
      <c r="K125" s="1"/>
      <c r="L125" s="264"/>
    </row>
    <row r="126" spans="1:12" x14ac:dyDescent="0.2">
      <c r="A126" s="253"/>
      <c r="B126" s="1"/>
      <c r="C126" s="1"/>
      <c r="D126" s="1"/>
      <c r="E126" s="1"/>
      <c r="F126" s="1"/>
      <c r="G126" s="1"/>
      <c r="H126" s="1"/>
      <c r="I126" s="1"/>
      <c r="J126" s="1"/>
      <c r="K126" s="1"/>
      <c r="L126" s="264"/>
    </row>
    <row r="127" spans="1:12" x14ac:dyDescent="0.2">
      <c r="A127" s="253"/>
      <c r="B127" s="1"/>
      <c r="C127" s="1"/>
      <c r="D127" s="1"/>
      <c r="E127" s="1"/>
      <c r="F127" s="1"/>
      <c r="G127" s="1"/>
      <c r="H127" s="1"/>
      <c r="I127" s="1"/>
      <c r="J127" s="1"/>
      <c r="K127" s="1"/>
      <c r="L127" s="264"/>
    </row>
    <row r="128" spans="1:12" x14ac:dyDescent="0.2">
      <c r="A128" s="253"/>
      <c r="B128" s="1"/>
      <c r="C128" s="1"/>
      <c r="D128" s="1"/>
      <c r="E128" s="1"/>
      <c r="F128" s="1"/>
      <c r="G128" s="1"/>
      <c r="H128" s="1"/>
      <c r="I128" s="1"/>
      <c r="J128" s="1"/>
      <c r="K128" s="1"/>
      <c r="L128" s="264"/>
    </row>
    <row r="129" spans="1:12" x14ac:dyDescent="0.2">
      <c r="A129" s="253"/>
      <c r="B129" s="1"/>
      <c r="C129" s="1"/>
      <c r="D129" s="1"/>
      <c r="E129" s="1"/>
      <c r="F129" s="1"/>
      <c r="G129" s="1"/>
      <c r="H129" s="1"/>
      <c r="I129" s="1"/>
      <c r="J129" s="1"/>
      <c r="K129" s="1"/>
      <c r="L129" s="264"/>
    </row>
    <row r="130" spans="1:12" x14ac:dyDescent="0.2">
      <c r="A130" s="253"/>
      <c r="B130" s="1"/>
      <c r="C130" s="1"/>
      <c r="D130" s="1"/>
      <c r="E130" s="1"/>
      <c r="F130" s="1"/>
      <c r="G130" s="1"/>
      <c r="H130" s="1"/>
      <c r="I130" s="1"/>
      <c r="J130" s="1"/>
      <c r="K130" s="1"/>
      <c r="L130" s="264"/>
    </row>
    <row r="131" spans="1:12" x14ac:dyDescent="0.2">
      <c r="A131" s="253"/>
      <c r="B131" s="1"/>
      <c r="C131" s="1"/>
      <c r="D131" s="1"/>
      <c r="E131" s="1"/>
      <c r="F131" s="1"/>
      <c r="G131" s="1"/>
      <c r="H131" s="1"/>
      <c r="I131" s="1"/>
      <c r="J131" s="1"/>
      <c r="K131" s="1"/>
      <c r="L131" s="264"/>
    </row>
    <row r="132" spans="1:12" x14ac:dyDescent="0.2">
      <c r="A132" s="253"/>
      <c r="B132" s="1"/>
      <c r="C132" s="1"/>
      <c r="D132" s="1"/>
      <c r="E132" s="1"/>
      <c r="F132" s="1"/>
      <c r="G132" s="1"/>
      <c r="H132" s="1"/>
      <c r="I132" s="1"/>
      <c r="J132" s="1"/>
      <c r="K132" s="1"/>
      <c r="L132" s="264"/>
    </row>
    <row r="133" spans="1:12" x14ac:dyDescent="0.2">
      <c r="A133" s="253"/>
      <c r="B133" s="1"/>
      <c r="C133" s="1"/>
      <c r="D133" s="1"/>
      <c r="E133" s="1"/>
      <c r="F133" s="1"/>
      <c r="G133" s="1"/>
      <c r="H133" s="1"/>
      <c r="I133" s="1"/>
      <c r="J133" s="1"/>
      <c r="K133" s="1"/>
      <c r="L133" s="264"/>
    </row>
    <row r="134" spans="1:12" x14ac:dyDescent="0.2">
      <c r="A134" s="253"/>
      <c r="B134" s="1"/>
      <c r="C134" s="1"/>
      <c r="D134" s="1"/>
      <c r="E134" s="1"/>
      <c r="F134" s="1"/>
      <c r="G134" s="1"/>
      <c r="H134" s="1"/>
      <c r="I134" s="1"/>
      <c r="J134" s="1"/>
      <c r="K134" s="1"/>
      <c r="L134" s="264"/>
    </row>
    <row r="135" spans="1:12" x14ac:dyDescent="0.2">
      <c r="A135" s="253"/>
      <c r="B135" s="1"/>
      <c r="C135" s="1"/>
      <c r="D135" s="1"/>
      <c r="E135" s="1"/>
      <c r="F135" s="1"/>
      <c r="G135" s="1"/>
      <c r="H135" s="1"/>
      <c r="I135" s="1"/>
      <c r="J135" s="1"/>
      <c r="K135" s="1"/>
      <c r="L135" s="264"/>
    </row>
    <row r="136" spans="1:12" x14ac:dyDescent="0.2">
      <c r="A136" s="253"/>
      <c r="B136" s="1"/>
      <c r="C136" s="1"/>
      <c r="D136" s="1"/>
      <c r="E136" s="1"/>
      <c r="F136" s="1"/>
      <c r="G136" s="1"/>
      <c r="H136" s="1"/>
      <c r="I136" s="1"/>
      <c r="J136" s="1"/>
      <c r="K136" s="1"/>
      <c r="L136" s="264"/>
    </row>
    <row r="137" spans="1:12" x14ac:dyDescent="0.2">
      <c r="A137" s="253"/>
      <c r="B137" s="1"/>
      <c r="C137" s="1"/>
      <c r="D137" s="1"/>
      <c r="E137" s="1"/>
      <c r="F137" s="1"/>
      <c r="G137" s="1"/>
      <c r="H137" s="1"/>
      <c r="I137" s="1"/>
      <c r="J137" s="1"/>
      <c r="K137" s="1"/>
      <c r="L137" s="264"/>
    </row>
    <row r="138" spans="1:12" x14ac:dyDescent="0.2">
      <c r="A138" s="253"/>
      <c r="B138" s="1"/>
      <c r="C138" s="1"/>
      <c r="D138" s="1"/>
      <c r="E138" s="1"/>
      <c r="F138" s="1"/>
      <c r="G138" s="1"/>
      <c r="H138" s="1"/>
      <c r="I138" s="1"/>
      <c r="J138" s="1"/>
      <c r="K138" s="1"/>
      <c r="L138" s="264"/>
    </row>
    <row r="139" spans="1:12" x14ac:dyDescent="0.2">
      <c r="A139" s="253"/>
      <c r="B139" s="1"/>
      <c r="C139" s="1"/>
      <c r="D139" s="1"/>
      <c r="E139" s="1"/>
      <c r="F139" s="1"/>
      <c r="G139" s="1"/>
      <c r="H139" s="1"/>
      <c r="I139" s="1"/>
      <c r="J139" s="1"/>
      <c r="K139" s="1"/>
      <c r="L139" s="264"/>
    </row>
    <row r="140" spans="1:12" x14ac:dyDescent="0.2">
      <c r="A140" s="253"/>
      <c r="B140" s="1"/>
      <c r="C140" s="1"/>
      <c r="D140" s="1"/>
      <c r="E140" s="1"/>
      <c r="F140" s="1"/>
      <c r="G140" s="1"/>
      <c r="H140" s="1"/>
      <c r="I140" s="1"/>
      <c r="J140" s="1"/>
      <c r="K140" s="1"/>
      <c r="L140" s="264"/>
    </row>
    <row r="141" spans="1:12" x14ac:dyDescent="0.2">
      <c r="A141" s="253"/>
      <c r="B141" s="1"/>
      <c r="C141" s="1"/>
      <c r="D141" s="1"/>
      <c r="E141" s="1"/>
      <c r="F141" s="1"/>
      <c r="G141" s="1"/>
      <c r="H141" s="1"/>
      <c r="I141" s="1"/>
      <c r="J141" s="1"/>
      <c r="K141" s="1"/>
      <c r="L141" s="264"/>
    </row>
    <row r="142" spans="1:12" x14ac:dyDescent="0.2">
      <c r="A142" s="253"/>
      <c r="B142" s="1"/>
      <c r="C142" s="1"/>
      <c r="D142" s="1"/>
      <c r="E142" s="1"/>
      <c r="F142" s="1"/>
      <c r="G142" s="1"/>
      <c r="H142" s="1"/>
      <c r="I142" s="1"/>
      <c r="J142" s="1"/>
      <c r="K142" s="1"/>
      <c r="L142" s="264"/>
    </row>
    <row r="143" spans="1:12" x14ac:dyDescent="0.2">
      <c r="A143" s="253"/>
      <c r="B143" s="1"/>
      <c r="C143" s="1"/>
      <c r="D143" s="1"/>
      <c r="E143" s="1"/>
      <c r="F143" s="1"/>
      <c r="G143" s="1"/>
      <c r="H143" s="1"/>
      <c r="I143" s="1"/>
      <c r="J143" s="1"/>
      <c r="K143" s="1"/>
      <c r="L143" s="264"/>
    </row>
    <row r="144" spans="1:12" ht="13.5" thickBot="1" x14ac:dyDescent="0.25">
      <c r="A144" s="269"/>
      <c r="B144" s="271"/>
      <c r="C144" s="271"/>
      <c r="D144" s="271"/>
      <c r="E144" s="271"/>
      <c r="F144" s="271"/>
      <c r="G144" s="271"/>
      <c r="H144" s="271"/>
      <c r="I144" s="271"/>
      <c r="J144" s="271"/>
      <c r="K144" s="271"/>
      <c r="L144" s="305"/>
    </row>
  </sheetData>
  <mergeCells count="11">
    <mergeCell ref="A38:B38"/>
    <mergeCell ref="B13:I13"/>
    <mergeCell ref="A9:L9"/>
    <mergeCell ref="E8:G8"/>
    <mergeCell ref="E6:G6"/>
    <mergeCell ref="E7:G7"/>
    <mergeCell ref="B2:I5"/>
    <mergeCell ref="J2:K2"/>
    <mergeCell ref="J3:K3"/>
    <mergeCell ref="J4:K4"/>
    <mergeCell ref="J5:K5"/>
  </mergeCells>
  <phoneticPr fontId="0" type="noConversion"/>
  <printOptions horizontalCentered="1"/>
  <pageMargins left="0.11811023622047245" right="0.11811023622047245" top="0.15748031496062992" bottom="0.82677165354330717" header="0.74803149606299213" footer="0.27559055118110237"/>
  <pageSetup scale="37" fitToHeight="0" orientation="portrait" horizontalDpi="300" verticalDpi="300" r:id="rId1"/>
  <headerFooter alignWithMargins="0"/>
  <rowBreaks count="1" manualBreakCount="1">
    <brk id="177" max="8"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8">
    <pageSetUpPr fitToPage="1"/>
  </sheetPr>
  <dimension ref="A1:L114"/>
  <sheetViews>
    <sheetView view="pageBreakPreview" zoomScale="60" zoomScaleNormal="50" workbookViewId="0">
      <selection activeCell="F13" sqref="F13"/>
    </sheetView>
  </sheetViews>
  <sheetFormatPr defaultColWidth="11.42578125" defaultRowHeight="12.75" x14ac:dyDescent="0.2"/>
  <cols>
    <col min="1" max="1" width="11.7109375" customWidth="1"/>
    <col min="2" max="2" width="41" customWidth="1"/>
    <col min="3" max="3" width="8.28515625" bestFit="1" customWidth="1"/>
    <col min="4" max="4" width="15.7109375" customWidth="1"/>
    <col min="5" max="5" width="20.140625" customWidth="1"/>
    <col min="6" max="6" width="19.85546875" customWidth="1"/>
    <col min="7" max="7" width="18.5703125" customWidth="1"/>
    <col min="8" max="8" width="20.42578125" customWidth="1"/>
    <col min="9" max="14" width="9.140625" customWidth="1"/>
  </cols>
  <sheetData>
    <row r="1" spans="1:12" ht="13.5" thickBot="1" x14ac:dyDescent="0.25">
      <c r="A1" s="584"/>
      <c r="B1" s="563"/>
      <c r="C1" s="563"/>
      <c r="D1" s="563"/>
      <c r="E1" s="563"/>
      <c r="F1" s="563"/>
      <c r="G1" s="563"/>
      <c r="H1" s="563"/>
      <c r="I1" s="563"/>
      <c r="J1" s="563"/>
      <c r="K1" s="821" t="s">
        <v>957</v>
      </c>
      <c r="L1" s="819" t="e">
        <f>'Design pressure profile'!L1+1</f>
        <v>#REF!</v>
      </c>
    </row>
    <row r="2" spans="1:12" ht="15.75" x14ac:dyDescent="0.25">
      <c r="A2" s="544"/>
      <c r="B2" s="984" t="s">
        <v>970</v>
      </c>
      <c r="C2" s="984"/>
      <c r="D2" s="984"/>
      <c r="E2" s="984"/>
      <c r="F2" s="984"/>
      <c r="G2" s="984"/>
      <c r="H2" s="984"/>
      <c r="I2" s="984"/>
      <c r="J2" s="987" t="s">
        <v>851</v>
      </c>
      <c r="K2" s="988"/>
      <c r="L2" s="820" t="str">
        <f>IF(ISBLANK(General!$E$6),"",General!$E$6)</f>
        <v/>
      </c>
    </row>
    <row r="3" spans="1:12" x14ac:dyDescent="0.2">
      <c r="A3" s="547"/>
      <c r="B3" s="985"/>
      <c r="C3" s="985"/>
      <c r="D3" s="985"/>
      <c r="E3" s="985"/>
      <c r="F3" s="985"/>
      <c r="G3" s="985"/>
      <c r="H3" s="985"/>
      <c r="I3" s="985"/>
      <c r="J3" s="989" t="s">
        <v>958</v>
      </c>
      <c r="K3" s="990"/>
      <c r="L3" s="550" t="str">
        <f>IF(ISBLANK(General!$E$12),"",General!$E$12)</f>
        <v/>
      </c>
    </row>
    <row r="4" spans="1:12" x14ac:dyDescent="0.2">
      <c r="A4" s="547"/>
      <c r="B4" s="985"/>
      <c r="C4" s="985"/>
      <c r="D4" s="985"/>
      <c r="E4" s="985"/>
      <c r="F4" s="985"/>
      <c r="G4" s="985"/>
      <c r="H4" s="985"/>
      <c r="I4" s="985"/>
      <c r="J4" s="989" t="s">
        <v>959</v>
      </c>
      <c r="K4" s="990"/>
      <c r="L4" s="551" t="str">
        <f>IF(ISBLANK(General!$E$13),"",General!$E$13)</f>
        <v/>
      </c>
    </row>
    <row r="5" spans="1:12" x14ac:dyDescent="0.2">
      <c r="A5" s="552"/>
      <c r="B5" s="986"/>
      <c r="C5" s="986"/>
      <c r="D5" s="986"/>
      <c r="E5" s="986"/>
      <c r="F5" s="986"/>
      <c r="G5" s="986"/>
      <c r="H5" s="986"/>
      <c r="I5" s="986"/>
      <c r="J5" s="1089" t="s">
        <v>960</v>
      </c>
      <c r="K5" s="1090"/>
      <c r="L5" s="554" t="str">
        <f>IF(ISBLANK(General!$E$14),"",General!$E$14)</f>
        <v/>
      </c>
    </row>
    <row r="6" spans="1:12" x14ac:dyDescent="0.2">
      <c r="A6" s="818" t="s">
        <v>897</v>
      </c>
      <c r="B6" s="822" t="str">
        <f>IF(ISBLANK(General!$E$8),"",General!$E$8)</f>
        <v/>
      </c>
      <c r="C6" s="811"/>
      <c r="D6" s="811"/>
      <c r="E6" s="882"/>
      <c r="F6" s="814" t="s">
        <v>961</v>
      </c>
      <c r="G6" s="691"/>
      <c r="H6" s="834"/>
      <c r="I6" s="834"/>
      <c r="J6" s="834"/>
      <c r="K6" s="834"/>
      <c r="L6" s="835"/>
    </row>
    <row r="7" spans="1:12" x14ac:dyDescent="0.2">
      <c r="A7" s="816" t="s">
        <v>962</v>
      </c>
      <c r="B7" s="823" t="str">
        <f>IF(ISBLANK(General!$E$9),"",General!$E$9)</f>
        <v/>
      </c>
      <c r="C7" s="812"/>
      <c r="D7" s="812"/>
      <c r="E7" s="883"/>
      <c r="F7" s="815" t="s">
        <v>963</v>
      </c>
      <c r="G7" s="693"/>
      <c r="H7" s="836"/>
      <c r="I7" s="836"/>
      <c r="J7" s="836"/>
      <c r="K7" s="836"/>
      <c r="L7" s="837"/>
    </row>
    <row r="8" spans="1:12" x14ac:dyDescent="0.2">
      <c r="A8" s="817" t="s">
        <v>932</v>
      </c>
      <c r="B8" s="824" t="str">
        <f>IF(ISBLANK(General!$E$17),"",General!$E$17)</f>
        <v/>
      </c>
      <c r="C8" s="813"/>
      <c r="D8" s="813"/>
      <c r="E8" s="884"/>
      <c r="F8" s="810" t="s">
        <v>930</v>
      </c>
      <c r="G8" s="885"/>
      <c r="H8" s="838"/>
      <c r="I8" s="838"/>
      <c r="J8" s="838"/>
      <c r="K8" s="838"/>
      <c r="L8" s="839"/>
    </row>
    <row r="9" spans="1:12" ht="15.75" x14ac:dyDescent="0.25">
      <c r="A9" s="1013" t="s">
        <v>0</v>
      </c>
      <c r="B9" s="1014"/>
      <c r="C9" s="1014"/>
      <c r="D9" s="1014"/>
      <c r="E9" s="1014"/>
      <c r="F9" s="1014"/>
      <c r="G9" s="1014"/>
      <c r="H9" s="1014"/>
      <c r="I9" s="1014"/>
      <c r="J9" s="1014"/>
      <c r="K9" s="1014"/>
      <c r="L9" s="1082"/>
    </row>
    <row r="10" spans="1:12" x14ac:dyDescent="0.2">
      <c r="A10" s="253"/>
      <c r="B10" s="1"/>
      <c r="C10" s="1"/>
      <c r="D10" s="1"/>
      <c r="E10" s="1"/>
      <c r="F10" s="1"/>
      <c r="G10" s="1"/>
      <c r="H10" s="1"/>
      <c r="I10" s="1"/>
      <c r="J10" s="1"/>
      <c r="K10" s="1"/>
      <c r="L10" s="264"/>
    </row>
    <row r="11" spans="1:12" x14ac:dyDescent="0.2">
      <c r="A11" s="253"/>
      <c r="B11" s="1"/>
      <c r="C11" s="1"/>
      <c r="D11" s="1"/>
      <c r="E11" s="1"/>
      <c r="F11" s="1"/>
      <c r="G11" s="1"/>
      <c r="H11" s="1"/>
      <c r="I11" s="1"/>
      <c r="J11" s="1"/>
      <c r="K11" s="1"/>
      <c r="L11" s="264"/>
    </row>
    <row r="12" spans="1:12" ht="39" customHeight="1" x14ac:dyDescent="0.2">
      <c r="A12" s="253"/>
      <c r="B12" s="1173" t="s">
        <v>10</v>
      </c>
      <c r="C12" s="1173"/>
      <c r="D12" s="830" t="s">
        <v>4</v>
      </c>
      <c r="E12" s="830" t="s">
        <v>5</v>
      </c>
      <c r="F12" s="716" t="s">
        <v>72</v>
      </c>
      <c r="G12" s="716" t="s">
        <v>990</v>
      </c>
      <c r="H12" s="716" t="s">
        <v>16</v>
      </c>
      <c r="I12" s="1"/>
      <c r="J12" s="1"/>
      <c r="K12" s="1"/>
      <c r="L12" s="264"/>
    </row>
    <row r="13" spans="1:12" ht="20.100000000000001" customHeight="1" x14ac:dyDescent="0.2">
      <c r="A13" s="253"/>
      <c r="B13" s="1201" t="s">
        <v>1</v>
      </c>
      <c r="C13" s="1201"/>
      <c r="D13" s="831" t="s">
        <v>186</v>
      </c>
      <c r="E13" s="831" t="s">
        <v>217</v>
      </c>
      <c r="F13" s="717">
        <f>'Settling out'!E80</f>
        <v>42100.362089076072</v>
      </c>
      <c r="G13" s="717">
        <f>'Settling out'!E80</f>
        <v>42100.362089076072</v>
      </c>
      <c r="H13" s="717">
        <f>'Settling out'!E80</f>
        <v>42100.362089076072</v>
      </c>
      <c r="I13" s="1"/>
      <c r="J13" s="1"/>
      <c r="K13" s="1"/>
      <c r="L13" s="264"/>
    </row>
    <row r="14" spans="1:12" ht="40.5" customHeight="1" x14ac:dyDescent="0.2">
      <c r="A14" s="253"/>
      <c r="B14" s="1203" t="s">
        <v>664</v>
      </c>
      <c r="C14" s="1203"/>
      <c r="D14" s="832" t="s">
        <v>187</v>
      </c>
      <c r="E14" s="832" t="s">
        <v>660</v>
      </c>
      <c r="F14" s="705">
        <f>'Settling out'!S82</f>
        <v>26182.634058177133</v>
      </c>
      <c r="G14" s="705">
        <f>'Settling out'!S82</f>
        <v>26182.634058177133</v>
      </c>
      <c r="H14" s="705">
        <f>'Settling out'!S82</f>
        <v>26182.634058177133</v>
      </c>
      <c r="I14" s="1"/>
      <c r="J14" s="1"/>
      <c r="K14" s="1"/>
      <c r="L14" s="264"/>
    </row>
    <row r="15" spans="1:12" ht="20.100000000000001" customHeight="1" x14ac:dyDescent="0.2">
      <c r="A15" s="253"/>
      <c r="B15" s="1203" t="s">
        <v>665</v>
      </c>
      <c r="C15" s="1203"/>
      <c r="D15" s="832" t="s">
        <v>188</v>
      </c>
      <c r="E15" s="832" t="s">
        <v>660</v>
      </c>
      <c r="F15" s="706">
        <v>100</v>
      </c>
      <c r="G15" s="706">
        <v>100</v>
      </c>
      <c r="H15" s="706">
        <v>100</v>
      </c>
      <c r="I15" s="1"/>
      <c r="J15" s="1"/>
      <c r="K15" s="1"/>
      <c r="L15" s="264"/>
    </row>
    <row r="16" spans="1:12" ht="20.100000000000001" customHeight="1" x14ac:dyDescent="0.2">
      <c r="A16" s="253"/>
      <c r="B16" s="1203" t="s">
        <v>666</v>
      </c>
      <c r="C16" s="1203"/>
      <c r="D16" s="889" t="s">
        <v>189</v>
      </c>
      <c r="E16" s="646" t="s">
        <v>218</v>
      </c>
      <c r="F16" s="720">
        <f>'Average Streams'!J17</f>
        <v>0.93016716271551714</v>
      </c>
      <c r="G16" s="720">
        <f>F16</f>
        <v>0.93016716271551714</v>
      </c>
      <c r="H16" s="720">
        <f>F16</f>
        <v>0.93016716271551714</v>
      </c>
      <c r="I16" s="1"/>
      <c r="J16" s="1"/>
      <c r="K16" s="1"/>
      <c r="L16" s="264"/>
    </row>
    <row r="17" spans="1:12" ht="20.100000000000001" customHeight="1" x14ac:dyDescent="0.2">
      <c r="A17" s="253"/>
      <c r="B17" s="1203" t="s">
        <v>9</v>
      </c>
      <c r="C17" s="1203"/>
      <c r="D17" s="890" t="s">
        <v>190</v>
      </c>
      <c r="E17" s="646" t="s">
        <v>661</v>
      </c>
      <c r="F17" s="705">
        <v>16.3</v>
      </c>
      <c r="G17" s="705">
        <v>50</v>
      </c>
      <c r="H17" s="648">
        <f>-H14*(EXP(-H22)-1)</f>
        <v>8118.695524993529</v>
      </c>
      <c r="I17" s="1"/>
      <c r="J17" s="1"/>
      <c r="K17" s="1"/>
      <c r="L17" s="264"/>
    </row>
    <row r="18" spans="1:12" ht="20.100000000000001" customHeight="1" x14ac:dyDescent="0.2">
      <c r="A18" s="253"/>
      <c r="B18" s="1202" t="s">
        <v>2</v>
      </c>
      <c r="C18" s="1202"/>
      <c r="D18" s="829" t="s">
        <v>6</v>
      </c>
      <c r="E18" s="829" t="s">
        <v>8</v>
      </c>
      <c r="F18" s="891" t="s">
        <v>14</v>
      </c>
      <c r="G18" s="891" t="s">
        <v>14</v>
      </c>
      <c r="H18" s="721">
        <v>15</v>
      </c>
      <c r="I18" s="1"/>
      <c r="J18" s="1"/>
      <c r="K18" s="1"/>
      <c r="L18" s="264"/>
    </row>
    <row r="19" spans="1:12" ht="20.100000000000001" customHeight="1" x14ac:dyDescent="0.2">
      <c r="A19" s="253"/>
      <c r="B19" s="1173" t="s">
        <v>11</v>
      </c>
      <c r="C19" s="1173"/>
      <c r="D19" s="892"/>
      <c r="E19" s="892"/>
      <c r="F19" s="893" t="s">
        <v>15</v>
      </c>
      <c r="G19" s="893" t="s">
        <v>15</v>
      </c>
      <c r="H19" s="893" t="s">
        <v>15</v>
      </c>
      <c r="I19" s="1"/>
      <c r="J19" s="1"/>
      <c r="K19" s="1"/>
      <c r="L19" s="264"/>
    </row>
    <row r="20" spans="1:12" ht="20.100000000000001" customHeight="1" x14ac:dyDescent="0.2">
      <c r="A20" s="253"/>
      <c r="B20" s="1201" t="s">
        <v>3</v>
      </c>
      <c r="C20" s="1201"/>
      <c r="D20" s="833" t="s">
        <v>191</v>
      </c>
      <c r="E20" s="833" t="s">
        <v>662</v>
      </c>
      <c r="F20" s="833">
        <f>+F16*F13*F17/F14</f>
        <v>24.379292799450933</v>
      </c>
      <c r="G20" s="833">
        <f>+G16*G13*G17/G14</f>
        <v>74.783106746781996</v>
      </c>
      <c r="H20" s="833">
        <f>+H16*H13*H17/H14</f>
        <v>12142.825481804248</v>
      </c>
      <c r="I20" s="1"/>
      <c r="J20" s="1"/>
      <c r="K20" s="1"/>
      <c r="L20" s="264"/>
    </row>
    <row r="21" spans="1:12" ht="37.5" customHeight="1" x14ac:dyDescent="0.2">
      <c r="A21" s="253"/>
      <c r="B21" s="1203" t="s">
        <v>3</v>
      </c>
      <c r="C21" s="1203"/>
      <c r="D21" s="828" t="s">
        <v>191</v>
      </c>
      <c r="E21" s="828" t="s">
        <v>663</v>
      </c>
      <c r="F21" s="886">
        <f>+F20*60</f>
        <v>1462.757567967056</v>
      </c>
      <c r="G21" s="886">
        <f>+G20*60</f>
        <v>4486.9864048069194</v>
      </c>
      <c r="H21" s="886">
        <f>+H20*60</f>
        <v>728569.52890825481</v>
      </c>
      <c r="I21" s="1"/>
      <c r="J21" s="1"/>
      <c r="K21" s="1"/>
      <c r="L21" s="264"/>
    </row>
    <row r="22" spans="1:12" ht="20.100000000000001" customHeight="1" x14ac:dyDescent="0.2">
      <c r="A22" s="253"/>
      <c r="B22" s="1203" t="s">
        <v>12</v>
      </c>
      <c r="C22" s="1203"/>
      <c r="D22" s="828" t="s">
        <v>13</v>
      </c>
      <c r="E22" s="828" t="s">
        <v>14</v>
      </c>
      <c r="F22" s="887">
        <f>-LN(1-(F17/F14))</f>
        <v>6.2274390931818882E-4</v>
      </c>
      <c r="G22" s="887">
        <f>-LN(1-(G17/G14))</f>
        <v>1.9114884439820283E-3</v>
      </c>
      <c r="H22" s="887">
        <f>LN(H14/H15)/H18</f>
        <v>0.37117876411935757</v>
      </c>
      <c r="I22" s="1"/>
      <c r="J22" s="1"/>
      <c r="K22" s="1"/>
      <c r="L22" s="264"/>
    </row>
    <row r="23" spans="1:12" ht="20.100000000000001" customHeight="1" x14ac:dyDescent="0.2">
      <c r="A23" s="253"/>
      <c r="B23" s="1202" t="s">
        <v>2</v>
      </c>
      <c r="C23" s="1202"/>
      <c r="D23" s="829" t="s">
        <v>6</v>
      </c>
      <c r="E23" s="829" t="s">
        <v>8</v>
      </c>
      <c r="F23" s="888">
        <f>+(LN(F14/F15))/F22</f>
        <v>8940.5634940470791</v>
      </c>
      <c r="G23" s="888">
        <f>+(LN(G14/G15))/G22</f>
        <v>2912.746597720321</v>
      </c>
      <c r="H23" s="888">
        <f>+(LN(H14/H15))/H22</f>
        <v>15</v>
      </c>
      <c r="I23" s="1"/>
      <c r="J23" s="1"/>
      <c r="K23" s="1"/>
      <c r="L23" s="264"/>
    </row>
    <row r="24" spans="1:12" ht="20.100000000000001" customHeight="1" x14ac:dyDescent="0.2">
      <c r="A24" s="253"/>
      <c r="B24" s="1"/>
      <c r="C24" s="1"/>
      <c r="D24" s="1"/>
      <c r="E24" s="1"/>
      <c r="F24" s="1"/>
      <c r="G24" s="1"/>
      <c r="H24" s="1"/>
      <c r="I24" s="1"/>
      <c r="J24" s="1"/>
      <c r="K24" s="1"/>
      <c r="L24" s="264"/>
    </row>
    <row r="25" spans="1:12" ht="20.100000000000001" customHeight="1" x14ac:dyDescent="0.2">
      <c r="A25" s="253"/>
      <c r="B25" s="1"/>
      <c r="C25" s="1"/>
      <c r="D25" s="1"/>
      <c r="E25" s="1"/>
      <c r="F25" s="1"/>
      <c r="G25" s="1"/>
      <c r="H25" s="1"/>
      <c r="I25" s="1"/>
      <c r="J25" s="1"/>
      <c r="K25" s="1"/>
      <c r="L25" s="264"/>
    </row>
    <row r="26" spans="1:12" ht="20.100000000000001" customHeight="1" x14ac:dyDescent="0.2">
      <c r="A26" s="253"/>
      <c r="B26" s="1"/>
      <c r="C26" s="1"/>
      <c r="D26" s="1"/>
      <c r="E26" s="1"/>
      <c r="F26" s="1"/>
      <c r="G26" s="1"/>
      <c r="H26" s="1"/>
      <c r="I26" s="1"/>
      <c r="J26" s="1"/>
      <c r="K26" s="1"/>
      <c r="L26" s="264"/>
    </row>
    <row r="27" spans="1:12" ht="20.100000000000001" customHeight="1" x14ac:dyDescent="0.2">
      <c r="A27" s="253"/>
      <c r="B27" s="1"/>
      <c r="C27" s="1"/>
      <c r="D27" s="1"/>
      <c r="E27" s="1"/>
      <c r="F27" s="1"/>
      <c r="G27" s="1"/>
      <c r="H27" s="1"/>
      <c r="I27" s="1"/>
      <c r="J27" s="1"/>
      <c r="K27" s="1"/>
      <c r="L27" s="264"/>
    </row>
    <row r="28" spans="1:12" ht="20.100000000000001" customHeight="1" x14ac:dyDescent="0.2">
      <c r="A28" s="253"/>
      <c r="B28" s="1"/>
      <c r="C28" s="1"/>
      <c r="D28" s="1"/>
      <c r="E28" s="1"/>
      <c r="F28" s="1"/>
      <c r="G28" s="1"/>
      <c r="H28" s="1"/>
      <c r="I28" s="1"/>
      <c r="J28" s="1"/>
      <c r="K28" s="1"/>
      <c r="L28" s="264"/>
    </row>
    <row r="29" spans="1:12" ht="20.100000000000001" customHeight="1" x14ac:dyDescent="0.2">
      <c r="A29" s="253"/>
      <c r="B29" s="1"/>
      <c r="C29" s="1"/>
      <c r="D29" s="1"/>
      <c r="E29" s="1"/>
      <c r="F29" s="1"/>
      <c r="G29" s="1"/>
      <c r="H29" s="1"/>
      <c r="I29" s="1"/>
      <c r="J29" s="1"/>
      <c r="K29" s="1"/>
      <c r="L29" s="264"/>
    </row>
    <row r="30" spans="1:12" ht="20.100000000000001" customHeight="1" x14ac:dyDescent="0.2">
      <c r="A30" s="253"/>
      <c r="B30" s="1"/>
      <c r="C30" s="1"/>
      <c r="D30" s="1"/>
      <c r="E30" s="1"/>
      <c r="F30" s="1"/>
      <c r="G30" s="1"/>
      <c r="H30" s="1"/>
      <c r="I30" s="1"/>
      <c r="J30" s="1"/>
      <c r="K30" s="1"/>
      <c r="L30" s="264"/>
    </row>
    <row r="31" spans="1:12" ht="20.100000000000001" customHeight="1" x14ac:dyDescent="0.2">
      <c r="A31" s="253"/>
      <c r="B31" s="1"/>
      <c r="C31" s="1"/>
      <c r="D31" s="1"/>
      <c r="E31" s="1"/>
      <c r="F31" s="1"/>
      <c r="G31" s="1"/>
      <c r="H31" s="1"/>
      <c r="I31" s="1"/>
      <c r="J31" s="1"/>
      <c r="K31" s="1"/>
      <c r="L31" s="264"/>
    </row>
    <row r="32" spans="1:12" ht="20.100000000000001" customHeight="1" x14ac:dyDescent="0.2">
      <c r="A32" s="253"/>
      <c r="B32" s="1"/>
      <c r="C32" s="1"/>
      <c r="D32" s="1"/>
      <c r="E32" s="1"/>
      <c r="F32" s="1"/>
      <c r="G32" s="1"/>
      <c r="H32" s="1"/>
      <c r="I32" s="1"/>
      <c r="J32" s="1"/>
      <c r="K32" s="1"/>
      <c r="L32" s="264"/>
    </row>
    <row r="33" spans="1:12" ht="20.100000000000001" customHeight="1" x14ac:dyDescent="0.2">
      <c r="A33" s="253"/>
      <c r="B33" s="1"/>
      <c r="C33" s="1"/>
      <c r="D33" s="1"/>
      <c r="E33" s="1"/>
      <c r="F33" s="1"/>
      <c r="G33" s="1"/>
      <c r="H33" s="1"/>
      <c r="I33" s="1"/>
      <c r="J33" s="1"/>
      <c r="K33" s="1"/>
      <c r="L33" s="264"/>
    </row>
    <row r="34" spans="1:12" ht="20.100000000000001" customHeight="1" x14ac:dyDescent="0.2">
      <c r="A34" s="253"/>
      <c r="B34" s="1"/>
      <c r="C34" s="1"/>
      <c r="D34" s="1"/>
      <c r="E34" s="1"/>
      <c r="F34" s="1"/>
      <c r="G34" s="1"/>
      <c r="H34" s="1"/>
      <c r="I34" s="1"/>
      <c r="J34" s="1"/>
      <c r="K34" s="1"/>
      <c r="L34" s="264"/>
    </row>
    <row r="35" spans="1:12" ht="20.100000000000001" customHeight="1" x14ac:dyDescent="0.2">
      <c r="A35" s="253"/>
      <c r="B35" s="1"/>
      <c r="C35" s="1"/>
      <c r="D35" s="1"/>
      <c r="E35" s="1"/>
      <c r="F35" s="1"/>
      <c r="G35" s="1"/>
      <c r="H35" s="1"/>
      <c r="I35" s="1"/>
      <c r="J35" s="1"/>
      <c r="K35" s="1"/>
      <c r="L35" s="264"/>
    </row>
    <row r="36" spans="1:12" ht="20.100000000000001" customHeight="1" x14ac:dyDescent="0.2">
      <c r="A36" s="253"/>
      <c r="B36" s="1"/>
      <c r="C36" s="1"/>
      <c r="D36" s="1"/>
      <c r="E36" s="1"/>
      <c r="F36" s="1"/>
      <c r="G36" s="1"/>
      <c r="H36" s="1"/>
      <c r="I36" s="1"/>
      <c r="J36" s="1"/>
      <c r="K36" s="1"/>
      <c r="L36" s="264"/>
    </row>
    <row r="37" spans="1:12" ht="20.100000000000001" customHeight="1" x14ac:dyDescent="0.2">
      <c r="A37" s="253"/>
      <c r="B37" s="1"/>
      <c r="C37" s="1"/>
      <c r="D37" s="1"/>
      <c r="E37" s="1"/>
      <c r="F37" s="1"/>
      <c r="G37" s="1"/>
      <c r="H37" s="1"/>
      <c r="I37" s="1"/>
      <c r="J37" s="1"/>
      <c r="K37" s="1"/>
      <c r="L37" s="264"/>
    </row>
    <row r="38" spans="1:12" ht="20.100000000000001" customHeight="1" x14ac:dyDescent="0.2">
      <c r="A38" s="253"/>
      <c r="B38" s="1"/>
      <c r="C38" s="1"/>
      <c r="D38" s="1"/>
      <c r="E38" s="1"/>
      <c r="F38" s="1"/>
      <c r="G38" s="1"/>
      <c r="H38" s="1"/>
      <c r="I38" s="1"/>
      <c r="J38" s="1"/>
      <c r="K38" s="1"/>
      <c r="L38" s="264"/>
    </row>
    <row r="39" spans="1:12" ht="20.100000000000001" customHeight="1" x14ac:dyDescent="0.2">
      <c r="A39" s="253"/>
      <c r="B39" s="1"/>
      <c r="C39" s="1"/>
      <c r="D39" s="1"/>
      <c r="E39" s="1"/>
      <c r="F39" s="1"/>
      <c r="G39" s="1"/>
      <c r="H39" s="1"/>
      <c r="I39" s="1"/>
      <c r="J39" s="1"/>
      <c r="K39" s="1"/>
      <c r="L39" s="264"/>
    </row>
    <row r="40" spans="1:12" ht="20.100000000000001" customHeight="1" x14ac:dyDescent="0.2">
      <c r="A40" s="253"/>
      <c r="B40" s="1"/>
      <c r="C40" s="1"/>
      <c r="D40" s="1"/>
      <c r="E40" s="1"/>
      <c r="F40" s="1"/>
      <c r="G40" s="1"/>
      <c r="H40" s="1"/>
      <c r="I40" s="1"/>
      <c r="J40" s="1"/>
      <c r="K40" s="1"/>
      <c r="L40" s="264"/>
    </row>
    <row r="41" spans="1:12" ht="20.100000000000001" customHeight="1" x14ac:dyDescent="0.2">
      <c r="A41" s="253"/>
      <c r="B41" s="1"/>
      <c r="C41" s="1"/>
      <c r="D41" s="1"/>
      <c r="E41" s="1"/>
      <c r="F41" s="1"/>
      <c r="G41" s="1"/>
      <c r="H41" s="1"/>
      <c r="I41" s="1"/>
      <c r="J41" s="1"/>
      <c r="K41" s="1"/>
      <c r="L41" s="264"/>
    </row>
    <row r="42" spans="1:12" ht="20.100000000000001" customHeight="1" x14ac:dyDescent="0.2">
      <c r="A42" s="253"/>
      <c r="B42" s="1"/>
      <c r="C42" s="1"/>
      <c r="D42" s="1"/>
      <c r="E42" s="1"/>
      <c r="F42" s="1"/>
      <c r="G42" s="1"/>
      <c r="H42" s="1"/>
      <c r="I42" s="1"/>
      <c r="J42" s="1"/>
      <c r="K42" s="1"/>
      <c r="L42" s="264"/>
    </row>
    <row r="43" spans="1:12" ht="20.100000000000001" customHeight="1" x14ac:dyDescent="0.2">
      <c r="A43" s="253"/>
      <c r="B43" s="1"/>
      <c r="C43" s="1"/>
      <c r="D43" s="1"/>
      <c r="E43" s="1"/>
      <c r="F43" s="1"/>
      <c r="G43" s="1"/>
      <c r="H43" s="1"/>
      <c r="I43" s="1"/>
      <c r="J43" s="1"/>
      <c r="K43" s="1"/>
      <c r="L43" s="264"/>
    </row>
    <row r="44" spans="1:12" ht="20.100000000000001" customHeight="1" x14ac:dyDescent="0.2">
      <c r="A44" s="253"/>
      <c r="B44" s="1"/>
      <c r="C44" s="1"/>
      <c r="D44" s="1"/>
      <c r="E44" s="1"/>
      <c r="F44" s="1"/>
      <c r="G44" s="1"/>
      <c r="H44" s="1"/>
      <c r="I44" s="1"/>
      <c r="J44" s="1"/>
      <c r="K44" s="1"/>
      <c r="L44" s="264"/>
    </row>
    <row r="45" spans="1:12" ht="20.100000000000001" customHeight="1" x14ac:dyDescent="0.2">
      <c r="A45" s="253"/>
      <c r="B45" s="1"/>
      <c r="C45" s="1"/>
      <c r="D45" s="1"/>
      <c r="E45" s="1"/>
      <c r="F45" s="1"/>
      <c r="G45" s="1"/>
      <c r="H45" s="1"/>
      <c r="I45" s="1"/>
      <c r="J45" s="1"/>
      <c r="K45" s="1"/>
      <c r="L45" s="264"/>
    </row>
    <row r="46" spans="1:12" ht="20.100000000000001" customHeight="1" x14ac:dyDescent="0.2">
      <c r="A46" s="253"/>
      <c r="B46" s="1"/>
      <c r="C46" s="1"/>
      <c r="D46" s="1"/>
      <c r="E46" s="1"/>
      <c r="F46" s="1"/>
      <c r="G46" s="1"/>
      <c r="H46" s="1"/>
      <c r="I46" s="1"/>
      <c r="J46" s="1"/>
      <c r="K46" s="1"/>
      <c r="L46" s="264"/>
    </row>
    <row r="47" spans="1:12" ht="20.100000000000001" customHeight="1" x14ac:dyDescent="0.2">
      <c r="A47" s="253"/>
      <c r="B47" s="1"/>
      <c r="C47" s="1"/>
      <c r="D47" s="1"/>
      <c r="E47" s="1"/>
      <c r="F47" s="1"/>
      <c r="G47" s="1"/>
      <c r="H47" s="1"/>
      <c r="I47" s="1"/>
      <c r="J47" s="1"/>
      <c r="K47" s="1"/>
      <c r="L47" s="264"/>
    </row>
    <row r="48" spans="1:12" ht="20.100000000000001" customHeight="1" x14ac:dyDescent="0.2">
      <c r="A48" s="253"/>
      <c r="B48" s="1"/>
      <c r="C48" s="1"/>
      <c r="D48" s="1"/>
      <c r="E48" s="1"/>
      <c r="F48" s="1"/>
      <c r="G48" s="1"/>
      <c r="H48" s="1"/>
      <c r="I48" s="1"/>
      <c r="J48" s="1"/>
      <c r="K48" s="1"/>
      <c r="L48" s="264"/>
    </row>
    <row r="49" spans="1:12" ht="20.100000000000001" customHeight="1" x14ac:dyDescent="0.2">
      <c r="A49" s="253"/>
      <c r="B49" s="1"/>
      <c r="C49" s="1"/>
      <c r="D49" s="1"/>
      <c r="E49" s="1"/>
      <c r="F49" s="1"/>
      <c r="G49" s="1"/>
      <c r="H49" s="1"/>
      <c r="I49" s="1"/>
      <c r="J49" s="1"/>
      <c r="K49" s="1"/>
      <c r="L49" s="264"/>
    </row>
    <row r="50" spans="1:12" ht="20.100000000000001" customHeight="1" x14ac:dyDescent="0.2">
      <c r="A50" s="253"/>
      <c r="B50" s="1"/>
      <c r="C50" s="1"/>
      <c r="D50" s="1"/>
      <c r="E50" s="1"/>
      <c r="F50" s="1"/>
      <c r="G50" s="1"/>
      <c r="H50" s="1"/>
      <c r="I50" s="1"/>
      <c r="J50" s="1"/>
      <c r="K50" s="1"/>
      <c r="L50" s="264"/>
    </row>
    <row r="51" spans="1:12" ht="20.100000000000001" customHeight="1" x14ac:dyDescent="0.2">
      <c r="A51" s="710"/>
      <c r="B51" s="826" t="s">
        <v>17</v>
      </c>
      <c r="C51" s="688"/>
      <c r="D51" s="688"/>
      <c r="E51" s="688"/>
      <c r="F51" s="688"/>
      <c r="G51" s="688"/>
      <c r="H51" s="688"/>
      <c r="I51" s="688"/>
      <c r="J51" s="688"/>
      <c r="K51" s="688"/>
      <c r="L51" s="712"/>
    </row>
    <row r="52" spans="1:12" ht="20.100000000000001" customHeight="1" x14ac:dyDescent="0.2">
      <c r="A52" s="253"/>
      <c r="B52" s="827" t="s">
        <v>667</v>
      </c>
      <c r="C52" s="1"/>
      <c r="D52" s="1"/>
      <c r="E52" s="1"/>
      <c r="F52" s="1"/>
      <c r="G52" s="1"/>
      <c r="H52" s="1"/>
      <c r="I52" s="1"/>
      <c r="J52" s="1"/>
      <c r="K52" s="1"/>
      <c r="L52" s="264"/>
    </row>
    <row r="53" spans="1:12" ht="20.100000000000001" customHeight="1" x14ac:dyDescent="0.2">
      <c r="A53" s="253"/>
      <c r="B53" s="827" t="s">
        <v>192</v>
      </c>
      <c r="C53" s="1"/>
      <c r="D53" s="1"/>
      <c r="E53" s="1"/>
      <c r="F53" s="1"/>
      <c r="G53" s="1"/>
      <c r="H53" s="1"/>
      <c r="I53" s="1"/>
      <c r="J53" s="1"/>
      <c r="K53" s="1"/>
      <c r="L53" s="264"/>
    </row>
    <row r="54" spans="1:12" ht="20.100000000000001" customHeight="1" x14ac:dyDescent="0.2">
      <c r="A54" s="253"/>
      <c r="B54" s="1"/>
      <c r="C54" s="1"/>
      <c r="D54" s="1"/>
      <c r="E54" s="1"/>
      <c r="F54" s="1"/>
      <c r="G54" s="1"/>
      <c r="H54" s="1"/>
      <c r="I54" s="1"/>
      <c r="J54" s="1"/>
      <c r="K54" s="1"/>
      <c r="L54" s="264"/>
    </row>
    <row r="55" spans="1:12" ht="20.100000000000001" customHeight="1" x14ac:dyDescent="0.2">
      <c r="A55" s="253"/>
      <c r="B55" s="1"/>
      <c r="C55" s="1"/>
      <c r="D55" s="1"/>
      <c r="E55" s="1"/>
      <c r="F55" s="1"/>
      <c r="G55" s="1"/>
      <c r="H55" s="1"/>
      <c r="I55" s="1"/>
      <c r="J55" s="1"/>
      <c r="K55" s="1"/>
      <c r="L55" s="264"/>
    </row>
    <row r="56" spans="1:12" ht="20.100000000000001" customHeight="1" x14ac:dyDescent="0.2">
      <c r="A56" s="253"/>
      <c r="B56" s="1"/>
      <c r="C56" s="1"/>
      <c r="D56" s="1"/>
      <c r="E56" s="1"/>
      <c r="F56" s="1"/>
      <c r="G56" s="1"/>
      <c r="H56" s="1"/>
      <c r="I56" s="1"/>
      <c r="J56" s="1"/>
      <c r="K56" s="1"/>
      <c r="L56" s="264"/>
    </row>
    <row r="57" spans="1:12" ht="20.100000000000001" customHeight="1" x14ac:dyDescent="0.2">
      <c r="A57" s="253"/>
      <c r="B57" s="1"/>
      <c r="C57" s="1"/>
      <c r="D57" s="1"/>
      <c r="E57" s="1"/>
      <c r="F57" s="1"/>
      <c r="G57" s="1"/>
      <c r="H57" s="1"/>
      <c r="I57" s="1"/>
      <c r="J57" s="1"/>
      <c r="K57" s="1"/>
      <c r="L57" s="264"/>
    </row>
    <row r="58" spans="1:12" ht="20.100000000000001" customHeight="1" x14ac:dyDescent="0.2">
      <c r="A58" s="253"/>
      <c r="B58" s="1"/>
      <c r="C58" s="1"/>
      <c r="D58" s="1"/>
      <c r="E58" s="1"/>
      <c r="F58" s="1"/>
      <c r="G58" s="1"/>
      <c r="H58" s="1"/>
      <c r="I58" s="1"/>
      <c r="J58" s="1"/>
      <c r="K58" s="1"/>
      <c r="L58" s="264"/>
    </row>
    <row r="59" spans="1:12" ht="20.100000000000001" customHeight="1" x14ac:dyDescent="0.2">
      <c r="A59" s="253"/>
      <c r="B59" s="1"/>
      <c r="C59" s="1"/>
      <c r="D59" s="1"/>
      <c r="E59" s="1"/>
      <c r="F59" s="1"/>
      <c r="G59" s="1"/>
      <c r="H59" s="1"/>
      <c r="I59" s="1"/>
      <c r="J59" s="1"/>
      <c r="K59" s="1"/>
      <c r="L59" s="264"/>
    </row>
    <row r="60" spans="1:12" ht="20.100000000000001" customHeight="1" x14ac:dyDescent="0.2">
      <c r="A60" s="253"/>
      <c r="B60" s="1"/>
      <c r="C60" s="1"/>
      <c r="D60" s="1"/>
      <c r="E60" s="1"/>
      <c r="F60" s="1"/>
      <c r="G60" s="1"/>
      <c r="H60" s="1"/>
      <c r="I60" s="1"/>
      <c r="J60" s="1"/>
      <c r="K60" s="1"/>
      <c r="L60" s="264"/>
    </row>
    <row r="61" spans="1:12" ht="20.100000000000001" customHeight="1" x14ac:dyDescent="0.2">
      <c r="A61" s="253"/>
      <c r="B61" s="1"/>
      <c r="C61" s="1"/>
      <c r="D61" s="1"/>
      <c r="E61" s="1"/>
      <c r="F61" s="1"/>
      <c r="G61" s="1"/>
      <c r="H61" s="1"/>
      <c r="I61" s="1"/>
      <c r="J61" s="1"/>
      <c r="K61" s="1"/>
      <c r="L61" s="264"/>
    </row>
    <row r="62" spans="1:12" ht="20.100000000000001" customHeight="1" x14ac:dyDescent="0.2">
      <c r="A62" s="253"/>
      <c r="B62" s="1"/>
      <c r="C62" s="1"/>
      <c r="D62" s="1"/>
      <c r="E62" s="1"/>
      <c r="F62" s="1"/>
      <c r="G62" s="1"/>
      <c r="H62" s="1"/>
      <c r="I62" s="1"/>
      <c r="J62" s="1"/>
      <c r="K62" s="1"/>
      <c r="L62" s="264"/>
    </row>
    <row r="63" spans="1:12" ht="20.100000000000001" customHeight="1" x14ac:dyDescent="0.2">
      <c r="A63" s="253"/>
      <c r="B63" s="1"/>
      <c r="C63" s="1"/>
      <c r="D63" s="1"/>
      <c r="E63" s="1"/>
      <c r="F63" s="1"/>
      <c r="G63" s="1"/>
      <c r="H63" s="1"/>
      <c r="I63" s="1"/>
      <c r="J63" s="1"/>
      <c r="K63" s="1"/>
      <c r="L63" s="264"/>
    </row>
    <row r="64" spans="1:12" ht="20.100000000000001" customHeight="1" thickBot="1" x14ac:dyDescent="0.25">
      <c r="A64" s="269"/>
      <c r="B64" s="271"/>
      <c r="C64" s="271"/>
      <c r="D64" s="271"/>
      <c r="E64" s="271"/>
      <c r="F64" s="271"/>
      <c r="G64" s="271"/>
      <c r="H64" s="271"/>
      <c r="I64" s="271"/>
      <c r="J64" s="271"/>
      <c r="K64" s="271"/>
      <c r="L64" s="305"/>
    </row>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20.100000000000001" customHeight="1" x14ac:dyDescent="0.2"/>
    <row r="110" ht="20.100000000000001" customHeight="1" x14ac:dyDescent="0.2"/>
    <row r="111" ht="20.100000000000001" customHeight="1" x14ac:dyDescent="0.2"/>
    <row r="112" ht="20.100000000000001" customHeight="1" x14ac:dyDescent="0.2"/>
    <row r="113" ht="20.100000000000001" customHeight="1" x14ac:dyDescent="0.2"/>
    <row r="114" ht="20.100000000000001" customHeight="1" x14ac:dyDescent="0.2"/>
  </sheetData>
  <sheetProtection selectLockedCells="1" selectUnlockedCells="1"/>
  <mergeCells count="18">
    <mergeCell ref="A9:L9"/>
    <mergeCell ref="B2:I5"/>
    <mergeCell ref="J2:K2"/>
    <mergeCell ref="J3:K3"/>
    <mergeCell ref="J4:K4"/>
    <mergeCell ref="J5:K5"/>
    <mergeCell ref="B12:C12"/>
    <mergeCell ref="B13:C13"/>
    <mergeCell ref="B14:C14"/>
    <mergeCell ref="B15:C15"/>
    <mergeCell ref="B16:C16"/>
    <mergeCell ref="B22:C22"/>
    <mergeCell ref="B23:C23"/>
    <mergeCell ref="B17:C17"/>
    <mergeCell ref="B18:C18"/>
    <mergeCell ref="B19:C19"/>
    <mergeCell ref="B20:C20"/>
    <mergeCell ref="B21:C21"/>
  </mergeCells>
  <phoneticPr fontId="0" type="noConversion"/>
  <printOptions horizontalCentered="1" verticalCentered="1"/>
  <pageMargins left="0.51181102362204722" right="0.51181102362204722" top="0.51181102362204722" bottom="0.51181102362204722" header="0.51181102362204722" footer="0.51181102362204722"/>
  <pageSetup paperSize="9" scale="41" orientation="landscape" horizontalDpi="300" verticalDpi="300" r:id="rId1"/>
  <headerFooter alignWithMargins="0">
    <oddHeader xml:space="preserve">&amp;C&amp;"Arial,Negrita"&amp;11&amp;U
&amp;RProject Nº: 1470
HCK TARRAGONA
DATE:  &amp;D
By: AD  / Rev:  0
</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K615"/>
  <sheetViews>
    <sheetView tabSelected="1" view="pageBreakPreview" zoomScaleNormal="85" zoomScaleSheetLayoutView="100" workbookViewId="0">
      <selection activeCell="E17" sqref="E17"/>
    </sheetView>
  </sheetViews>
  <sheetFormatPr defaultRowHeight="11.25" x14ac:dyDescent="0.2"/>
  <cols>
    <col min="1" max="1" width="2.85546875" style="434" customWidth="1"/>
    <col min="2" max="2" width="3.28515625" style="434" bestFit="1" customWidth="1"/>
    <col min="3" max="3" width="17.140625" style="435" customWidth="1"/>
    <col min="4" max="4" width="18.42578125" style="436" customWidth="1"/>
    <col min="5" max="5" width="54" style="434" customWidth="1"/>
    <col min="6" max="6" width="15.42578125" style="437" customWidth="1"/>
    <col min="7" max="7" width="15.42578125" style="437" hidden="1" customWidth="1"/>
    <col min="8" max="8" width="8.85546875" style="437" customWidth="1"/>
    <col min="9" max="9" width="9.140625" style="434"/>
    <col min="10" max="10" width="12" style="438" customWidth="1"/>
    <col min="11" max="256" width="9.140625" style="434"/>
    <col min="257" max="257" width="2.85546875" style="434" customWidth="1"/>
    <col min="258" max="258" width="3.28515625" style="434" bestFit="1" customWidth="1"/>
    <col min="259" max="259" width="17.140625" style="434" customWidth="1"/>
    <col min="260" max="260" width="17.7109375" style="434" customWidth="1"/>
    <col min="261" max="261" width="54" style="434" customWidth="1"/>
    <col min="262" max="262" width="15.42578125" style="434" customWidth="1"/>
    <col min="263" max="263" width="0" style="434" hidden="1" customWidth="1"/>
    <col min="264" max="264" width="8.85546875" style="434" customWidth="1"/>
    <col min="265" max="265" width="9.140625" style="434"/>
    <col min="266" max="266" width="12" style="434" customWidth="1"/>
    <col min="267" max="512" width="9.140625" style="434"/>
    <col min="513" max="513" width="2.85546875" style="434" customWidth="1"/>
    <col min="514" max="514" width="3.28515625" style="434" bestFit="1" customWidth="1"/>
    <col min="515" max="515" width="17.140625" style="434" customWidth="1"/>
    <col min="516" max="516" width="17.7109375" style="434" customWidth="1"/>
    <col min="517" max="517" width="54" style="434" customWidth="1"/>
    <col min="518" max="518" width="15.42578125" style="434" customWidth="1"/>
    <col min="519" max="519" width="0" style="434" hidden="1" customWidth="1"/>
    <col min="520" max="520" width="8.85546875" style="434" customWidth="1"/>
    <col min="521" max="521" width="9.140625" style="434"/>
    <col min="522" max="522" width="12" style="434" customWidth="1"/>
    <col min="523" max="768" width="9.140625" style="434"/>
    <col min="769" max="769" width="2.85546875" style="434" customWidth="1"/>
    <col min="770" max="770" width="3.28515625" style="434" bestFit="1" customWidth="1"/>
    <col min="771" max="771" width="17.140625" style="434" customWidth="1"/>
    <col min="772" max="772" width="17.7109375" style="434" customWidth="1"/>
    <col min="773" max="773" width="54" style="434" customWidth="1"/>
    <col min="774" max="774" width="15.42578125" style="434" customWidth="1"/>
    <col min="775" max="775" width="0" style="434" hidden="1" customWidth="1"/>
    <col min="776" max="776" width="8.85546875" style="434" customWidth="1"/>
    <col min="777" max="777" width="9.140625" style="434"/>
    <col min="778" max="778" width="12" style="434" customWidth="1"/>
    <col min="779" max="1024" width="9.140625" style="434"/>
    <col min="1025" max="1025" width="2.85546875" style="434" customWidth="1"/>
    <col min="1026" max="1026" width="3.28515625" style="434" bestFit="1" customWidth="1"/>
    <col min="1027" max="1027" width="17.140625" style="434" customWidth="1"/>
    <col min="1028" max="1028" width="17.7109375" style="434" customWidth="1"/>
    <col min="1029" max="1029" width="54" style="434" customWidth="1"/>
    <col min="1030" max="1030" width="15.42578125" style="434" customWidth="1"/>
    <col min="1031" max="1031" width="0" style="434" hidden="1" customWidth="1"/>
    <col min="1032" max="1032" width="8.85546875" style="434" customWidth="1"/>
    <col min="1033" max="1033" width="9.140625" style="434"/>
    <col min="1034" max="1034" width="12" style="434" customWidth="1"/>
    <col min="1035" max="1280" width="9.140625" style="434"/>
    <col min="1281" max="1281" width="2.85546875" style="434" customWidth="1"/>
    <col min="1282" max="1282" width="3.28515625" style="434" bestFit="1" customWidth="1"/>
    <col min="1283" max="1283" width="17.140625" style="434" customWidth="1"/>
    <col min="1284" max="1284" width="17.7109375" style="434" customWidth="1"/>
    <col min="1285" max="1285" width="54" style="434" customWidth="1"/>
    <col min="1286" max="1286" width="15.42578125" style="434" customWidth="1"/>
    <col min="1287" max="1287" width="0" style="434" hidden="1" customWidth="1"/>
    <col min="1288" max="1288" width="8.85546875" style="434" customWidth="1"/>
    <col min="1289" max="1289" width="9.140625" style="434"/>
    <col min="1290" max="1290" width="12" style="434" customWidth="1"/>
    <col min="1291" max="1536" width="9.140625" style="434"/>
    <col min="1537" max="1537" width="2.85546875" style="434" customWidth="1"/>
    <col min="1538" max="1538" width="3.28515625" style="434" bestFit="1" customWidth="1"/>
    <col min="1539" max="1539" width="17.140625" style="434" customWidth="1"/>
    <col min="1540" max="1540" width="17.7109375" style="434" customWidth="1"/>
    <col min="1541" max="1541" width="54" style="434" customWidth="1"/>
    <col min="1542" max="1542" width="15.42578125" style="434" customWidth="1"/>
    <col min="1543" max="1543" width="0" style="434" hidden="1" customWidth="1"/>
    <col min="1544" max="1544" width="8.85546875" style="434" customWidth="1"/>
    <col min="1545" max="1545" width="9.140625" style="434"/>
    <col min="1546" max="1546" width="12" style="434" customWidth="1"/>
    <col min="1547" max="1792" width="9.140625" style="434"/>
    <col min="1793" max="1793" width="2.85546875" style="434" customWidth="1"/>
    <col min="1794" max="1794" width="3.28515625" style="434" bestFit="1" customWidth="1"/>
    <col min="1795" max="1795" width="17.140625" style="434" customWidth="1"/>
    <col min="1796" max="1796" width="17.7109375" style="434" customWidth="1"/>
    <col min="1797" max="1797" width="54" style="434" customWidth="1"/>
    <col min="1798" max="1798" width="15.42578125" style="434" customWidth="1"/>
    <col min="1799" max="1799" width="0" style="434" hidden="1" customWidth="1"/>
    <col min="1800" max="1800" width="8.85546875" style="434" customWidth="1"/>
    <col min="1801" max="1801" width="9.140625" style="434"/>
    <col min="1802" max="1802" width="12" style="434" customWidth="1"/>
    <col min="1803" max="2048" width="9.140625" style="434"/>
    <col min="2049" max="2049" width="2.85546875" style="434" customWidth="1"/>
    <col min="2050" max="2050" width="3.28515625" style="434" bestFit="1" customWidth="1"/>
    <col min="2051" max="2051" width="17.140625" style="434" customWidth="1"/>
    <col min="2052" max="2052" width="17.7109375" style="434" customWidth="1"/>
    <col min="2053" max="2053" width="54" style="434" customWidth="1"/>
    <col min="2054" max="2054" width="15.42578125" style="434" customWidth="1"/>
    <col min="2055" max="2055" width="0" style="434" hidden="1" customWidth="1"/>
    <col min="2056" max="2056" width="8.85546875" style="434" customWidth="1"/>
    <col min="2057" max="2057" width="9.140625" style="434"/>
    <col min="2058" max="2058" width="12" style="434" customWidth="1"/>
    <col min="2059" max="2304" width="9.140625" style="434"/>
    <col min="2305" max="2305" width="2.85546875" style="434" customWidth="1"/>
    <col min="2306" max="2306" width="3.28515625" style="434" bestFit="1" customWidth="1"/>
    <col min="2307" max="2307" width="17.140625" style="434" customWidth="1"/>
    <col min="2308" max="2308" width="17.7109375" style="434" customWidth="1"/>
    <col min="2309" max="2309" width="54" style="434" customWidth="1"/>
    <col min="2310" max="2310" width="15.42578125" style="434" customWidth="1"/>
    <col min="2311" max="2311" width="0" style="434" hidden="1" customWidth="1"/>
    <col min="2312" max="2312" width="8.85546875" style="434" customWidth="1"/>
    <col min="2313" max="2313" width="9.140625" style="434"/>
    <col min="2314" max="2314" width="12" style="434" customWidth="1"/>
    <col min="2315" max="2560" width="9.140625" style="434"/>
    <col min="2561" max="2561" width="2.85546875" style="434" customWidth="1"/>
    <col min="2562" max="2562" width="3.28515625" style="434" bestFit="1" customWidth="1"/>
    <col min="2563" max="2563" width="17.140625" style="434" customWidth="1"/>
    <col min="2564" max="2564" width="17.7109375" style="434" customWidth="1"/>
    <col min="2565" max="2565" width="54" style="434" customWidth="1"/>
    <col min="2566" max="2566" width="15.42578125" style="434" customWidth="1"/>
    <col min="2567" max="2567" width="0" style="434" hidden="1" customWidth="1"/>
    <col min="2568" max="2568" width="8.85546875" style="434" customWidth="1"/>
    <col min="2569" max="2569" width="9.140625" style="434"/>
    <col min="2570" max="2570" width="12" style="434" customWidth="1"/>
    <col min="2571" max="2816" width="9.140625" style="434"/>
    <col min="2817" max="2817" width="2.85546875" style="434" customWidth="1"/>
    <col min="2818" max="2818" width="3.28515625" style="434" bestFit="1" customWidth="1"/>
    <col min="2819" max="2819" width="17.140625" style="434" customWidth="1"/>
    <col min="2820" max="2820" width="17.7109375" style="434" customWidth="1"/>
    <col min="2821" max="2821" width="54" style="434" customWidth="1"/>
    <col min="2822" max="2822" width="15.42578125" style="434" customWidth="1"/>
    <col min="2823" max="2823" width="0" style="434" hidden="1" customWidth="1"/>
    <col min="2824" max="2824" width="8.85546875" style="434" customWidth="1"/>
    <col min="2825" max="2825" width="9.140625" style="434"/>
    <col min="2826" max="2826" width="12" style="434" customWidth="1"/>
    <col min="2827" max="3072" width="9.140625" style="434"/>
    <col min="3073" max="3073" width="2.85546875" style="434" customWidth="1"/>
    <col min="3074" max="3074" width="3.28515625" style="434" bestFit="1" customWidth="1"/>
    <col min="3075" max="3075" width="17.140625" style="434" customWidth="1"/>
    <col min="3076" max="3076" width="17.7109375" style="434" customWidth="1"/>
    <col min="3077" max="3077" width="54" style="434" customWidth="1"/>
    <col min="3078" max="3078" width="15.42578125" style="434" customWidth="1"/>
    <col min="3079" max="3079" width="0" style="434" hidden="1" customWidth="1"/>
    <col min="3080" max="3080" width="8.85546875" style="434" customWidth="1"/>
    <col min="3081" max="3081" width="9.140625" style="434"/>
    <col min="3082" max="3082" width="12" style="434" customWidth="1"/>
    <col min="3083" max="3328" width="9.140625" style="434"/>
    <col min="3329" max="3329" width="2.85546875" style="434" customWidth="1"/>
    <col min="3330" max="3330" width="3.28515625" style="434" bestFit="1" customWidth="1"/>
    <col min="3331" max="3331" width="17.140625" style="434" customWidth="1"/>
    <col min="3332" max="3332" width="17.7109375" style="434" customWidth="1"/>
    <col min="3333" max="3333" width="54" style="434" customWidth="1"/>
    <col min="3334" max="3334" width="15.42578125" style="434" customWidth="1"/>
    <col min="3335" max="3335" width="0" style="434" hidden="1" customWidth="1"/>
    <col min="3336" max="3336" width="8.85546875" style="434" customWidth="1"/>
    <col min="3337" max="3337" width="9.140625" style="434"/>
    <col min="3338" max="3338" width="12" style="434" customWidth="1"/>
    <col min="3339" max="3584" width="9.140625" style="434"/>
    <col min="3585" max="3585" width="2.85546875" style="434" customWidth="1"/>
    <col min="3586" max="3586" width="3.28515625" style="434" bestFit="1" customWidth="1"/>
    <col min="3587" max="3587" width="17.140625" style="434" customWidth="1"/>
    <col min="3588" max="3588" width="17.7109375" style="434" customWidth="1"/>
    <col min="3589" max="3589" width="54" style="434" customWidth="1"/>
    <col min="3590" max="3590" width="15.42578125" style="434" customWidth="1"/>
    <col min="3591" max="3591" width="0" style="434" hidden="1" customWidth="1"/>
    <col min="3592" max="3592" width="8.85546875" style="434" customWidth="1"/>
    <col min="3593" max="3593" width="9.140625" style="434"/>
    <col min="3594" max="3594" width="12" style="434" customWidth="1"/>
    <col min="3595" max="3840" width="9.140625" style="434"/>
    <col min="3841" max="3841" width="2.85546875" style="434" customWidth="1"/>
    <col min="3842" max="3842" width="3.28515625" style="434" bestFit="1" customWidth="1"/>
    <col min="3843" max="3843" width="17.140625" style="434" customWidth="1"/>
    <col min="3844" max="3844" width="17.7109375" style="434" customWidth="1"/>
    <col min="3845" max="3845" width="54" style="434" customWidth="1"/>
    <col min="3846" max="3846" width="15.42578125" style="434" customWidth="1"/>
    <col min="3847" max="3847" width="0" style="434" hidden="1" customWidth="1"/>
    <col min="3848" max="3848" width="8.85546875" style="434" customWidth="1"/>
    <col min="3849" max="3849" width="9.140625" style="434"/>
    <col min="3850" max="3850" width="12" style="434" customWidth="1"/>
    <col min="3851" max="4096" width="9.140625" style="434"/>
    <col min="4097" max="4097" width="2.85546875" style="434" customWidth="1"/>
    <col min="4098" max="4098" width="3.28515625" style="434" bestFit="1" customWidth="1"/>
    <col min="4099" max="4099" width="17.140625" style="434" customWidth="1"/>
    <col min="4100" max="4100" width="17.7109375" style="434" customWidth="1"/>
    <col min="4101" max="4101" width="54" style="434" customWidth="1"/>
    <col min="4102" max="4102" width="15.42578125" style="434" customWidth="1"/>
    <col min="4103" max="4103" width="0" style="434" hidden="1" customWidth="1"/>
    <col min="4104" max="4104" width="8.85546875" style="434" customWidth="1"/>
    <col min="4105" max="4105" width="9.140625" style="434"/>
    <col min="4106" max="4106" width="12" style="434" customWidth="1"/>
    <col min="4107" max="4352" width="9.140625" style="434"/>
    <col min="4353" max="4353" width="2.85546875" style="434" customWidth="1"/>
    <col min="4354" max="4354" width="3.28515625" style="434" bestFit="1" customWidth="1"/>
    <col min="4355" max="4355" width="17.140625" style="434" customWidth="1"/>
    <col min="4356" max="4356" width="17.7109375" style="434" customWidth="1"/>
    <col min="4357" max="4357" width="54" style="434" customWidth="1"/>
    <col min="4358" max="4358" width="15.42578125" style="434" customWidth="1"/>
    <col min="4359" max="4359" width="0" style="434" hidden="1" customWidth="1"/>
    <col min="4360" max="4360" width="8.85546875" style="434" customWidth="1"/>
    <col min="4361" max="4361" width="9.140625" style="434"/>
    <col min="4362" max="4362" width="12" style="434" customWidth="1"/>
    <col min="4363" max="4608" width="9.140625" style="434"/>
    <col min="4609" max="4609" width="2.85546875" style="434" customWidth="1"/>
    <col min="4610" max="4610" width="3.28515625" style="434" bestFit="1" customWidth="1"/>
    <col min="4611" max="4611" width="17.140625" style="434" customWidth="1"/>
    <col min="4612" max="4612" width="17.7109375" style="434" customWidth="1"/>
    <col min="4613" max="4613" width="54" style="434" customWidth="1"/>
    <col min="4614" max="4614" width="15.42578125" style="434" customWidth="1"/>
    <col min="4615" max="4615" width="0" style="434" hidden="1" customWidth="1"/>
    <col min="4616" max="4616" width="8.85546875" style="434" customWidth="1"/>
    <col min="4617" max="4617" width="9.140625" style="434"/>
    <col min="4618" max="4618" width="12" style="434" customWidth="1"/>
    <col min="4619" max="4864" width="9.140625" style="434"/>
    <col min="4865" max="4865" width="2.85546875" style="434" customWidth="1"/>
    <col min="4866" max="4866" width="3.28515625" style="434" bestFit="1" customWidth="1"/>
    <col min="4867" max="4867" width="17.140625" style="434" customWidth="1"/>
    <col min="4868" max="4868" width="17.7109375" style="434" customWidth="1"/>
    <col min="4869" max="4869" width="54" style="434" customWidth="1"/>
    <col min="4870" max="4870" width="15.42578125" style="434" customWidth="1"/>
    <col min="4871" max="4871" width="0" style="434" hidden="1" customWidth="1"/>
    <col min="4872" max="4872" width="8.85546875" style="434" customWidth="1"/>
    <col min="4873" max="4873" width="9.140625" style="434"/>
    <col min="4874" max="4874" width="12" style="434" customWidth="1"/>
    <col min="4875" max="5120" width="9.140625" style="434"/>
    <col min="5121" max="5121" width="2.85546875" style="434" customWidth="1"/>
    <col min="5122" max="5122" width="3.28515625" style="434" bestFit="1" customWidth="1"/>
    <col min="5123" max="5123" width="17.140625" style="434" customWidth="1"/>
    <col min="5124" max="5124" width="17.7109375" style="434" customWidth="1"/>
    <col min="5125" max="5125" width="54" style="434" customWidth="1"/>
    <col min="5126" max="5126" width="15.42578125" style="434" customWidth="1"/>
    <col min="5127" max="5127" width="0" style="434" hidden="1" customWidth="1"/>
    <col min="5128" max="5128" width="8.85546875" style="434" customWidth="1"/>
    <col min="5129" max="5129" width="9.140625" style="434"/>
    <col min="5130" max="5130" width="12" style="434" customWidth="1"/>
    <col min="5131" max="5376" width="9.140625" style="434"/>
    <col min="5377" max="5377" width="2.85546875" style="434" customWidth="1"/>
    <col min="5378" max="5378" width="3.28515625" style="434" bestFit="1" customWidth="1"/>
    <col min="5379" max="5379" width="17.140625" style="434" customWidth="1"/>
    <col min="5380" max="5380" width="17.7109375" style="434" customWidth="1"/>
    <col min="5381" max="5381" width="54" style="434" customWidth="1"/>
    <col min="5382" max="5382" width="15.42578125" style="434" customWidth="1"/>
    <col min="5383" max="5383" width="0" style="434" hidden="1" customWidth="1"/>
    <col min="5384" max="5384" width="8.85546875" style="434" customWidth="1"/>
    <col min="5385" max="5385" width="9.140625" style="434"/>
    <col min="5386" max="5386" width="12" style="434" customWidth="1"/>
    <col min="5387" max="5632" width="9.140625" style="434"/>
    <col min="5633" max="5633" width="2.85546875" style="434" customWidth="1"/>
    <col min="5634" max="5634" width="3.28515625" style="434" bestFit="1" customWidth="1"/>
    <col min="5635" max="5635" width="17.140625" style="434" customWidth="1"/>
    <col min="5636" max="5636" width="17.7109375" style="434" customWidth="1"/>
    <col min="5637" max="5637" width="54" style="434" customWidth="1"/>
    <col min="5638" max="5638" width="15.42578125" style="434" customWidth="1"/>
    <col min="5639" max="5639" width="0" style="434" hidden="1" customWidth="1"/>
    <col min="5640" max="5640" width="8.85546875" style="434" customWidth="1"/>
    <col min="5641" max="5641" width="9.140625" style="434"/>
    <col min="5642" max="5642" width="12" style="434" customWidth="1"/>
    <col min="5643" max="5888" width="9.140625" style="434"/>
    <col min="5889" max="5889" width="2.85546875" style="434" customWidth="1"/>
    <col min="5890" max="5890" width="3.28515625" style="434" bestFit="1" customWidth="1"/>
    <col min="5891" max="5891" width="17.140625" style="434" customWidth="1"/>
    <col min="5892" max="5892" width="17.7109375" style="434" customWidth="1"/>
    <col min="5893" max="5893" width="54" style="434" customWidth="1"/>
    <col min="5894" max="5894" width="15.42578125" style="434" customWidth="1"/>
    <col min="5895" max="5895" width="0" style="434" hidden="1" customWidth="1"/>
    <col min="5896" max="5896" width="8.85546875" style="434" customWidth="1"/>
    <col min="5897" max="5897" width="9.140625" style="434"/>
    <col min="5898" max="5898" width="12" style="434" customWidth="1"/>
    <col min="5899" max="6144" width="9.140625" style="434"/>
    <col min="6145" max="6145" width="2.85546875" style="434" customWidth="1"/>
    <col min="6146" max="6146" width="3.28515625" style="434" bestFit="1" customWidth="1"/>
    <col min="6147" max="6147" width="17.140625" style="434" customWidth="1"/>
    <col min="6148" max="6148" width="17.7109375" style="434" customWidth="1"/>
    <col min="6149" max="6149" width="54" style="434" customWidth="1"/>
    <col min="6150" max="6150" width="15.42578125" style="434" customWidth="1"/>
    <col min="6151" max="6151" width="0" style="434" hidden="1" customWidth="1"/>
    <col min="6152" max="6152" width="8.85546875" style="434" customWidth="1"/>
    <col min="6153" max="6153" width="9.140625" style="434"/>
    <col min="6154" max="6154" width="12" style="434" customWidth="1"/>
    <col min="6155" max="6400" width="9.140625" style="434"/>
    <col min="6401" max="6401" width="2.85546875" style="434" customWidth="1"/>
    <col min="6402" max="6402" width="3.28515625" style="434" bestFit="1" customWidth="1"/>
    <col min="6403" max="6403" width="17.140625" style="434" customWidth="1"/>
    <col min="6404" max="6404" width="17.7109375" style="434" customWidth="1"/>
    <col min="6405" max="6405" width="54" style="434" customWidth="1"/>
    <col min="6406" max="6406" width="15.42578125" style="434" customWidth="1"/>
    <col min="6407" max="6407" width="0" style="434" hidden="1" customWidth="1"/>
    <col min="6408" max="6408" width="8.85546875" style="434" customWidth="1"/>
    <col min="6409" max="6409" width="9.140625" style="434"/>
    <col min="6410" max="6410" width="12" style="434" customWidth="1"/>
    <col min="6411" max="6656" width="9.140625" style="434"/>
    <col min="6657" max="6657" width="2.85546875" style="434" customWidth="1"/>
    <col min="6658" max="6658" width="3.28515625" style="434" bestFit="1" customWidth="1"/>
    <col min="6659" max="6659" width="17.140625" style="434" customWidth="1"/>
    <col min="6660" max="6660" width="17.7109375" style="434" customWidth="1"/>
    <col min="6661" max="6661" width="54" style="434" customWidth="1"/>
    <col min="6662" max="6662" width="15.42578125" style="434" customWidth="1"/>
    <col min="6663" max="6663" width="0" style="434" hidden="1" customWidth="1"/>
    <col min="6664" max="6664" width="8.85546875" style="434" customWidth="1"/>
    <col min="6665" max="6665" width="9.140625" style="434"/>
    <col min="6666" max="6666" width="12" style="434" customWidth="1"/>
    <col min="6667" max="6912" width="9.140625" style="434"/>
    <col min="6913" max="6913" width="2.85546875" style="434" customWidth="1"/>
    <col min="6914" max="6914" width="3.28515625" style="434" bestFit="1" customWidth="1"/>
    <col min="6915" max="6915" width="17.140625" style="434" customWidth="1"/>
    <col min="6916" max="6916" width="17.7109375" style="434" customWidth="1"/>
    <col min="6917" max="6917" width="54" style="434" customWidth="1"/>
    <col min="6918" max="6918" width="15.42578125" style="434" customWidth="1"/>
    <col min="6919" max="6919" width="0" style="434" hidden="1" customWidth="1"/>
    <col min="6920" max="6920" width="8.85546875" style="434" customWidth="1"/>
    <col min="6921" max="6921" width="9.140625" style="434"/>
    <col min="6922" max="6922" width="12" style="434" customWidth="1"/>
    <col min="6923" max="7168" width="9.140625" style="434"/>
    <col min="7169" max="7169" width="2.85546875" style="434" customWidth="1"/>
    <col min="7170" max="7170" width="3.28515625" style="434" bestFit="1" customWidth="1"/>
    <col min="7171" max="7171" width="17.140625" style="434" customWidth="1"/>
    <col min="7172" max="7172" width="17.7109375" style="434" customWidth="1"/>
    <col min="7173" max="7173" width="54" style="434" customWidth="1"/>
    <col min="7174" max="7174" width="15.42578125" style="434" customWidth="1"/>
    <col min="7175" max="7175" width="0" style="434" hidden="1" customWidth="1"/>
    <col min="7176" max="7176" width="8.85546875" style="434" customWidth="1"/>
    <col min="7177" max="7177" width="9.140625" style="434"/>
    <col min="7178" max="7178" width="12" style="434" customWidth="1"/>
    <col min="7179" max="7424" width="9.140625" style="434"/>
    <col min="7425" max="7425" width="2.85546875" style="434" customWidth="1"/>
    <col min="7426" max="7426" width="3.28515625" style="434" bestFit="1" customWidth="1"/>
    <col min="7427" max="7427" width="17.140625" style="434" customWidth="1"/>
    <col min="7428" max="7428" width="17.7109375" style="434" customWidth="1"/>
    <col min="7429" max="7429" width="54" style="434" customWidth="1"/>
    <col min="7430" max="7430" width="15.42578125" style="434" customWidth="1"/>
    <col min="7431" max="7431" width="0" style="434" hidden="1" customWidth="1"/>
    <col min="7432" max="7432" width="8.85546875" style="434" customWidth="1"/>
    <col min="7433" max="7433" width="9.140625" style="434"/>
    <col min="7434" max="7434" width="12" style="434" customWidth="1"/>
    <col min="7435" max="7680" width="9.140625" style="434"/>
    <col min="7681" max="7681" width="2.85546875" style="434" customWidth="1"/>
    <col min="7682" max="7682" width="3.28515625" style="434" bestFit="1" customWidth="1"/>
    <col min="7683" max="7683" width="17.140625" style="434" customWidth="1"/>
    <col min="7684" max="7684" width="17.7109375" style="434" customWidth="1"/>
    <col min="7685" max="7685" width="54" style="434" customWidth="1"/>
    <col min="7686" max="7686" width="15.42578125" style="434" customWidth="1"/>
    <col min="7687" max="7687" width="0" style="434" hidden="1" customWidth="1"/>
    <col min="7688" max="7688" width="8.85546875" style="434" customWidth="1"/>
    <col min="7689" max="7689" width="9.140625" style="434"/>
    <col min="7690" max="7690" width="12" style="434" customWidth="1"/>
    <col min="7691" max="7936" width="9.140625" style="434"/>
    <col min="7937" max="7937" width="2.85546875" style="434" customWidth="1"/>
    <col min="7938" max="7938" width="3.28515625" style="434" bestFit="1" customWidth="1"/>
    <col min="7939" max="7939" width="17.140625" style="434" customWidth="1"/>
    <col min="7940" max="7940" width="17.7109375" style="434" customWidth="1"/>
    <col min="7941" max="7941" width="54" style="434" customWidth="1"/>
    <col min="7942" max="7942" width="15.42578125" style="434" customWidth="1"/>
    <col min="7943" max="7943" width="0" style="434" hidden="1" customWidth="1"/>
    <col min="7944" max="7944" width="8.85546875" style="434" customWidth="1"/>
    <col min="7945" max="7945" width="9.140625" style="434"/>
    <col min="7946" max="7946" width="12" style="434" customWidth="1"/>
    <col min="7947" max="8192" width="9.140625" style="434"/>
    <col min="8193" max="8193" width="2.85546875" style="434" customWidth="1"/>
    <col min="8194" max="8194" width="3.28515625" style="434" bestFit="1" customWidth="1"/>
    <col min="8195" max="8195" width="17.140625" style="434" customWidth="1"/>
    <col min="8196" max="8196" width="17.7109375" style="434" customWidth="1"/>
    <col min="8197" max="8197" width="54" style="434" customWidth="1"/>
    <col min="8198" max="8198" width="15.42578125" style="434" customWidth="1"/>
    <col min="8199" max="8199" width="0" style="434" hidden="1" customWidth="1"/>
    <col min="8200" max="8200" width="8.85546875" style="434" customWidth="1"/>
    <col min="8201" max="8201" width="9.140625" style="434"/>
    <col min="8202" max="8202" width="12" style="434" customWidth="1"/>
    <col min="8203" max="8448" width="9.140625" style="434"/>
    <col min="8449" max="8449" width="2.85546875" style="434" customWidth="1"/>
    <col min="8450" max="8450" width="3.28515625" style="434" bestFit="1" customWidth="1"/>
    <col min="8451" max="8451" width="17.140625" style="434" customWidth="1"/>
    <col min="8452" max="8452" width="17.7109375" style="434" customWidth="1"/>
    <col min="8453" max="8453" width="54" style="434" customWidth="1"/>
    <col min="8454" max="8454" width="15.42578125" style="434" customWidth="1"/>
    <col min="8455" max="8455" width="0" style="434" hidden="1" customWidth="1"/>
    <col min="8456" max="8456" width="8.85546875" style="434" customWidth="1"/>
    <col min="8457" max="8457" width="9.140625" style="434"/>
    <col min="8458" max="8458" width="12" style="434" customWidth="1"/>
    <col min="8459" max="8704" width="9.140625" style="434"/>
    <col min="8705" max="8705" width="2.85546875" style="434" customWidth="1"/>
    <col min="8706" max="8706" width="3.28515625" style="434" bestFit="1" customWidth="1"/>
    <col min="8707" max="8707" width="17.140625" style="434" customWidth="1"/>
    <col min="8708" max="8708" width="17.7109375" style="434" customWidth="1"/>
    <col min="8709" max="8709" width="54" style="434" customWidth="1"/>
    <col min="8710" max="8710" width="15.42578125" style="434" customWidth="1"/>
    <col min="8711" max="8711" width="0" style="434" hidden="1" customWidth="1"/>
    <col min="8712" max="8712" width="8.85546875" style="434" customWidth="1"/>
    <col min="8713" max="8713" width="9.140625" style="434"/>
    <col min="8714" max="8714" width="12" style="434" customWidth="1"/>
    <col min="8715" max="8960" width="9.140625" style="434"/>
    <col min="8961" max="8961" width="2.85546875" style="434" customWidth="1"/>
    <col min="8962" max="8962" width="3.28515625" style="434" bestFit="1" customWidth="1"/>
    <col min="8963" max="8963" width="17.140625" style="434" customWidth="1"/>
    <col min="8964" max="8964" width="17.7109375" style="434" customWidth="1"/>
    <col min="8965" max="8965" width="54" style="434" customWidth="1"/>
    <col min="8966" max="8966" width="15.42578125" style="434" customWidth="1"/>
    <col min="8967" max="8967" width="0" style="434" hidden="1" customWidth="1"/>
    <col min="8968" max="8968" width="8.85546875" style="434" customWidth="1"/>
    <col min="8969" max="8969" width="9.140625" style="434"/>
    <col min="8970" max="8970" width="12" style="434" customWidth="1"/>
    <col min="8971" max="9216" width="9.140625" style="434"/>
    <col min="9217" max="9217" width="2.85546875" style="434" customWidth="1"/>
    <col min="9218" max="9218" width="3.28515625" style="434" bestFit="1" customWidth="1"/>
    <col min="9219" max="9219" width="17.140625" style="434" customWidth="1"/>
    <col min="9220" max="9220" width="17.7109375" style="434" customWidth="1"/>
    <col min="9221" max="9221" width="54" style="434" customWidth="1"/>
    <col min="9222" max="9222" width="15.42578125" style="434" customWidth="1"/>
    <col min="9223" max="9223" width="0" style="434" hidden="1" customWidth="1"/>
    <col min="9224" max="9224" width="8.85546875" style="434" customWidth="1"/>
    <col min="9225" max="9225" width="9.140625" style="434"/>
    <col min="9226" max="9226" width="12" style="434" customWidth="1"/>
    <col min="9227" max="9472" width="9.140625" style="434"/>
    <col min="9473" max="9473" width="2.85546875" style="434" customWidth="1"/>
    <col min="9474" max="9474" width="3.28515625" style="434" bestFit="1" customWidth="1"/>
    <col min="9475" max="9475" width="17.140625" style="434" customWidth="1"/>
    <col min="9476" max="9476" width="17.7109375" style="434" customWidth="1"/>
    <col min="9477" max="9477" width="54" style="434" customWidth="1"/>
    <col min="9478" max="9478" width="15.42578125" style="434" customWidth="1"/>
    <col min="9479" max="9479" width="0" style="434" hidden="1" customWidth="1"/>
    <col min="9480" max="9480" width="8.85546875" style="434" customWidth="1"/>
    <col min="9481" max="9481" width="9.140625" style="434"/>
    <col min="9482" max="9482" width="12" style="434" customWidth="1"/>
    <col min="9483" max="9728" width="9.140625" style="434"/>
    <col min="9729" max="9729" width="2.85546875" style="434" customWidth="1"/>
    <col min="9730" max="9730" width="3.28515625" style="434" bestFit="1" customWidth="1"/>
    <col min="9731" max="9731" width="17.140625" style="434" customWidth="1"/>
    <col min="9732" max="9732" width="17.7109375" style="434" customWidth="1"/>
    <col min="9733" max="9733" width="54" style="434" customWidth="1"/>
    <col min="9734" max="9734" width="15.42578125" style="434" customWidth="1"/>
    <col min="9735" max="9735" width="0" style="434" hidden="1" customWidth="1"/>
    <col min="9736" max="9736" width="8.85546875" style="434" customWidth="1"/>
    <col min="9737" max="9737" width="9.140625" style="434"/>
    <col min="9738" max="9738" width="12" style="434" customWidth="1"/>
    <col min="9739" max="9984" width="9.140625" style="434"/>
    <col min="9985" max="9985" width="2.85546875" style="434" customWidth="1"/>
    <col min="9986" max="9986" width="3.28515625" style="434" bestFit="1" customWidth="1"/>
    <col min="9987" max="9987" width="17.140625" style="434" customWidth="1"/>
    <col min="9988" max="9988" width="17.7109375" style="434" customWidth="1"/>
    <col min="9989" max="9989" width="54" style="434" customWidth="1"/>
    <col min="9990" max="9990" width="15.42578125" style="434" customWidth="1"/>
    <col min="9991" max="9991" width="0" style="434" hidden="1" customWidth="1"/>
    <col min="9992" max="9992" width="8.85546875" style="434" customWidth="1"/>
    <col min="9993" max="9993" width="9.140625" style="434"/>
    <col min="9994" max="9994" width="12" style="434" customWidth="1"/>
    <col min="9995" max="10240" width="9.140625" style="434"/>
    <col min="10241" max="10241" width="2.85546875" style="434" customWidth="1"/>
    <col min="10242" max="10242" width="3.28515625" style="434" bestFit="1" customWidth="1"/>
    <col min="10243" max="10243" width="17.140625" style="434" customWidth="1"/>
    <col min="10244" max="10244" width="17.7109375" style="434" customWidth="1"/>
    <col min="10245" max="10245" width="54" style="434" customWidth="1"/>
    <col min="10246" max="10246" width="15.42578125" style="434" customWidth="1"/>
    <col min="10247" max="10247" width="0" style="434" hidden="1" customWidth="1"/>
    <col min="10248" max="10248" width="8.85546875" style="434" customWidth="1"/>
    <col min="10249" max="10249" width="9.140625" style="434"/>
    <col min="10250" max="10250" width="12" style="434" customWidth="1"/>
    <col min="10251" max="10496" width="9.140625" style="434"/>
    <col min="10497" max="10497" width="2.85546875" style="434" customWidth="1"/>
    <col min="10498" max="10498" width="3.28515625" style="434" bestFit="1" customWidth="1"/>
    <col min="10499" max="10499" width="17.140625" style="434" customWidth="1"/>
    <col min="10500" max="10500" width="17.7109375" style="434" customWidth="1"/>
    <col min="10501" max="10501" width="54" style="434" customWidth="1"/>
    <col min="10502" max="10502" width="15.42578125" style="434" customWidth="1"/>
    <col min="10503" max="10503" width="0" style="434" hidden="1" customWidth="1"/>
    <col min="10504" max="10504" width="8.85546875" style="434" customWidth="1"/>
    <col min="10505" max="10505" width="9.140625" style="434"/>
    <col min="10506" max="10506" width="12" style="434" customWidth="1"/>
    <col min="10507" max="10752" width="9.140625" style="434"/>
    <col min="10753" max="10753" width="2.85546875" style="434" customWidth="1"/>
    <col min="10754" max="10754" width="3.28515625" style="434" bestFit="1" customWidth="1"/>
    <col min="10755" max="10755" width="17.140625" style="434" customWidth="1"/>
    <col min="10756" max="10756" width="17.7109375" style="434" customWidth="1"/>
    <col min="10757" max="10757" width="54" style="434" customWidth="1"/>
    <col min="10758" max="10758" width="15.42578125" style="434" customWidth="1"/>
    <col min="10759" max="10759" width="0" style="434" hidden="1" customWidth="1"/>
    <col min="10760" max="10760" width="8.85546875" style="434" customWidth="1"/>
    <col min="10761" max="10761" width="9.140625" style="434"/>
    <col min="10762" max="10762" width="12" style="434" customWidth="1"/>
    <col min="10763" max="11008" width="9.140625" style="434"/>
    <col min="11009" max="11009" width="2.85546875" style="434" customWidth="1"/>
    <col min="11010" max="11010" width="3.28515625" style="434" bestFit="1" customWidth="1"/>
    <col min="11011" max="11011" width="17.140625" style="434" customWidth="1"/>
    <col min="11012" max="11012" width="17.7109375" style="434" customWidth="1"/>
    <col min="11013" max="11013" width="54" style="434" customWidth="1"/>
    <col min="11014" max="11014" width="15.42578125" style="434" customWidth="1"/>
    <col min="11015" max="11015" width="0" style="434" hidden="1" customWidth="1"/>
    <col min="11016" max="11016" width="8.85546875" style="434" customWidth="1"/>
    <col min="11017" max="11017" width="9.140625" style="434"/>
    <col min="11018" max="11018" width="12" style="434" customWidth="1"/>
    <col min="11019" max="11264" width="9.140625" style="434"/>
    <col min="11265" max="11265" width="2.85546875" style="434" customWidth="1"/>
    <col min="11266" max="11266" width="3.28515625" style="434" bestFit="1" customWidth="1"/>
    <col min="11267" max="11267" width="17.140625" style="434" customWidth="1"/>
    <col min="11268" max="11268" width="17.7109375" style="434" customWidth="1"/>
    <col min="11269" max="11269" width="54" style="434" customWidth="1"/>
    <col min="11270" max="11270" width="15.42578125" style="434" customWidth="1"/>
    <col min="11271" max="11271" width="0" style="434" hidden="1" customWidth="1"/>
    <col min="11272" max="11272" width="8.85546875" style="434" customWidth="1"/>
    <col min="11273" max="11273" width="9.140625" style="434"/>
    <col min="11274" max="11274" width="12" style="434" customWidth="1"/>
    <col min="11275" max="11520" width="9.140625" style="434"/>
    <col min="11521" max="11521" width="2.85546875" style="434" customWidth="1"/>
    <col min="11522" max="11522" width="3.28515625" style="434" bestFit="1" customWidth="1"/>
    <col min="11523" max="11523" width="17.140625" style="434" customWidth="1"/>
    <col min="11524" max="11524" width="17.7109375" style="434" customWidth="1"/>
    <col min="11525" max="11525" width="54" style="434" customWidth="1"/>
    <col min="11526" max="11526" width="15.42578125" style="434" customWidth="1"/>
    <col min="11527" max="11527" width="0" style="434" hidden="1" customWidth="1"/>
    <col min="11528" max="11528" width="8.85546875" style="434" customWidth="1"/>
    <col min="11529" max="11529" width="9.140625" style="434"/>
    <col min="11530" max="11530" width="12" style="434" customWidth="1"/>
    <col min="11531" max="11776" width="9.140625" style="434"/>
    <col min="11777" max="11777" width="2.85546875" style="434" customWidth="1"/>
    <col min="11778" max="11778" width="3.28515625" style="434" bestFit="1" customWidth="1"/>
    <col min="11779" max="11779" width="17.140625" style="434" customWidth="1"/>
    <col min="11780" max="11780" width="17.7109375" style="434" customWidth="1"/>
    <col min="11781" max="11781" width="54" style="434" customWidth="1"/>
    <col min="11782" max="11782" width="15.42578125" style="434" customWidth="1"/>
    <col min="11783" max="11783" width="0" style="434" hidden="1" customWidth="1"/>
    <col min="11784" max="11784" width="8.85546875" style="434" customWidth="1"/>
    <col min="11785" max="11785" width="9.140625" style="434"/>
    <col min="11786" max="11786" width="12" style="434" customWidth="1"/>
    <col min="11787" max="12032" width="9.140625" style="434"/>
    <col min="12033" max="12033" width="2.85546875" style="434" customWidth="1"/>
    <col min="12034" max="12034" width="3.28515625" style="434" bestFit="1" customWidth="1"/>
    <col min="12035" max="12035" width="17.140625" style="434" customWidth="1"/>
    <col min="12036" max="12036" width="17.7109375" style="434" customWidth="1"/>
    <col min="12037" max="12037" width="54" style="434" customWidth="1"/>
    <col min="12038" max="12038" width="15.42578125" style="434" customWidth="1"/>
    <col min="12039" max="12039" width="0" style="434" hidden="1" customWidth="1"/>
    <col min="12040" max="12040" width="8.85546875" style="434" customWidth="1"/>
    <col min="12041" max="12041" width="9.140625" style="434"/>
    <col min="12042" max="12042" width="12" style="434" customWidth="1"/>
    <col min="12043" max="12288" width="9.140625" style="434"/>
    <col min="12289" max="12289" width="2.85546875" style="434" customWidth="1"/>
    <col min="12290" max="12290" width="3.28515625" style="434" bestFit="1" customWidth="1"/>
    <col min="12291" max="12291" width="17.140625" style="434" customWidth="1"/>
    <col min="12292" max="12292" width="17.7109375" style="434" customWidth="1"/>
    <col min="12293" max="12293" width="54" style="434" customWidth="1"/>
    <col min="12294" max="12294" width="15.42578125" style="434" customWidth="1"/>
    <col min="12295" max="12295" width="0" style="434" hidden="1" customWidth="1"/>
    <col min="12296" max="12296" width="8.85546875" style="434" customWidth="1"/>
    <col min="12297" max="12297" width="9.140625" style="434"/>
    <col min="12298" max="12298" width="12" style="434" customWidth="1"/>
    <col min="12299" max="12544" width="9.140625" style="434"/>
    <col min="12545" max="12545" width="2.85546875" style="434" customWidth="1"/>
    <col min="12546" max="12546" width="3.28515625" style="434" bestFit="1" customWidth="1"/>
    <col min="12547" max="12547" width="17.140625" style="434" customWidth="1"/>
    <col min="12548" max="12548" width="17.7109375" style="434" customWidth="1"/>
    <col min="12549" max="12549" width="54" style="434" customWidth="1"/>
    <col min="12550" max="12550" width="15.42578125" style="434" customWidth="1"/>
    <col min="12551" max="12551" width="0" style="434" hidden="1" customWidth="1"/>
    <col min="12552" max="12552" width="8.85546875" style="434" customWidth="1"/>
    <col min="12553" max="12553" width="9.140625" style="434"/>
    <col min="12554" max="12554" width="12" style="434" customWidth="1"/>
    <col min="12555" max="12800" width="9.140625" style="434"/>
    <col min="12801" max="12801" width="2.85546875" style="434" customWidth="1"/>
    <col min="12802" max="12802" width="3.28515625" style="434" bestFit="1" customWidth="1"/>
    <col min="12803" max="12803" width="17.140625" style="434" customWidth="1"/>
    <col min="12804" max="12804" width="17.7109375" style="434" customWidth="1"/>
    <col min="12805" max="12805" width="54" style="434" customWidth="1"/>
    <col min="12806" max="12806" width="15.42578125" style="434" customWidth="1"/>
    <col min="12807" max="12807" width="0" style="434" hidden="1" customWidth="1"/>
    <col min="12808" max="12808" width="8.85546875" style="434" customWidth="1"/>
    <col min="12809" max="12809" width="9.140625" style="434"/>
    <col min="12810" max="12810" width="12" style="434" customWidth="1"/>
    <col min="12811" max="13056" width="9.140625" style="434"/>
    <col min="13057" max="13057" width="2.85546875" style="434" customWidth="1"/>
    <col min="13058" max="13058" width="3.28515625" style="434" bestFit="1" customWidth="1"/>
    <col min="13059" max="13059" width="17.140625" style="434" customWidth="1"/>
    <col min="13060" max="13060" width="17.7109375" style="434" customWidth="1"/>
    <col min="13061" max="13061" width="54" style="434" customWidth="1"/>
    <col min="13062" max="13062" width="15.42578125" style="434" customWidth="1"/>
    <col min="13063" max="13063" width="0" style="434" hidden="1" customWidth="1"/>
    <col min="13064" max="13064" width="8.85546875" style="434" customWidth="1"/>
    <col min="13065" max="13065" width="9.140625" style="434"/>
    <col min="13066" max="13066" width="12" style="434" customWidth="1"/>
    <col min="13067" max="13312" width="9.140625" style="434"/>
    <col min="13313" max="13313" width="2.85546875" style="434" customWidth="1"/>
    <col min="13314" max="13314" width="3.28515625" style="434" bestFit="1" customWidth="1"/>
    <col min="13315" max="13315" width="17.140625" style="434" customWidth="1"/>
    <col min="13316" max="13316" width="17.7109375" style="434" customWidth="1"/>
    <col min="13317" max="13317" width="54" style="434" customWidth="1"/>
    <col min="13318" max="13318" width="15.42578125" style="434" customWidth="1"/>
    <col min="13319" max="13319" width="0" style="434" hidden="1" customWidth="1"/>
    <col min="13320" max="13320" width="8.85546875" style="434" customWidth="1"/>
    <col min="13321" max="13321" width="9.140625" style="434"/>
    <col min="13322" max="13322" width="12" style="434" customWidth="1"/>
    <col min="13323" max="13568" width="9.140625" style="434"/>
    <col min="13569" max="13569" width="2.85546875" style="434" customWidth="1"/>
    <col min="13570" max="13570" width="3.28515625" style="434" bestFit="1" customWidth="1"/>
    <col min="13571" max="13571" width="17.140625" style="434" customWidth="1"/>
    <col min="13572" max="13572" width="17.7109375" style="434" customWidth="1"/>
    <col min="13573" max="13573" width="54" style="434" customWidth="1"/>
    <col min="13574" max="13574" width="15.42578125" style="434" customWidth="1"/>
    <col min="13575" max="13575" width="0" style="434" hidden="1" customWidth="1"/>
    <col min="13576" max="13576" width="8.85546875" style="434" customWidth="1"/>
    <col min="13577" max="13577" width="9.140625" style="434"/>
    <col min="13578" max="13578" width="12" style="434" customWidth="1"/>
    <col min="13579" max="13824" width="9.140625" style="434"/>
    <col min="13825" max="13825" width="2.85546875" style="434" customWidth="1"/>
    <col min="13826" max="13826" width="3.28515625" style="434" bestFit="1" customWidth="1"/>
    <col min="13827" max="13827" width="17.140625" style="434" customWidth="1"/>
    <col min="13828" max="13828" width="17.7109375" style="434" customWidth="1"/>
    <col min="13829" max="13829" width="54" style="434" customWidth="1"/>
    <col min="13830" max="13830" width="15.42578125" style="434" customWidth="1"/>
    <col min="13831" max="13831" width="0" style="434" hidden="1" customWidth="1"/>
    <col min="13832" max="13832" width="8.85546875" style="434" customWidth="1"/>
    <col min="13833" max="13833" width="9.140625" style="434"/>
    <col min="13834" max="13834" width="12" style="434" customWidth="1"/>
    <col min="13835" max="14080" width="9.140625" style="434"/>
    <col min="14081" max="14081" width="2.85546875" style="434" customWidth="1"/>
    <col min="14082" max="14082" width="3.28515625" style="434" bestFit="1" customWidth="1"/>
    <col min="14083" max="14083" width="17.140625" style="434" customWidth="1"/>
    <col min="14084" max="14084" width="17.7109375" style="434" customWidth="1"/>
    <col min="14085" max="14085" width="54" style="434" customWidth="1"/>
    <col min="14086" max="14086" width="15.42578125" style="434" customWidth="1"/>
    <col min="14087" max="14087" width="0" style="434" hidden="1" customWidth="1"/>
    <col min="14088" max="14088" width="8.85546875" style="434" customWidth="1"/>
    <col min="14089" max="14089" width="9.140625" style="434"/>
    <col min="14090" max="14090" width="12" style="434" customWidth="1"/>
    <col min="14091" max="14336" width="9.140625" style="434"/>
    <col min="14337" max="14337" width="2.85546875" style="434" customWidth="1"/>
    <col min="14338" max="14338" width="3.28515625" style="434" bestFit="1" customWidth="1"/>
    <col min="14339" max="14339" width="17.140625" style="434" customWidth="1"/>
    <col min="14340" max="14340" width="17.7109375" style="434" customWidth="1"/>
    <col min="14341" max="14341" width="54" style="434" customWidth="1"/>
    <col min="14342" max="14342" width="15.42578125" style="434" customWidth="1"/>
    <col min="14343" max="14343" width="0" style="434" hidden="1" customWidth="1"/>
    <col min="14344" max="14344" width="8.85546875" style="434" customWidth="1"/>
    <col min="14345" max="14345" width="9.140625" style="434"/>
    <col min="14346" max="14346" width="12" style="434" customWidth="1"/>
    <col min="14347" max="14592" width="9.140625" style="434"/>
    <col min="14593" max="14593" width="2.85546875" style="434" customWidth="1"/>
    <col min="14594" max="14594" width="3.28515625" style="434" bestFit="1" customWidth="1"/>
    <col min="14595" max="14595" width="17.140625" style="434" customWidth="1"/>
    <col min="14596" max="14596" width="17.7109375" style="434" customWidth="1"/>
    <col min="14597" max="14597" width="54" style="434" customWidth="1"/>
    <col min="14598" max="14598" width="15.42578125" style="434" customWidth="1"/>
    <col min="14599" max="14599" width="0" style="434" hidden="1" customWidth="1"/>
    <col min="14600" max="14600" width="8.85546875" style="434" customWidth="1"/>
    <col min="14601" max="14601" width="9.140625" style="434"/>
    <col min="14602" max="14602" width="12" style="434" customWidth="1"/>
    <col min="14603" max="14848" width="9.140625" style="434"/>
    <col min="14849" max="14849" width="2.85546875" style="434" customWidth="1"/>
    <col min="14850" max="14850" width="3.28515625" style="434" bestFit="1" customWidth="1"/>
    <col min="14851" max="14851" width="17.140625" style="434" customWidth="1"/>
    <col min="14852" max="14852" width="17.7109375" style="434" customWidth="1"/>
    <col min="14853" max="14853" width="54" style="434" customWidth="1"/>
    <col min="14854" max="14854" width="15.42578125" style="434" customWidth="1"/>
    <col min="14855" max="14855" width="0" style="434" hidden="1" customWidth="1"/>
    <col min="14856" max="14856" width="8.85546875" style="434" customWidth="1"/>
    <col min="14857" max="14857" width="9.140625" style="434"/>
    <col min="14858" max="14858" width="12" style="434" customWidth="1"/>
    <col min="14859" max="15104" width="9.140625" style="434"/>
    <col min="15105" max="15105" width="2.85546875" style="434" customWidth="1"/>
    <col min="15106" max="15106" width="3.28515625" style="434" bestFit="1" customWidth="1"/>
    <col min="15107" max="15107" width="17.140625" style="434" customWidth="1"/>
    <col min="15108" max="15108" width="17.7109375" style="434" customWidth="1"/>
    <col min="15109" max="15109" width="54" style="434" customWidth="1"/>
    <col min="15110" max="15110" width="15.42578125" style="434" customWidth="1"/>
    <col min="15111" max="15111" width="0" style="434" hidden="1" customWidth="1"/>
    <col min="15112" max="15112" width="8.85546875" style="434" customWidth="1"/>
    <col min="15113" max="15113" width="9.140625" style="434"/>
    <col min="15114" max="15114" width="12" style="434" customWidth="1"/>
    <col min="15115" max="15360" width="9.140625" style="434"/>
    <col min="15361" max="15361" width="2.85546875" style="434" customWidth="1"/>
    <col min="15362" max="15362" width="3.28515625" style="434" bestFit="1" customWidth="1"/>
    <col min="15363" max="15363" width="17.140625" style="434" customWidth="1"/>
    <col min="15364" max="15364" width="17.7109375" style="434" customWidth="1"/>
    <col min="15365" max="15365" width="54" style="434" customWidth="1"/>
    <col min="15366" max="15366" width="15.42578125" style="434" customWidth="1"/>
    <col min="15367" max="15367" width="0" style="434" hidden="1" customWidth="1"/>
    <col min="15368" max="15368" width="8.85546875" style="434" customWidth="1"/>
    <col min="15369" max="15369" width="9.140625" style="434"/>
    <col min="15370" max="15370" width="12" style="434" customWidth="1"/>
    <col min="15371" max="15616" width="9.140625" style="434"/>
    <col min="15617" max="15617" width="2.85546875" style="434" customWidth="1"/>
    <col min="15618" max="15618" width="3.28515625" style="434" bestFit="1" customWidth="1"/>
    <col min="15619" max="15619" width="17.140625" style="434" customWidth="1"/>
    <col min="15620" max="15620" width="17.7109375" style="434" customWidth="1"/>
    <col min="15621" max="15621" width="54" style="434" customWidth="1"/>
    <col min="15622" max="15622" width="15.42578125" style="434" customWidth="1"/>
    <col min="15623" max="15623" width="0" style="434" hidden="1" customWidth="1"/>
    <col min="15624" max="15624" width="8.85546875" style="434" customWidth="1"/>
    <col min="15625" max="15625" width="9.140625" style="434"/>
    <col min="15626" max="15626" width="12" style="434" customWidth="1"/>
    <col min="15627" max="15872" width="9.140625" style="434"/>
    <col min="15873" max="15873" width="2.85546875" style="434" customWidth="1"/>
    <col min="15874" max="15874" width="3.28515625" style="434" bestFit="1" customWidth="1"/>
    <col min="15875" max="15875" width="17.140625" style="434" customWidth="1"/>
    <col min="15876" max="15876" width="17.7109375" style="434" customWidth="1"/>
    <col min="15877" max="15877" width="54" style="434" customWidth="1"/>
    <col min="15878" max="15878" width="15.42578125" style="434" customWidth="1"/>
    <col min="15879" max="15879" width="0" style="434" hidden="1" customWidth="1"/>
    <col min="15880" max="15880" width="8.85546875" style="434" customWidth="1"/>
    <col min="15881" max="15881" width="9.140625" style="434"/>
    <col min="15882" max="15882" width="12" style="434" customWidth="1"/>
    <col min="15883" max="16128" width="9.140625" style="434"/>
    <col min="16129" max="16129" width="2.85546875" style="434" customWidth="1"/>
    <col min="16130" max="16130" width="3.28515625" style="434" bestFit="1" customWidth="1"/>
    <col min="16131" max="16131" width="17.140625" style="434" customWidth="1"/>
    <col min="16132" max="16132" width="17.7109375" style="434" customWidth="1"/>
    <col min="16133" max="16133" width="54" style="434" customWidth="1"/>
    <col min="16134" max="16134" width="15.42578125" style="434" customWidth="1"/>
    <col min="16135" max="16135" width="0" style="434" hidden="1" customWidth="1"/>
    <col min="16136" max="16136" width="8.85546875" style="434" customWidth="1"/>
    <col min="16137" max="16137" width="9.140625" style="434"/>
    <col min="16138" max="16138" width="12" style="434" customWidth="1"/>
    <col min="16139" max="16384" width="9.140625" style="434"/>
  </cols>
  <sheetData>
    <row r="1" spans="2:11" ht="12" thickBot="1" x14ac:dyDescent="0.25">
      <c r="I1" s="438" t="s">
        <v>940</v>
      </c>
      <c r="J1" s="434" t="str">
        <f ca="1">INDIRECT("G"&amp;MATCH(MAX(B:B),B:B))</f>
        <v>1.0</v>
      </c>
    </row>
    <row r="2" spans="2:11" ht="33.75" customHeight="1" x14ac:dyDescent="0.2">
      <c r="C2" s="439"/>
      <c r="D2" s="1296" t="s">
        <v>955</v>
      </c>
      <c r="E2" s="1296"/>
      <c r="F2" s="1296"/>
      <c r="G2" s="1296"/>
      <c r="H2" s="1297"/>
      <c r="J2" s="440"/>
      <c r="K2" s="441"/>
    </row>
    <row r="3" spans="2:11" ht="12.75" customHeight="1" x14ac:dyDescent="0.2">
      <c r="C3" s="442"/>
      <c r="D3" s="1298"/>
      <c r="E3" s="1298"/>
      <c r="F3" s="1298"/>
      <c r="G3" s="1298"/>
      <c r="H3" s="1299"/>
      <c r="I3" s="434" t="s">
        <v>15</v>
      </c>
      <c r="K3" s="443"/>
    </row>
    <row r="4" spans="2:11" ht="11.25" customHeight="1" x14ac:dyDescent="0.2">
      <c r="C4" s="444"/>
      <c r="D4" s="1300"/>
      <c r="E4" s="1300"/>
      <c r="F4" s="1300"/>
      <c r="G4" s="1300"/>
      <c r="H4" s="1301"/>
    </row>
    <row r="5" spans="2:11" ht="12.75" customHeight="1" x14ac:dyDescent="0.2">
      <c r="C5" s="1302" t="s">
        <v>941</v>
      </c>
      <c r="D5" s="1303"/>
      <c r="E5" s="1303"/>
      <c r="F5" s="1303"/>
      <c r="G5" s="1303"/>
      <c r="H5" s="1304"/>
    </row>
    <row r="6" spans="2:11" s="451" customFormat="1" ht="12.75" x14ac:dyDescent="0.2">
      <c r="B6" s="445">
        <f>B5+1</f>
        <v>1</v>
      </c>
      <c r="C6" s="446" t="s">
        <v>942</v>
      </c>
      <c r="D6" s="447" t="s">
        <v>943</v>
      </c>
      <c r="E6" s="448" t="s">
        <v>940</v>
      </c>
      <c r="F6" s="449" t="s">
        <v>944</v>
      </c>
      <c r="G6" s="449"/>
      <c r="H6" s="450" t="s">
        <v>945</v>
      </c>
      <c r="J6" s="452"/>
    </row>
    <row r="7" spans="2:11" ht="12.75" x14ac:dyDescent="0.2">
      <c r="B7" s="445">
        <f t="shared" ref="B7:B70" si="0">B6+1</f>
        <v>2</v>
      </c>
      <c r="C7" s="1305" t="s">
        <v>946</v>
      </c>
      <c r="D7" s="1306"/>
      <c r="E7" s="1306"/>
      <c r="F7" s="1307"/>
      <c r="G7" s="453" t="str">
        <f>C7</f>
        <v>1.0</v>
      </c>
      <c r="H7" s="450"/>
    </row>
    <row r="8" spans="2:11" ht="22.5" x14ac:dyDescent="0.2">
      <c r="B8" s="445">
        <f t="shared" si="0"/>
        <v>3</v>
      </c>
      <c r="C8" s="486" t="s">
        <v>949</v>
      </c>
      <c r="D8" s="487" t="s">
        <v>950</v>
      </c>
      <c r="E8" s="454" t="s">
        <v>953</v>
      </c>
      <c r="F8" s="455" t="s">
        <v>951</v>
      </c>
      <c r="G8" s="459" t="str">
        <f t="shared" ref="G8:G72" ca="1" si="1">IF(ISBLANK(C8),OFFSET(G8,-1,0),IF(ISERR(FIND("/",C8,1)),C8,OFFSET(G8,-1,0)))</f>
        <v>1.0</v>
      </c>
      <c r="H8" s="456">
        <v>1134</v>
      </c>
    </row>
    <row r="9" spans="2:11" x14ac:dyDescent="0.2">
      <c r="B9" s="445">
        <f t="shared" si="0"/>
        <v>4</v>
      </c>
      <c r="C9" s="472"/>
      <c r="D9" s="485" t="s">
        <v>952</v>
      </c>
      <c r="E9" s="485" t="s">
        <v>954</v>
      </c>
      <c r="F9" s="494" t="s">
        <v>951</v>
      </c>
      <c r="G9" s="459" t="str">
        <f t="shared" ca="1" si="1"/>
        <v>1.0</v>
      </c>
      <c r="H9" s="495">
        <v>1134</v>
      </c>
      <c r="I9" s="434" t="s">
        <v>15</v>
      </c>
    </row>
    <row r="10" spans="2:11" x14ac:dyDescent="0.2">
      <c r="B10" s="445">
        <f t="shared" si="0"/>
        <v>5</v>
      </c>
      <c r="C10" s="854" t="s">
        <v>987</v>
      </c>
      <c r="D10" s="861" t="s">
        <v>988</v>
      </c>
      <c r="E10" s="855" t="s">
        <v>989</v>
      </c>
      <c r="F10" s="858" t="s">
        <v>951</v>
      </c>
      <c r="G10" s="856" t="str">
        <f t="shared" ca="1" si="1"/>
        <v>1.0</v>
      </c>
      <c r="H10" s="860">
        <v>1134</v>
      </c>
    </row>
    <row r="11" spans="2:11" x14ac:dyDescent="0.2">
      <c r="B11" s="445">
        <f t="shared" si="0"/>
        <v>6</v>
      </c>
      <c r="C11" s="457"/>
      <c r="D11" s="458"/>
      <c r="E11" s="461"/>
      <c r="F11" s="857"/>
      <c r="G11" s="459" t="str">
        <f t="shared" ca="1" si="1"/>
        <v>1.0</v>
      </c>
      <c r="H11" s="859"/>
    </row>
    <row r="12" spans="2:11" x14ac:dyDescent="0.2">
      <c r="B12" s="445">
        <f t="shared" si="0"/>
        <v>7</v>
      </c>
      <c r="C12" s="457"/>
      <c r="D12" s="458"/>
      <c r="E12" s="461"/>
      <c r="F12" s="1294"/>
      <c r="G12" s="459" t="str">
        <f t="shared" ca="1" si="1"/>
        <v>1.0</v>
      </c>
      <c r="H12" s="1308"/>
    </row>
    <row r="13" spans="2:11" x14ac:dyDescent="0.2">
      <c r="B13" s="445">
        <f t="shared" si="0"/>
        <v>8</v>
      </c>
      <c r="C13" s="457"/>
      <c r="D13" s="458"/>
      <c r="E13" s="1309"/>
      <c r="F13" s="1294"/>
      <c r="G13" s="459" t="str">
        <f t="shared" ca="1" si="1"/>
        <v>1.0</v>
      </c>
      <c r="H13" s="1308"/>
    </row>
    <row r="14" spans="2:11" x14ac:dyDescent="0.2">
      <c r="B14" s="445">
        <f t="shared" si="0"/>
        <v>9</v>
      </c>
      <c r="C14" s="457"/>
      <c r="D14" s="458"/>
      <c r="E14" s="1309"/>
      <c r="F14" s="1294"/>
      <c r="G14" s="459" t="str">
        <f t="shared" ca="1" si="1"/>
        <v>1.0</v>
      </c>
      <c r="H14" s="1308"/>
    </row>
    <row r="15" spans="2:11" x14ac:dyDescent="0.2">
      <c r="B15" s="445">
        <f t="shared" si="0"/>
        <v>10</v>
      </c>
      <c r="C15" s="490"/>
      <c r="D15" s="458"/>
      <c r="E15" s="461"/>
      <c r="F15" s="1294"/>
      <c r="G15" s="459" t="str">
        <f t="shared" ca="1" si="1"/>
        <v>1.0</v>
      </c>
      <c r="H15" s="1295"/>
    </row>
    <row r="16" spans="2:11" x14ac:dyDescent="0.2">
      <c r="B16" s="445">
        <f t="shared" si="0"/>
        <v>11</v>
      </c>
      <c r="C16" s="460"/>
      <c r="D16" s="458"/>
      <c r="E16" s="461"/>
      <c r="F16" s="1294"/>
      <c r="G16" s="459" t="str">
        <f t="shared" ca="1" si="1"/>
        <v>1.0</v>
      </c>
      <c r="H16" s="1295"/>
    </row>
    <row r="17" spans="2:9" ht="12.75" x14ac:dyDescent="0.2">
      <c r="B17" s="445">
        <f t="shared" si="0"/>
        <v>12</v>
      </c>
      <c r="C17" s="491"/>
      <c r="D17" s="492"/>
      <c r="E17" s="493"/>
      <c r="F17" s="1294"/>
      <c r="G17" s="459" t="str">
        <f t="shared" ca="1" si="1"/>
        <v>1.0</v>
      </c>
      <c r="H17" s="1295"/>
      <c r="I17" s="434" t="s">
        <v>15</v>
      </c>
    </row>
    <row r="18" spans="2:9" x14ac:dyDescent="0.2">
      <c r="B18" s="445">
        <f t="shared" si="0"/>
        <v>13</v>
      </c>
      <c r="C18" s="462"/>
      <c r="D18" s="463"/>
      <c r="E18" s="461"/>
      <c r="F18" s="488"/>
      <c r="G18" s="459" t="str">
        <f t="shared" ca="1" si="1"/>
        <v>1.0</v>
      </c>
      <c r="H18" s="489"/>
    </row>
    <row r="19" spans="2:9" x14ac:dyDescent="0.2">
      <c r="B19" s="445">
        <f t="shared" si="0"/>
        <v>14</v>
      </c>
      <c r="C19" s="462"/>
      <c r="D19" s="463"/>
      <c r="E19" s="464"/>
      <c r="F19" s="465"/>
      <c r="G19" s="459" t="str">
        <f t="shared" ca="1" si="1"/>
        <v>1.0</v>
      </c>
      <c r="H19" s="466"/>
    </row>
    <row r="20" spans="2:9" ht="12.75" x14ac:dyDescent="0.2">
      <c r="B20" s="445">
        <f t="shared" si="0"/>
        <v>15</v>
      </c>
      <c r="C20" s="467"/>
      <c r="D20" s="468"/>
      <c r="E20" s="468"/>
      <c r="F20" s="468"/>
      <c r="G20" s="459" t="str">
        <f t="shared" ca="1" si="1"/>
        <v>1.0</v>
      </c>
      <c r="H20" s="469"/>
    </row>
    <row r="21" spans="2:9" x14ac:dyDescent="0.2">
      <c r="B21" s="445">
        <f t="shared" si="0"/>
        <v>16</v>
      </c>
      <c r="C21" s="470"/>
      <c r="D21" s="463"/>
      <c r="E21" s="464"/>
      <c r="F21" s="465"/>
      <c r="G21" s="459" t="str">
        <f t="shared" ca="1" si="1"/>
        <v>1.0</v>
      </c>
      <c r="H21" s="471"/>
    </row>
    <row r="22" spans="2:9" x14ac:dyDescent="0.2">
      <c r="B22" s="445">
        <f t="shared" si="0"/>
        <v>17</v>
      </c>
      <c r="C22" s="472"/>
      <c r="D22" s="463"/>
      <c r="E22" s="464"/>
      <c r="F22" s="465"/>
      <c r="G22" s="459" t="str">
        <f t="shared" ca="1" si="1"/>
        <v>1.0</v>
      </c>
      <c r="H22" s="471"/>
    </row>
    <row r="23" spans="2:9" x14ac:dyDescent="0.2">
      <c r="B23" s="445">
        <f t="shared" si="0"/>
        <v>18</v>
      </c>
      <c r="C23" s="472"/>
      <c r="D23" s="463"/>
      <c r="E23" s="464"/>
      <c r="F23" s="465"/>
      <c r="G23" s="459" t="str">
        <f t="shared" ca="1" si="1"/>
        <v>1.0</v>
      </c>
      <c r="H23" s="471"/>
    </row>
    <row r="24" spans="2:9" x14ac:dyDescent="0.2">
      <c r="B24" s="445">
        <f t="shared" si="0"/>
        <v>19</v>
      </c>
      <c r="C24" s="472"/>
      <c r="D24" s="463"/>
      <c r="E24" s="464"/>
      <c r="F24" s="465"/>
      <c r="G24" s="459" t="str">
        <f t="shared" ca="1" si="1"/>
        <v>1.0</v>
      </c>
      <c r="H24" s="471"/>
    </row>
    <row r="25" spans="2:9" x14ac:dyDescent="0.2">
      <c r="B25" s="445">
        <f t="shared" si="0"/>
        <v>20</v>
      </c>
      <c r="C25" s="470"/>
      <c r="D25" s="463"/>
      <c r="E25" s="464"/>
      <c r="F25" s="465"/>
      <c r="G25" s="459" t="str">
        <f t="shared" ca="1" si="1"/>
        <v>1.0</v>
      </c>
      <c r="H25" s="471"/>
    </row>
    <row r="26" spans="2:9" x14ac:dyDescent="0.2">
      <c r="B26" s="445">
        <f t="shared" si="0"/>
        <v>21</v>
      </c>
      <c r="C26" s="470"/>
      <c r="D26" s="463"/>
      <c r="E26" s="464"/>
      <c r="F26" s="465"/>
      <c r="G26" s="459" t="str">
        <f t="shared" ca="1" si="1"/>
        <v>1.0</v>
      </c>
      <c r="H26" s="471"/>
    </row>
    <row r="27" spans="2:9" x14ac:dyDescent="0.2">
      <c r="B27" s="445">
        <f t="shared" si="0"/>
        <v>22</v>
      </c>
      <c r="C27" s="472"/>
      <c r="D27" s="463"/>
      <c r="E27" s="464"/>
      <c r="F27" s="465"/>
      <c r="G27" s="459" t="str">
        <f t="shared" ca="1" si="1"/>
        <v>1.0</v>
      </c>
      <c r="H27" s="471"/>
    </row>
    <row r="28" spans="2:9" x14ac:dyDescent="0.2">
      <c r="B28" s="445">
        <f t="shared" si="0"/>
        <v>23</v>
      </c>
      <c r="C28" s="470"/>
      <c r="D28" s="463"/>
      <c r="E28" s="464"/>
      <c r="F28" s="465"/>
      <c r="G28" s="459" t="str">
        <f t="shared" ca="1" si="1"/>
        <v>1.0</v>
      </c>
      <c r="H28" s="471"/>
    </row>
    <row r="29" spans="2:9" x14ac:dyDescent="0.2">
      <c r="B29" s="445">
        <f t="shared" si="0"/>
        <v>24</v>
      </c>
      <c r="C29" s="472"/>
      <c r="D29" s="463"/>
      <c r="E29" s="464"/>
      <c r="F29" s="465"/>
      <c r="G29" s="459" t="str">
        <f t="shared" ca="1" si="1"/>
        <v>1.0</v>
      </c>
      <c r="H29" s="471"/>
    </row>
    <row r="30" spans="2:9" x14ac:dyDescent="0.2">
      <c r="B30" s="445">
        <f t="shared" si="0"/>
        <v>25</v>
      </c>
      <c r="C30" s="472"/>
      <c r="D30" s="463"/>
      <c r="E30" s="464"/>
      <c r="F30" s="465"/>
      <c r="G30" s="459" t="str">
        <f t="shared" ca="1" si="1"/>
        <v>1.0</v>
      </c>
      <c r="H30" s="471"/>
    </row>
    <row r="31" spans="2:9" x14ac:dyDescent="0.2">
      <c r="B31" s="445">
        <f t="shared" si="0"/>
        <v>26</v>
      </c>
      <c r="C31" s="472"/>
      <c r="D31" s="463"/>
      <c r="E31" s="464"/>
      <c r="F31" s="465"/>
      <c r="G31" s="459" t="str">
        <f t="shared" ca="1" si="1"/>
        <v>1.0</v>
      </c>
      <c r="H31" s="471"/>
    </row>
    <row r="32" spans="2:9" x14ac:dyDescent="0.2">
      <c r="B32" s="445">
        <f t="shared" si="0"/>
        <v>27</v>
      </c>
      <c r="C32" s="472"/>
      <c r="D32" s="463"/>
      <c r="E32" s="464"/>
      <c r="F32" s="465"/>
      <c r="G32" s="459" t="str">
        <f t="shared" ca="1" si="1"/>
        <v>1.0</v>
      </c>
      <c r="H32" s="471"/>
    </row>
    <row r="33" spans="2:8" x14ac:dyDescent="0.2">
      <c r="B33" s="445">
        <f t="shared" si="0"/>
        <v>28</v>
      </c>
      <c r="C33" s="472"/>
      <c r="D33" s="463"/>
      <c r="E33" s="464"/>
      <c r="F33" s="465"/>
      <c r="G33" s="459" t="str">
        <f t="shared" ca="1" si="1"/>
        <v>1.0</v>
      </c>
      <c r="H33" s="471"/>
    </row>
    <row r="34" spans="2:8" x14ac:dyDescent="0.2">
      <c r="B34" s="445">
        <f t="shared" si="0"/>
        <v>29</v>
      </c>
      <c r="C34" s="472"/>
      <c r="D34" s="463"/>
      <c r="E34" s="464"/>
      <c r="F34" s="465"/>
      <c r="G34" s="459" t="str">
        <f t="shared" ca="1" si="1"/>
        <v>1.0</v>
      </c>
      <c r="H34" s="471"/>
    </row>
    <row r="35" spans="2:8" x14ac:dyDescent="0.2">
      <c r="B35" s="445">
        <f t="shared" si="0"/>
        <v>30</v>
      </c>
      <c r="C35" s="472"/>
      <c r="D35" s="463"/>
      <c r="E35" s="464"/>
      <c r="F35" s="465"/>
      <c r="G35" s="459" t="str">
        <f t="shared" ca="1" si="1"/>
        <v>1.0</v>
      </c>
      <c r="H35" s="471"/>
    </row>
    <row r="36" spans="2:8" x14ac:dyDescent="0.2">
      <c r="B36" s="445">
        <f t="shared" si="0"/>
        <v>31</v>
      </c>
      <c r="C36" s="472"/>
      <c r="D36" s="463"/>
      <c r="E36" s="464"/>
      <c r="F36" s="465"/>
      <c r="G36" s="459" t="str">
        <f t="shared" ca="1" si="1"/>
        <v>1.0</v>
      </c>
      <c r="H36" s="471"/>
    </row>
    <row r="37" spans="2:8" x14ac:dyDescent="0.2">
      <c r="B37" s="445">
        <f t="shared" si="0"/>
        <v>32</v>
      </c>
      <c r="C37" s="472"/>
      <c r="D37" s="463"/>
      <c r="E37" s="464"/>
      <c r="F37" s="465"/>
      <c r="G37" s="459" t="str">
        <f t="shared" ca="1" si="1"/>
        <v>1.0</v>
      </c>
      <c r="H37" s="471"/>
    </row>
    <row r="38" spans="2:8" x14ac:dyDescent="0.2">
      <c r="B38" s="445">
        <f t="shared" si="0"/>
        <v>33</v>
      </c>
      <c r="C38" s="472"/>
      <c r="D38" s="463"/>
      <c r="E38" s="464"/>
      <c r="F38" s="465"/>
      <c r="G38" s="459" t="str">
        <f t="shared" ca="1" si="1"/>
        <v>1.0</v>
      </c>
      <c r="H38" s="471"/>
    </row>
    <row r="39" spans="2:8" x14ac:dyDescent="0.2">
      <c r="B39" s="445">
        <f t="shared" si="0"/>
        <v>34</v>
      </c>
      <c r="C39" s="472"/>
      <c r="D39" s="463"/>
      <c r="E39" s="464"/>
      <c r="F39" s="465"/>
      <c r="G39" s="459" t="str">
        <f t="shared" ca="1" si="1"/>
        <v>1.0</v>
      </c>
      <c r="H39" s="471"/>
    </row>
    <row r="40" spans="2:8" x14ac:dyDescent="0.2">
      <c r="B40" s="445">
        <f t="shared" si="0"/>
        <v>35</v>
      </c>
      <c r="C40" s="472"/>
      <c r="D40" s="463"/>
      <c r="E40" s="464"/>
      <c r="F40" s="465"/>
      <c r="G40" s="459" t="str">
        <f t="shared" ca="1" si="1"/>
        <v>1.0</v>
      </c>
      <c r="H40" s="471"/>
    </row>
    <row r="41" spans="2:8" x14ac:dyDescent="0.2">
      <c r="B41" s="445">
        <f t="shared" si="0"/>
        <v>36</v>
      </c>
      <c r="C41" s="472"/>
      <c r="D41" s="463"/>
      <c r="E41" s="464"/>
      <c r="F41" s="465"/>
      <c r="G41" s="459" t="str">
        <f t="shared" ca="1" si="1"/>
        <v>1.0</v>
      </c>
      <c r="H41" s="471"/>
    </row>
    <row r="42" spans="2:8" x14ac:dyDescent="0.2">
      <c r="B42" s="445">
        <f t="shared" si="0"/>
        <v>37</v>
      </c>
      <c r="C42" s="472"/>
      <c r="D42" s="463"/>
      <c r="E42" s="464"/>
      <c r="F42" s="465"/>
      <c r="G42" s="459" t="str">
        <f t="shared" ca="1" si="1"/>
        <v>1.0</v>
      </c>
      <c r="H42" s="471"/>
    </row>
    <row r="43" spans="2:8" x14ac:dyDescent="0.2">
      <c r="B43" s="445">
        <f t="shared" si="0"/>
        <v>38</v>
      </c>
      <c r="C43" s="472"/>
      <c r="D43" s="463"/>
      <c r="E43" s="464"/>
      <c r="F43" s="465"/>
      <c r="G43" s="459" t="str">
        <f t="shared" ca="1" si="1"/>
        <v>1.0</v>
      </c>
      <c r="H43" s="471"/>
    </row>
    <row r="44" spans="2:8" x14ac:dyDescent="0.2">
      <c r="B44" s="445">
        <f t="shared" si="0"/>
        <v>39</v>
      </c>
      <c r="C44" s="470"/>
      <c r="D44" s="463"/>
      <c r="E44" s="464"/>
      <c r="F44" s="465"/>
      <c r="G44" s="459" t="str">
        <f t="shared" ca="1" si="1"/>
        <v>1.0</v>
      </c>
      <c r="H44" s="471"/>
    </row>
    <row r="45" spans="2:8" x14ac:dyDescent="0.2">
      <c r="B45" s="445">
        <f t="shared" si="0"/>
        <v>40</v>
      </c>
      <c r="C45" s="472"/>
      <c r="D45" s="463"/>
      <c r="E45" s="464"/>
      <c r="F45" s="465"/>
      <c r="G45" s="459" t="str">
        <f t="shared" ca="1" si="1"/>
        <v>1.0</v>
      </c>
      <c r="H45" s="471"/>
    </row>
    <row r="46" spans="2:8" x14ac:dyDescent="0.2">
      <c r="B46" s="445">
        <f t="shared" si="0"/>
        <v>41</v>
      </c>
      <c r="C46" s="472"/>
      <c r="D46" s="463"/>
      <c r="E46" s="464"/>
      <c r="F46" s="465"/>
      <c r="G46" s="459" t="str">
        <f t="shared" ca="1" si="1"/>
        <v>1.0</v>
      </c>
      <c r="H46" s="471"/>
    </row>
    <row r="47" spans="2:8" x14ac:dyDescent="0.2">
      <c r="B47" s="445">
        <f t="shared" si="0"/>
        <v>42</v>
      </c>
      <c r="C47" s="472"/>
      <c r="D47" s="463"/>
      <c r="E47" s="464"/>
      <c r="F47" s="465"/>
      <c r="G47" s="459" t="str">
        <f t="shared" ca="1" si="1"/>
        <v>1.0</v>
      </c>
      <c r="H47" s="471"/>
    </row>
    <row r="48" spans="2:8" x14ac:dyDescent="0.2">
      <c r="B48" s="445">
        <f t="shared" si="0"/>
        <v>43</v>
      </c>
      <c r="C48" s="472"/>
      <c r="D48" s="463"/>
      <c r="E48" s="464"/>
      <c r="F48" s="465"/>
      <c r="G48" s="459" t="str">
        <f t="shared" ca="1" si="1"/>
        <v>1.0</v>
      </c>
      <c r="H48" s="471"/>
    </row>
    <row r="49" spans="2:8" x14ac:dyDescent="0.2">
      <c r="B49" s="445">
        <f t="shared" si="0"/>
        <v>44</v>
      </c>
      <c r="C49" s="472"/>
      <c r="D49" s="463"/>
      <c r="E49" s="464"/>
      <c r="F49" s="465"/>
      <c r="G49" s="459" t="str">
        <f t="shared" ca="1" si="1"/>
        <v>1.0</v>
      </c>
      <c r="H49" s="471"/>
    </row>
    <row r="50" spans="2:8" x14ac:dyDescent="0.2">
      <c r="B50" s="445">
        <f t="shared" si="0"/>
        <v>45</v>
      </c>
      <c r="C50" s="472"/>
      <c r="D50" s="463"/>
      <c r="E50" s="464"/>
      <c r="F50" s="465"/>
      <c r="G50" s="459" t="str">
        <f t="shared" ca="1" si="1"/>
        <v>1.0</v>
      </c>
      <c r="H50" s="471"/>
    </row>
    <row r="51" spans="2:8" x14ac:dyDescent="0.2">
      <c r="B51" s="445">
        <f t="shared" si="0"/>
        <v>46</v>
      </c>
      <c r="C51" s="472"/>
      <c r="D51" s="463"/>
      <c r="E51" s="464"/>
      <c r="F51" s="465"/>
      <c r="G51" s="459" t="str">
        <f t="shared" ca="1" si="1"/>
        <v>1.0</v>
      </c>
      <c r="H51" s="471"/>
    </row>
    <row r="52" spans="2:8" x14ac:dyDescent="0.2">
      <c r="B52" s="445">
        <f t="shared" si="0"/>
        <v>47</v>
      </c>
      <c r="C52" s="472"/>
      <c r="D52" s="463"/>
      <c r="E52" s="464"/>
      <c r="F52" s="465"/>
      <c r="G52" s="459" t="str">
        <f t="shared" ca="1" si="1"/>
        <v>1.0</v>
      </c>
      <c r="H52" s="471"/>
    </row>
    <row r="53" spans="2:8" x14ac:dyDescent="0.2">
      <c r="B53" s="445">
        <f t="shared" si="0"/>
        <v>48</v>
      </c>
      <c r="C53" s="470"/>
      <c r="D53" s="463"/>
      <c r="E53" s="464"/>
      <c r="F53" s="465"/>
      <c r="G53" s="459" t="str">
        <f t="shared" ca="1" si="1"/>
        <v>1.0</v>
      </c>
      <c r="H53" s="471"/>
    </row>
    <row r="54" spans="2:8" x14ac:dyDescent="0.2">
      <c r="B54" s="445">
        <f t="shared" si="0"/>
        <v>49</v>
      </c>
      <c r="C54" s="472"/>
      <c r="D54" s="463"/>
      <c r="E54" s="464"/>
      <c r="F54" s="465"/>
      <c r="G54" s="459" t="str">
        <f t="shared" ca="1" si="1"/>
        <v>1.0</v>
      </c>
      <c r="H54" s="471"/>
    </row>
    <row r="55" spans="2:8" x14ac:dyDescent="0.2">
      <c r="B55" s="445">
        <f t="shared" si="0"/>
        <v>50</v>
      </c>
      <c r="C55" s="472"/>
      <c r="D55" s="463"/>
      <c r="E55" s="464"/>
      <c r="F55" s="465"/>
      <c r="G55" s="459" t="str">
        <f t="shared" ca="1" si="1"/>
        <v>1.0</v>
      </c>
      <c r="H55" s="471"/>
    </row>
    <row r="56" spans="2:8" x14ac:dyDescent="0.2">
      <c r="B56" s="445">
        <f t="shared" si="0"/>
        <v>51</v>
      </c>
      <c r="C56" s="472"/>
      <c r="D56" s="463"/>
      <c r="E56" s="464"/>
      <c r="F56" s="465"/>
      <c r="G56" s="459" t="str">
        <f t="shared" ca="1" si="1"/>
        <v>1.0</v>
      </c>
      <c r="H56" s="471"/>
    </row>
    <row r="57" spans="2:8" x14ac:dyDescent="0.2">
      <c r="B57" s="445">
        <f t="shared" si="0"/>
        <v>52</v>
      </c>
      <c r="C57" s="472"/>
      <c r="D57" s="463"/>
      <c r="E57" s="464"/>
      <c r="F57" s="465"/>
      <c r="G57" s="459" t="str">
        <f t="shared" ca="1" si="1"/>
        <v>1.0</v>
      </c>
      <c r="H57" s="471"/>
    </row>
    <row r="58" spans="2:8" x14ac:dyDescent="0.2">
      <c r="B58" s="445">
        <f t="shared" si="0"/>
        <v>53</v>
      </c>
      <c r="C58" s="472"/>
      <c r="D58" s="463"/>
      <c r="E58" s="464"/>
      <c r="F58" s="465"/>
      <c r="G58" s="459" t="str">
        <f t="shared" ca="1" si="1"/>
        <v>1.0</v>
      </c>
      <c r="H58" s="471"/>
    </row>
    <row r="59" spans="2:8" x14ac:dyDescent="0.2">
      <c r="B59" s="445">
        <f t="shared" si="0"/>
        <v>54</v>
      </c>
      <c r="C59" s="472"/>
      <c r="D59" s="463"/>
      <c r="E59" s="464"/>
      <c r="F59" s="465"/>
      <c r="G59" s="459" t="str">
        <f t="shared" ca="1" si="1"/>
        <v>1.0</v>
      </c>
      <c r="H59" s="471"/>
    </row>
    <row r="60" spans="2:8" x14ac:dyDescent="0.2">
      <c r="B60" s="445">
        <f t="shared" si="0"/>
        <v>55</v>
      </c>
      <c r="C60" s="472"/>
      <c r="D60" s="463"/>
      <c r="E60" s="464"/>
      <c r="F60" s="465"/>
      <c r="G60" s="459" t="str">
        <f t="shared" ca="1" si="1"/>
        <v>1.0</v>
      </c>
      <c r="H60" s="471"/>
    </row>
    <row r="61" spans="2:8" x14ac:dyDescent="0.2">
      <c r="B61" s="445">
        <f t="shared" si="0"/>
        <v>56</v>
      </c>
      <c r="C61" s="472"/>
      <c r="D61" s="463"/>
      <c r="E61" s="464"/>
      <c r="F61" s="465"/>
      <c r="G61" s="459" t="str">
        <f t="shared" ca="1" si="1"/>
        <v>1.0</v>
      </c>
      <c r="H61" s="471"/>
    </row>
    <row r="62" spans="2:8" x14ac:dyDescent="0.2">
      <c r="B62" s="445">
        <f t="shared" si="0"/>
        <v>57</v>
      </c>
      <c r="C62" s="472"/>
      <c r="D62" s="463"/>
      <c r="E62" s="464"/>
      <c r="F62" s="465"/>
      <c r="G62" s="459" t="str">
        <f t="shared" ca="1" si="1"/>
        <v>1.0</v>
      </c>
      <c r="H62" s="471"/>
    </row>
    <row r="63" spans="2:8" x14ac:dyDescent="0.2">
      <c r="B63" s="445">
        <f t="shared" si="0"/>
        <v>58</v>
      </c>
      <c r="C63" s="472"/>
      <c r="D63" s="463"/>
      <c r="E63" s="464"/>
      <c r="F63" s="465"/>
      <c r="G63" s="459" t="str">
        <f t="shared" ca="1" si="1"/>
        <v>1.0</v>
      </c>
      <c r="H63" s="471"/>
    </row>
    <row r="64" spans="2:8" x14ac:dyDescent="0.2">
      <c r="B64" s="445">
        <f t="shared" si="0"/>
        <v>59</v>
      </c>
      <c r="C64" s="472"/>
      <c r="D64" s="463"/>
      <c r="E64" s="464"/>
      <c r="F64" s="465"/>
      <c r="G64" s="459" t="str">
        <f t="shared" ca="1" si="1"/>
        <v>1.0</v>
      </c>
      <c r="H64" s="471"/>
    </row>
    <row r="65" spans="2:8" x14ac:dyDescent="0.2">
      <c r="B65" s="445">
        <f t="shared" si="0"/>
        <v>60</v>
      </c>
      <c r="C65" s="472"/>
      <c r="D65" s="463"/>
      <c r="E65" s="464"/>
      <c r="F65" s="465"/>
      <c r="G65" s="459" t="str">
        <f t="shared" ca="1" si="1"/>
        <v>1.0</v>
      </c>
      <c r="H65" s="471"/>
    </row>
    <row r="66" spans="2:8" x14ac:dyDescent="0.2">
      <c r="B66" s="445">
        <f t="shared" si="0"/>
        <v>61</v>
      </c>
      <c r="C66" s="472"/>
      <c r="D66" s="463"/>
      <c r="E66" s="464"/>
      <c r="F66" s="465"/>
      <c r="G66" s="459" t="str">
        <f t="shared" ca="1" si="1"/>
        <v>1.0</v>
      </c>
      <c r="H66" s="471"/>
    </row>
    <row r="67" spans="2:8" x14ac:dyDescent="0.2">
      <c r="B67" s="445">
        <f t="shared" si="0"/>
        <v>62</v>
      </c>
      <c r="C67" s="470"/>
      <c r="D67" s="463"/>
      <c r="E67" s="464"/>
      <c r="F67" s="465"/>
      <c r="G67" s="459" t="str">
        <f t="shared" ca="1" si="1"/>
        <v>1.0</v>
      </c>
      <c r="H67" s="471"/>
    </row>
    <row r="68" spans="2:8" x14ac:dyDescent="0.2">
      <c r="B68" s="445">
        <f t="shared" si="0"/>
        <v>63</v>
      </c>
      <c r="C68" s="472"/>
      <c r="D68" s="463"/>
      <c r="E68" s="464"/>
      <c r="F68" s="465"/>
      <c r="G68" s="459" t="str">
        <f t="shared" ca="1" si="1"/>
        <v>1.0</v>
      </c>
      <c r="H68" s="471"/>
    </row>
    <row r="69" spans="2:8" x14ac:dyDescent="0.2">
      <c r="B69" s="445">
        <f t="shared" si="0"/>
        <v>64</v>
      </c>
      <c r="C69" s="472"/>
      <c r="D69" s="463"/>
      <c r="E69" s="464"/>
      <c r="F69" s="465"/>
      <c r="G69" s="459" t="str">
        <f t="shared" ca="1" si="1"/>
        <v>1.0</v>
      </c>
      <c r="H69" s="471"/>
    </row>
    <row r="70" spans="2:8" x14ac:dyDescent="0.2">
      <c r="B70" s="445">
        <f t="shared" si="0"/>
        <v>65</v>
      </c>
      <c r="C70" s="472"/>
      <c r="D70" s="463"/>
      <c r="E70" s="464"/>
      <c r="F70" s="465"/>
      <c r="G70" s="459" t="str">
        <f t="shared" ca="1" si="1"/>
        <v>1.0</v>
      </c>
      <c r="H70" s="471"/>
    </row>
    <row r="71" spans="2:8" x14ac:dyDescent="0.2">
      <c r="B71" s="445">
        <f t="shared" ref="B71:B110" si="2">B70+1</f>
        <v>66</v>
      </c>
      <c r="C71" s="472"/>
      <c r="D71" s="463"/>
      <c r="E71" s="464"/>
      <c r="F71" s="465"/>
      <c r="G71" s="459" t="str">
        <f t="shared" ca="1" si="1"/>
        <v>1.0</v>
      </c>
      <c r="H71" s="471"/>
    </row>
    <row r="72" spans="2:8" x14ac:dyDescent="0.2">
      <c r="B72" s="445">
        <f t="shared" si="2"/>
        <v>67</v>
      </c>
      <c r="C72" s="472"/>
      <c r="D72" s="463"/>
      <c r="E72" s="464"/>
      <c r="F72" s="465"/>
      <c r="G72" s="459" t="str">
        <f t="shared" ca="1" si="1"/>
        <v>1.0</v>
      </c>
      <c r="H72" s="471"/>
    </row>
    <row r="73" spans="2:8" x14ac:dyDescent="0.2">
      <c r="B73" s="445">
        <f t="shared" si="2"/>
        <v>68</v>
      </c>
      <c r="C73" s="472"/>
      <c r="D73" s="463"/>
      <c r="E73" s="464"/>
      <c r="F73" s="465"/>
      <c r="G73" s="459" t="str">
        <f t="shared" ref="G73:G136" ca="1" si="3">IF(ISBLANK(C73),OFFSET(G73,-1,0),IF(ISERR(FIND("/",C73,1)),C73,OFFSET(G73,-1,0)))</f>
        <v>1.0</v>
      </c>
      <c r="H73" s="471"/>
    </row>
    <row r="74" spans="2:8" x14ac:dyDescent="0.2">
      <c r="B74" s="445">
        <f t="shared" si="2"/>
        <v>69</v>
      </c>
      <c r="C74" s="472"/>
      <c r="D74" s="463"/>
      <c r="E74" s="464"/>
      <c r="F74" s="465"/>
      <c r="G74" s="459" t="str">
        <f t="shared" ca="1" si="3"/>
        <v>1.0</v>
      </c>
      <c r="H74" s="471"/>
    </row>
    <row r="75" spans="2:8" x14ac:dyDescent="0.2">
      <c r="B75" s="445">
        <f t="shared" si="2"/>
        <v>70</v>
      </c>
      <c r="C75" s="472"/>
      <c r="D75" s="463"/>
      <c r="E75" s="464"/>
      <c r="F75" s="465"/>
      <c r="G75" s="459" t="str">
        <f t="shared" ca="1" si="3"/>
        <v>1.0</v>
      </c>
      <c r="H75" s="471"/>
    </row>
    <row r="76" spans="2:8" x14ac:dyDescent="0.2">
      <c r="B76" s="445">
        <f t="shared" si="2"/>
        <v>71</v>
      </c>
      <c r="C76" s="472"/>
      <c r="D76" s="463"/>
      <c r="E76" s="464"/>
      <c r="F76" s="465"/>
      <c r="G76" s="459" t="str">
        <f t="shared" ca="1" si="3"/>
        <v>1.0</v>
      </c>
      <c r="H76" s="471"/>
    </row>
    <row r="77" spans="2:8" x14ac:dyDescent="0.2">
      <c r="B77" s="445">
        <f t="shared" si="2"/>
        <v>72</v>
      </c>
      <c r="C77" s="472"/>
      <c r="D77" s="463"/>
      <c r="E77" s="464"/>
      <c r="F77" s="465"/>
      <c r="G77" s="459" t="str">
        <f t="shared" ca="1" si="3"/>
        <v>1.0</v>
      </c>
      <c r="H77" s="471"/>
    </row>
    <row r="78" spans="2:8" x14ac:dyDescent="0.2">
      <c r="B78" s="445">
        <f t="shared" si="2"/>
        <v>73</v>
      </c>
      <c r="C78" s="472"/>
      <c r="D78" s="463"/>
      <c r="E78" s="464"/>
      <c r="F78" s="465"/>
      <c r="G78" s="459" t="str">
        <f t="shared" ca="1" si="3"/>
        <v>1.0</v>
      </c>
      <c r="H78" s="471"/>
    </row>
    <row r="79" spans="2:8" x14ac:dyDescent="0.2">
      <c r="B79" s="445">
        <f t="shared" si="2"/>
        <v>74</v>
      </c>
      <c r="C79" s="472"/>
      <c r="D79" s="463"/>
      <c r="E79" s="464"/>
      <c r="F79" s="465"/>
      <c r="G79" s="459" t="str">
        <f t="shared" ca="1" si="3"/>
        <v>1.0</v>
      </c>
      <c r="H79" s="471"/>
    </row>
    <row r="80" spans="2:8" ht="12.75" x14ac:dyDescent="0.2">
      <c r="B80" s="445">
        <f t="shared" si="2"/>
        <v>75</v>
      </c>
      <c r="C80" s="473"/>
      <c r="D80" s="474"/>
      <c r="E80" s="475"/>
      <c r="F80" s="476"/>
      <c r="G80" s="459" t="str">
        <f t="shared" ca="1" si="3"/>
        <v>1.0</v>
      </c>
      <c r="H80" s="477"/>
    </row>
    <row r="81" spans="2:8" x14ac:dyDescent="0.2">
      <c r="B81" s="445">
        <f t="shared" si="2"/>
        <v>76</v>
      </c>
      <c r="C81" s="472"/>
      <c r="D81" s="463"/>
      <c r="E81" s="464"/>
      <c r="F81" s="465"/>
      <c r="G81" s="459" t="str">
        <f t="shared" ca="1" si="3"/>
        <v>1.0</v>
      </c>
      <c r="H81" s="471"/>
    </row>
    <row r="82" spans="2:8" x14ac:dyDescent="0.2">
      <c r="B82" s="445">
        <f t="shared" si="2"/>
        <v>77</v>
      </c>
      <c r="C82" s="472"/>
      <c r="D82" s="463"/>
      <c r="E82" s="464"/>
      <c r="F82" s="465"/>
      <c r="G82" s="459" t="str">
        <f t="shared" ca="1" si="3"/>
        <v>1.0</v>
      </c>
      <c r="H82" s="471"/>
    </row>
    <row r="83" spans="2:8" x14ac:dyDescent="0.2">
      <c r="B83" s="445">
        <f t="shared" si="2"/>
        <v>78</v>
      </c>
      <c r="C83" s="472"/>
      <c r="D83" s="463"/>
      <c r="E83" s="464"/>
      <c r="F83" s="465"/>
      <c r="G83" s="459" t="str">
        <f t="shared" ca="1" si="3"/>
        <v>1.0</v>
      </c>
      <c r="H83" s="471"/>
    </row>
    <row r="84" spans="2:8" x14ac:dyDescent="0.2">
      <c r="B84" s="445">
        <f t="shared" si="2"/>
        <v>79</v>
      </c>
      <c r="C84" s="472"/>
      <c r="D84" s="463"/>
      <c r="E84" s="464"/>
      <c r="F84" s="465"/>
      <c r="G84" s="459" t="str">
        <f t="shared" ca="1" si="3"/>
        <v>1.0</v>
      </c>
      <c r="H84" s="471"/>
    </row>
    <row r="85" spans="2:8" x14ac:dyDescent="0.2">
      <c r="B85" s="445">
        <f t="shared" si="2"/>
        <v>80</v>
      </c>
      <c r="C85" s="472"/>
      <c r="D85" s="463"/>
      <c r="E85" s="464"/>
      <c r="F85" s="465"/>
      <c r="G85" s="459" t="str">
        <f t="shared" ca="1" si="3"/>
        <v>1.0</v>
      </c>
      <c r="H85" s="471"/>
    </row>
    <row r="86" spans="2:8" x14ac:dyDescent="0.2">
      <c r="B86" s="445">
        <f t="shared" si="2"/>
        <v>81</v>
      </c>
      <c r="C86" s="472"/>
      <c r="D86" s="463"/>
      <c r="E86" s="464"/>
      <c r="F86" s="465"/>
      <c r="G86" s="459" t="str">
        <f t="shared" ca="1" si="3"/>
        <v>1.0</v>
      </c>
      <c r="H86" s="471"/>
    </row>
    <row r="87" spans="2:8" x14ac:dyDescent="0.2">
      <c r="B87" s="445">
        <f t="shared" si="2"/>
        <v>82</v>
      </c>
      <c r="C87" s="472"/>
      <c r="D87" s="463"/>
      <c r="E87" s="464"/>
      <c r="F87" s="465"/>
      <c r="G87" s="459" t="str">
        <f t="shared" ca="1" si="3"/>
        <v>1.0</v>
      </c>
      <c r="H87" s="471"/>
    </row>
    <row r="88" spans="2:8" x14ac:dyDescent="0.2">
      <c r="B88" s="445">
        <f t="shared" si="2"/>
        <v>83</v>
      </c>
      <c r="C88" s="472"/>
      <c r="D88" s="463"/>
      <c r="E88" s="464"/>
      <c r="F88" s="465"/>
      <c r="G88" s="459" t="str">
        <f t="shared" ca="1" si="3"/>
        <v>1.0</v>
      </c>
      <c r="H88" s="471"/>
    </row>
    <row r="89" spans="2:8" x14ac:dyDescent="0.2">
      <c r="B89" s="445">
        <f t="shared" si="2"/>
        <v>84</v>
      </c>
      <c r="C89" s="472"/>
      <c r="D89" s="463"/>
      <c r="E89" s="464"/>
      <c r="F89" s="465"/>
      <c r="G89" s="459" t="str">
        <f t="shared" ca="1" si="3"/>
        <v>1.0</v>
      </c>
      <c r="H89" s="471"/>
    </row>
    <row r="90" spans="2:8" x14ac:dyDescent="0.2">
      <c r="B90" s="445">
        <f t="shared" si="2"/>
        <v>85</v>
      </c>
      <c r="C90" s="472"/>
      <c r="D90" s="463"/>
      <c r="E90" s="464"/>
      <c r="F90" s="465"/>
      <c r="G90" s="459" t="str">
        <f t="shared" ca="1" si="3"/>
        <v>1.0</v>
      </c>
      <c r="H90" s="471"/>
    </row>
    <row r="91" spans="2:8" x14ac:dyDescent="0.2">
      <c r="B91" s="445">
        <f t="shared" si="2"/>
        <v>86</v>
      </c>
      <c r="C91" s="472"/>
      <c r="D91" s="463"/>
      <c r="E91" s="464"/>
      <c r="F91" s="465"/>
      <c r="G91" s="459" t="str">
        <f t="shared" ca="1" si="3"/>
        <v>1.0</v>
      </c>
      <c r="H91" s="471"/>
    </row>
    <row r="92" spans="2:8" x14ac:dyDescent="0.2">
      <c r="B92" s="445">
        <f t="shared" si="2"/>
        <v>87</v>
      </c>
      <c r="C92" s="472"/>
      <c r="D92" s="463"/>
      <c r="E92" s="464"/>
      <c r="F92" s="465"/>
      <c r="G92" s="459" t="str">
        <f t="shared" ca="1" si="3"/>
        <v>1.0</v>
      </c>
      <c r="H92" s="471"/>
    </row>
    <row r="93" spans="2:8" x14ac:dyDescent="0.2">
      <c r="B93" s="445">
        <f t="shared" si="2"/>
        <v>88</v>
      </c>
      <c r="C93" s="472"/>
      <c r="D93" s="463"/>
      <c r="E93" s="464"/>
      <c r="F93" s="465"/>
      <c r="G93" s="459" t="str">
        <f t="shared" ca="1" si="3"/>
        <v>1.0</v>
      </c>
      <c r="H93" s="471"/>
    </row>
    <row r="94" spans="2:8" x14ac:dyDescent="0.2">
      <c r="B94" s="445">
        <f t="shared" si="2"/>
        <v>89</v>
      </c>
      <c r="C94" s="472"/>
      <c r="D94" s="463"/>
      <c r="E94" s="464"/>
      <c r="F94" s="465"/>
      <c r="G94" s="459" t="str">
        <f t="shared" ca="1" si="3"/>
        <v>1.0</v>
      </c>
      <c r="H94" s="471"/>
    </row>
    <row r="95" spans="2:8" x14ac:dyDescent="0.2">
      <c r="B95" s="445">
        <f t="shared" si="2"/>
        <v>90</v>
      </c>
      <c r="C95" s="472"/>
      <c r="D95" s="463"/>
      <c r="E95" s="464"/>
      <c r="F95" s="465"/>
      <c r="G95" s="459" t="str">
        <f t="shared" ca="1" si="3"/>
        <v>1.0</v>
      </c>
      <c r="H95" s="471"/>
    </row>
    <row r="96" spans="2:8" x14ac:dyDescent="0.2">
      <c r="B96" s="445">
        <f t="shared" si="2"/>
        <v>91</v>
      </c>
      <c r="C96" s="472"/>
      <c r="D96" s="463"/>
      <c r="E96" s="464"/>
      <c r="F96" s="465"/>
      <c r="G96" s="459" t="str">
        <f t="shared" ca="1" si="3"/>
        <v>1.0</v>
      </c>
      <c r="H96" s="471"/>
    </row>
    <row r="97" spans="2:10" x14ac:dyDescent="0.2">
      <c r="B97" s="445">
        <f t="shared" si="2"/>
        <v>92</v>
      </c>
      <c r="C97" s="472"/>
      <c r="D97" s="463"/>
      <c r="E97" s="464"/>
      <c r="F97" s="465"/>
      <c r="G97" s="459" t="str">
        <f t="shared" ca="1" si="3"/>
        <v>1.0</v>
      </c>
      <c r="H97" s="471"/>
    </row>
    <row r="98" spans="2:10" x14ac:dyDescent="0.2">
      <c r="B98" s="445">
        <f t="shared" si="2"/>
        <v>93</v>
      </c>
      <c r="C98" s="472"/>
      <c r="D98" s="463"/>
      <c r="E98" s="464"/>
      <c r="F98" s="465"/>
      <c r="G98" s="459" t="str">
        <f t="shared" ca="1" si="3"/>
        <v>1.0</v>
      </c>
      <c r="H98" s="471"/>
    </row>
    <row r="99" spans="2:10" x14ac:dyDescent="0.2">
      <c r="B99" s="445">
        <f t="shared" si="2"/>
        <v>94</v>
      </c>
      <c r="C99" s="472"/>
      <c r="D99" s="463"/>
      <c r="E99" s="464"/>
      <c r="F99" s="465"/>
      <c r="G99" s="459" t="str">
        <f t="shared" ca="1" si="3"/>
        <v>1.0</v>
      </c>
      <c r="H99" s="471"/>
    </row>
    <row r="100" spans="2:10" x14ac:dyDescent="0.2">
      <c r="B100" s="445">
        <f t="shared" si="2"/>
        <v>95</v>
      </c>
      <c r="C100" s="472"/>
      <c r="D100" s="463"/>
      <c r="E100" s="464"/>
      <c r="F100" s="465"/>
      <c r="G100" s="459" t="str">
        <f t="shared" ca="1" si="3"/>
        <v>1.0</v>
      </c>
      <c r="H100" s="471"/>
    </row>
    <row r="101" spans="2:10" x14ac:dyDescent="0.2">
      <c r="B101" s="445">
        <f t="shared" si="2"/>
        <v>96</v>
      </c>
      <c r="C101" s="472"/>
      <c r="D101" s="463"/>
      <c r="E101" s="464"/>
      <c r="F101" s="465"/>
      <c r="G101" s="459" t="str">
        <f t="shared" ca="1" si="3"/>
        <v>1.0</v>
      </c>
      <c r="H101" s="471"/>
    </row>
    <row r="102" spans="2:10" x14ac:dyDescent="0.2">
      <c r="B102" s="445">
        <f t="shared" si="2"/>
        <v>97</v>
      </c>
      <c r="C102" s="472"/>
      <c r="D102" s="463"/>
      <c r="E102" s="464"/>
      <c r="F102" s="465"/>
      <c r="G102" s="459" t="str">
        <f t="shared" ca="1" si="3"/>
        <v>1.0</v>
      </c>
      <c r="H102" s="471"/>
    </row>
    <row r="103" spans="2:10" x14ac:dyDescent="0.2">
      <c r="B103" s="445">
        <f t="shared" si="2"/>
        <v>98</v>
      </c>
      <c r="C103" s="472"/>
      <c r="D103" s="463"/>
      <c r="E103" s="464"/>
      <c r="F103" s="465"/>
      <c r="G103" s="459" t="str">
        <f t="shared" ca="1" si="3"/>
        <v>1.0</v>
      </c>
      <c r="H103" s="471"/>
    </row>
    <row r="104" spans="2:10" x14ac:dyDescent="0.2">
      <c r="B104" s="445">
        <f t="shared" si="2"/>
        <v>99</v>
      </c>
      <c r="C104" s="472"/>
      <c r="D104" s="463"/>
      <c r="E104" s="464"/>
      <c r="F104" s="465"/>
      <c r="G104" s="459" t="str">
        <f t="shared" ca="1" si="3"/>
        <v>1.0</v>
      </c>
      <c r="H104" s="471"/>
    </row>
    <row r="105" spans="2:10" x14ac:dyDescent="0.2">
      <c r="B105" s="445">
        <f t="shared" si="2"/>
        <v>100</v>
      </c>
      <c r="C105" s="472"/>
      <c r="D105" s="463"/>
      <c r="E105" s="464"/>
      <c r="F105" s="465"/>
      <c r="G105" s="459" t="str">
        <f t="shared" ca="1" si="3"/>
        <v>1.0</v>
      </c>
      <c r="H105" s="471"/>
    </row>
    <row r="106" spans="2:10" x14ac:dyDescent="0.2">
      <c r="B106" s="445">
        <f t="shared" si="2"/>
        <v>101</v>
      </c>
      <c r="C106" s="472"/>
      <c r="D106" s="463"/>
      <c r="E106" s="464"/>
      <c r="F106" s="465"/>
      <c r="G106" s="459" t="str">
        <f t="shared" ca="1" si="3"/>
        <v>1.0</v>
      </c>
      <c r="H106" s="471"/>
    </row>
    <row r="107" spans="2:10" x14ac:dyDescent="0.2">
      <c r="B107" s="445">
        <f t="shared" si="2"/>
        <v>102</v>
      </c>
      <c r="C107" s="472"/>
      <c r="D107" s="463"/>
      <c r="E107" s="464"/>
      <c r="F107" s="465"/>
      <c r="G107" s="459" t="str">
        <f t="shared" ca="1" si="3"/>
        <v>1.0</v>
      </c>
      <c r="H107" s="471"/>
    </row>
    <row r="108" spans="2:10" x14ac:dyDescent="0.2">
      <c r="B108" s="445">
        <f t="shared" si="2"/>
        <v>103</v>
      </c>
      <c r="C108" s="472"/>
      <c r="D108" s="463"/>
      <c r="E108" s="464"/>
      <c r="F108" s="465"/>
      <c r="G108" s="459" t="str">
        <f t="shared" ca="1" si="3"/>
        <v>1.0</v>
      </c>
      <c r="H108" s="471"/>
    </row>
    <row r="109" spans="2:10" x14ac:dyDescent="0.2">
      <c r="B109" s="445">
        <f t="shared" si="2"/>
        <v>104</v>
      </c>
      <c r="C109" s="472"/>
      <c r="D109" s="463"/>
      <c r="E109" s="464"/>
      <c r="F109" s="465"/>
      <c r="G109" s="459" t="str">
        <f t="shared" ca="1" si="3"/>
        <v>1.0</v>
      </c>
      <c r="H109" s="471"/>
    </row>
    <row r="110" spans="2:10" x14ac:dyDescent="0.2">
      <c r="B110" s="445">
        <f t="shared" si="2"/>
        <v>105</v>
      </c>
      <c r="C110" s="472"/>
      <c r="D110" s="463"/>
      <c r="E110" s="464"/>
      <c r="F110" s="465"/>
      <c r="G110" s="459" t="str">
        <f t="shared" ca="1" si="3"/>
        <v>1.0</v>
      </c>
      <c r="H110" s="471"/>
      <c r="I110" s="478" t="s">
        <v>947</v>
      </c>
      <c r="J110" s="438" t="s">
        <v>948</v>
      </c>
    </row>
    <row r="111" spans="2:10" x14ac:dyDescent="0.2">
      <c r="C111" s="479"/>
      <c r="D111" s="480"/>
      <c r="E111" s="481"/>
      <c r="F111" s="482"/>
      <c r="G111" s="483" t="str">
        <f t="shared" ca="1" si="3"/>
        <v>1.0</v>
      </c>
      <c r="H111" s="482"/>
    </row>
    <row r="112" spans="2:10" x14ac:dyDescent="0.2">
      <c r="C112" s="484"/>
      <c r="G112" s="483" t="str">
        <f t="shared" ca="1" si="3"/>
        <v>1.0</v>
      </c>
    </row>
    <row r="113" spans="7:7" x14ac:dyDescent="0.2">
      <c r="G113" s="483" t="str">
        <f t="shared" ca="1" si="3"/>
        <v>1.0</v>
      </c>
    </row>
    <row r="114" spans="7:7" x14ac:dyDescent="0.2">
      <c r="G114" s="483" t="str">
        <f t="shared" ca="1" si="3"/>
        <v>1.0</v>
      </c>
    </row>
    <row r="115" spans="7:7" x14ac:dyDescent="0.2">
      <c r="G115" s="483" t="str">
        <f t="shared" ca="1" si="3"/>
        <v>1.0</v>
      </c>
    </row>
    <row r="116" spans="7:7" x14ac:dyDescent="0.2">
      <c r="G116" s="483" t="str">
        <f t="shared" ca="1" si="3"/>
        <v>1.0</v>
      </c>
    </row>
    <row r="117" spans="7:7" x14ac:dyDescent="0.2">
      <c r="G117" s="483" t="str">
        <f t="shared" ca="1" si="3"/>
        <v>1.0</v>
      </c>
    </row>
    <row r="118" spans="7:7" x14ac:dyDescent="0.2">
      <c r="G118" s="483" t="str">
        <f t="shared" ca="1" si="3"/>
        <v>1.0</v>
      </c>
    </row>
    <row r="119" spans="7:7" x14ac:dyDescent="0.2">
      <c r="G119" s="483" t="str">
        <f t="shared" ca="1" si="3"/>
        <v>1.0</v>
      </c>
    </row>
    <row r="120" spans="7:7" x14ac:dyDescent="0.2">
      <c r="G120" s="483" t="str">
        <f t="shared" ca="1" si="3"/>
        <v>1.0</v>
      </c>
    </row>
    <row r="121" spans="7:7" x14ac:dyDescent="0.2">
      <c r="G121" s="483" t="str">
        <f t="shared" ca="1" si="3"/>
        <v>1.0</v>
      </c>
    </row>
    <row r="122" spans="7:7" x14ac:dyDescent="0.2">
      <c r="G122" s="483" t="str">
        <f t="shared" ca="1" si="3"/>
        <v>1.0</v>
      </c>
    </row>
    <row r="123" spans="7:7" x14ac:dyDescent="0.2">
      <c r="G123" s="483" t="str">
        <f t="shared" ca="1" si="3"/>
        <v>1.0</v>
      </c>
    </row>
    <row r="124" spans="7:7" x14ac:dyDescent="0.2">
      <c r="G124" s="483" t="str">
        <f t="shared" ca="1" si="3"/>
        <v>1.0</v>
      </c>
    </row>
    <row r="125" spans="7:7" x14ac:dyDescent="0.2">
      <c r="G125" s="483" t="str">
        <f t="shared" ca="1" si="3"/>
        <v>1.0</v>
      </c>
    </row>
    <row r="126" spans="7:7" x14ac:dyDescent="0.2">
      <c r="G126" s="483" t="str">
        <f t="shared" ca="1" si="3"/>
        <v>1.0</v>
      </c>
    </row>
    <row r="127" spans="7:7" x14ac:dyDescent="0.2">
      <c r="G127" s="483" t="str">
        <f t="shared" ca="1" si="3"/>
        <v>1.0</v>
      </c>
    </row>
    <row r="128" spans="7:7" x14ac:dyDescent="0.2">
      <c r="G128" s="483" t="str">
        <f t="shared" ca="1" si="3"/>
        <v>1.0</v>
      </c>
    </row>
    <row r="129" spans="7:7" x14ac:dyDescent="0.2">
      <c r="G129" s="483" t="str">
        <f t="shared" ca="1" si="3"/>
        <v>1.0</v>
      </c>
    </row>
    <row r="130" spans="7:7" x14ac:dyDescent="0.2">
      <c r="G130" s="483" t="str">
        <f t="shared" ca="1" si="3"/>
        <v>1.0</v>
      </c>
    </row>
    <row r="131" spans="7:7" x14ac:dyDescent="0.2">
      <c r="G131" s="483" t="str">
        <f t="shared" ca="1" si="3"/>
        <v>1.0</v>
      </c>
    </row>
    <row r="132" spans="7:7" x14ac:dyDescent="0.2">
      <c r="G132" s="483" t="str">
        <f t="shared" ca="1" si="3"/>
        <v>1.0</v>
      </c>
    </row>
    <row r="133" spans="7:7" x14ac:dyDescent="0.2">
      <c r="G133" s="483" t="str">
        <f t="shared" ca="1" si="3"/>
        <v>1.0</v>
      </c>
    </row>
    <row r="134" spans="7:7" x14ac:dyDescent="0.2">
      <c r="G134" s="483" t="str">
        <f t="shared" ca="1" si="3"/>
        <v>1.0</v>
      </c>
    </row>
    <row r="135" spans="7:7" x14ac:dyDescent="0.2">
      <c r="G135" s="483" t="str">
        <f t="shared" ca="1" si="3"/>
        <v>1.0</v>
      </c>
    </row>
    <row r="136" spans="7:7" x14ac:dyDescent="0.2">
      <c r="G136" s="483" t="str">
        <f t="shared" ca="1" si="3"/>
        <v>1.0</v>
      </c>
    </row>
    <row r="137" spans="7:7" x14ac:dyDescent="0.2">
      <c r="G137" s="483" t="str">
        <f t="shared" ref="G137:G200" ca="1" si="4">IF(ISBLANK(C137),OFFSET(G137,-1,0),IF(ISERR(FIND("/",C137,1)),C137,OFFSET(G137,-1,0)))</f>
        <v>1.0</v>
      </c>
    </row>
    <row r="138" spans="7:7" x14ac:dyDescent="0.2">
      <c r="G138" s="483" t="str">
        <f t="shared" ca="1" si="4"/>
        <v>1.0</v>
      </c>
    </row>
    <row r="139" spans="7:7" x14ac:dyDescent="0.2">
      <c r="G139" s="483" t="str">
        <f t="shared" ca="1" si="4"/>
        <v>1.0</v>
      </c>
    </row>
    <row r="140" spans="7:7" x14ac:dyDescent="0.2">
      <c r="G140" s="483" t="str">
        <f t="shared" ca="1" si="4"/>
        <v>1.0</v>
      </c>
    </row>
    <row r="141" spans="7:7" x14ac:dyDescent="0.2">
      <c r="G141" s="483" t="str">
        <f t="shared" ca="1" si="4"/>
        <v>1.0</v>
      </c>
    </row>
    <row r="142" spans="7:7" x14ac:dyDescent="0.2">
      <c r="G142" s="483" t="str">
        <f t="shared" ca="1" si="4"/>
        <v>1.0</v>
      </c>
    </row>
    <row r="143" spans="7:7" x14ac:dyDescent="0.2">
      <c r="G143" s="483" t="str">
        <f t="shared" ca="1" si="4"/>
        <v>1.0</v>
      </c>
    </row>
    <row r="144" spans="7:7" x14ac:dyDescent="0.2">
      <c r="G144" s="483" t="str">
        <f t="shared" ca="1" si="4"/>
        <v>1.0</v>
      </c>
    </row>
    <row r="145" spans="7:7" x14ac:dyDescent="0.2">
      <c r="G145" s="483" t="str">
        <f t="shared" ca="1" si="4"/>
        <v>1.0</v>
      </c>
    </row>
    <row r="146" spans="7:7" x14ac:dyDescent="0.2">
      <c r="G146" s="483" t="str">
        <f t="shared" ca="1" si="4"/>
        <v>1.0</v>
      </c>
    </row>
    <row r="147" spans="7:7" x14ac:dyDescent="0.2">
      <c r="G147" s="483" t="str">
        <f t="shared" ca="1" si="4"/>
        <v>1.0</v>
      </c>
    </row>
    <row r="148" spans="7:7" x14ac:dyDescent="0.2">
      <c r="G148" s="483" t="str">
        <f t="shared" ca="1" si="4"/>
        <v>1.0</v>
      </c>
    </row>
    <row r="149" spans="7:7" x14ac:dyDescent="0.2">
      <c r="G149" s="483" t="str">
        <f t="shared" ca="1" si="4"/>
        <v>1.0</v>
      </c>
    </row>
    <row r="150" spans="7:7" x14ac:dyDescent="0.2">
      <c r="G150" s="483" t="str">
        <f t="shared" ca="1" si="4"/>
        <v>1.0</v>
      </c>
    </row>
    <row r="151" spans="7:7" x14ac:dyDescent="0.2">
      <c r="G151" s="483" t="str">
        <f t="shared" ca="1" si="4"/>
        <v>1.0</v>
      </c>
    </row>
    <row r="152" spans="7:7" x14ac:dyDescent="0.2">
      <c r="G152" s="483" t="str">
        <f t="shared" ca="1" si="4"/>
        <v>1.0</v>
      </c>
    </row>
    <row r="153" spans="7:7" x14ac:dyDescent="0.2">
      <c r="G153" s="483" t="str">
        <f t="shared" ca="1" si="4"/>
        <v>1.0</v>
      </c>
    </row>
    <row r="154" spans="7:7" x14ac:dyDescent="0.2">
      <c r="G154" s="483" t="str">
        <f t="shared" ca="1" si="4"/>
        <v>1.0</v>
      </c>
    </row>
    <row r="155" spans="7:7" x14ac:dyDescent="0.2">
      <c r="G155" s="483" t="str">
        <f t="shared" ca="1" si="4"/>
        <v>1.0</v>
      </c>
    </row>
    <row r="156" spans="7:7" x14ac:dyDescent="0.2">
      <c r="G156" s="483" t="str">
        <f t="shared" ca="1" si="4"/>
        <v>1.0</v>
      </c>
    </row>
    <row r="157" spans="7:7" x14ac:dyDescent="0.2">
      <c r="G157" s="483" t="str">
        <f t="shared" ca="1" si="4"/>
        <v>1.0</v>
      </c>
    </row>
    <row r="158" spans="7:7" x14ac:dyDescent="0.2">
      <c r="G158" s="483" t="str">
        <f t="shared" ca="1" si="4"/>
        <v>1.0</v>
      </c>
    </row>
    <row r="159" spans="7:7" x14ac:dyDescent="0.2">
      <c r="G159" s="483" t="str">
        <f t="shared" ca="1" si="4"/>
        <v>1.0</v>
      </c>
    </row>
    <row r="160" spans="7:7" x14ac:dyDescent="0.2">
      <c r="G160" s="483" t="str">
        <f t="shared" ca="1" si="4"/>
        <v>1.0</v>
      </c>
    </row>
    <row r="161" spans="7:7" x14ac:dyDescent="0.2">
      <c r="G161" s="483" t="str">
        <f t="shared" ca="1" si="4"/>
        <v>1.0</v>
      </c>
    </row>
    <row r="162" spans="7:7" x14ac:dyDescent="0.2">
      <c r="G162" s="483" t="str">
        <f t="shared" ca="1" si="4"/>
        <v>1.0</v>
      </c>
    </row>
    <row r="163" spans="7:7" x14ac:dyDescent="0.2">
      <c r="G163" s="483" t="str">
        <f t="shared" ca="1" si="4"/>
        <v>1.0</v>
      </c>
    </row>
    <row r="164" spans="7:7" x14ac:dyDescent="0.2">
      <c r="G164" s="483" t="str">
        <f t="shared" ca="1" si="4"/>
        <v>1.0</v>
      </c>
    </row>
    <row r="165" spans="7:7" x14ac:dyDescent="0.2">
      <c r="G165" s="483" t="str">
        <f t="shared" ca="1" si="4"/>
        <v>1.0</v>
      </c>
    </row>
    <row r="166" spans="7:7" x14ac:dyDescent="0.2">
      <c r="G166" s="483" t="str">
        <f t="shared" ca="1" si="4"/>
        <v>1.0</v>
      </c>
    </row>
    <row r="167" spans="7:7" x14ac:dyDescent="0.2">
      <c r="G167" s="483" t="str">
        <f t="shared" ca="1" si="4"/>
        <v>1.0</v>
      </c>
    </row>
    <row r="168" spans="7:7" x14ac:dyDescent="0.2">
      <c r="G168" s="483" t="str">
        <f t="shared" ca="1" si="4"/>
        <v>1.0</v>
      </c>
    </row>
    <row r="169" spans="7:7" x14ac:dyDescent="0.2">
      <c r="G169" s="483" t="str">
        <f t="shared" ca="1" si="4"/>
        <v>1.0</v>
      </c>
    </row>
    <row r="170" spans="7:7" x14ac:dyDescent="0.2">
      <c r="G170" s="483" t="str">
        <f t="shared" ca="1" si="4"/>
        <v>1.0</v>
      </c>
    </row>
    <row r="171" spans="7:7" x14ac:dyDescent="0.2">
      <c r="G171" s="483" t="str">
        <f t="shared" ca="1" si="4"/>
        <v>1.0</v>
      </c>
    </row>
    <row r="172" spans="7:7" x14ac:dyDescent="0.2">
      <c r="G172" s="483" t="str">
        <f t="shared" ca="1" si="4"/>
        <v>1.0</v>
      </c>
    </row>
    <row r="173" spans="7:7" x14ac:dyDescent="0.2">
      <c r="G173" s="483" t="str">
        <f t="shared" ca="1" si="4"/>
        <v>1.0</v>
      </c>
    </row>
    <row r="174" spans="7:7" x14ac:dyDescent="0.2">
      <c r="G174" s="483" t="str">
        <f t="shared" ca="1" si="4"/>
        <v>1.0</v>
      </c>
    </row>
    <row r="175" spans="7:7" x14ac:dyDescent="0.2">
      <c r="G175" s="483" t="str">
        <f t="shared" ca="1" si="4"/>
        <v>1.0</v>
      </c>
    </row>
    <row r="176" spans="7:7" x14ac:dyDescent="0.2">
      <c r="G176" s="483" t="str">
        <f t="shared" ca="1" si="4"/>
        <v>1.0</v>
      </c>
    </row>
    <row r="177" spans="7:7" x14ac:dyDescent="0.2">
      <c r="G177" s="483" t="str">
        <f t="shared" ca="1" si="4"/>
        <v>1.0</v>
      </c>
    </row>
    <row r="178" spans="7:7" x14ac:dyDescent="0.2">
      <c r="G178" s="483" t="str">
        <f t="shared" ca="1" si="4"/>
        <v>1.0</v>
      </c>
    </row>
    <row r="179" spans="7:7" x14ac:dyDescent="0.2">
      <c r="G179" s="483" t="str">
        <f t="shared" ca="1" si="4"/>
        <v>1.0</v>
      </c>
    </row>
    <row r="180" spans="7:7" x14ac:dyDescent="0.2">
      <c r="G180" s="483" t="str">
        <f t="shared" ca="1" si="4"/>
        <v>1.0</v>
      </c>
    </row>
    <row r="181" spans="7:7" x14ac:dyDescent="0.2">
      <c r="G181" s="483" t="str">
        <f t="shared" ca="1" si="4"/>
        <v>1.0</v>
      </c>
    </row>
    <row r="182" spans="7:7" x14ac:dyDescent="0.2">
      <c r="G182" s="483" t="str">
        <f t="shared" ca="1" si="4"/>
        <v>1.0</v>
      </c>
    </row>
    <row r="183" spans="7:7" x14ac:dyDescent="0.2">
      <c r="G183" s="483" t="str">
        <f t="shared" ca="1" si="4"/>
        <v>1.0</v>
      </c>
    </row>
    <row r="184" spans="7:7" x14ac:dyDescent="0.2">
      <c r="G184" s="483" t="str">
        <f t="shared" ca="1" si="4"/>
        <v>1.0</v>
      </c>
    </row>
    <row r="185" spans="7:7" x14ac:dyDescent="0.2">
      <c r="G185" s="483" t="str">
        <f t="shared" ca="1" si="4"/>
        <v>1.0</v>
      </c>
    </row>
    <row r="186" spans="7:7" x14ac:dyDescent="0.2">
      <c r="G186" s="483" t="str">
        <f t="shared" ca="1" si="4"/>
        <v>1.0</v>
      </c>
    </row>
    <row r="187" spans="7:7" x14ac:dyDescent="0.2">
      <c r="G187" s="483" t="str">
        <f t="shared" ca="1" si="4"/>
        <v>1.0</v>
      </c>
    </row>
    <row r="188" spans="7:7" x14ac:dyDescent="0.2">
      <c r="G188" s="483" t="str">
        <f t="shared" ca="1" si="4"/>
        <v>1.0</v>
      </c>
    </row>
    <row r="189" spans="7:7" x14ac:dyDescent="0.2">
      <c r="G189" s="483" t="str">
        <f t="shared" ca="1" si="4"/>
        <v>1.0</v>
      </c>
    </row>
    <row r="190" spans="7:7" x14ac:dyDescent="0.2">
      <c r="G190" s="483" t="str">
        <f t="shared" ca="1" si="4"/>
        <v>1.0</v>
      </c>
    </row>
    <row r="191" spans="7:7" x14ac:dyDescent="0.2">
      <c r="G191" s="483" t="str">
        <f t="shared" ca="1" si="4"/>
        <v>1.0</v>
      </c>
    </row>
    <row r="192" spans="7:7" x14ac:dyDescent="0.2">
      <c r="G192" s="483" t="str">
        <f t="shared" ca="1" si="4"/>
        <v>1.0</v>
      </c>
    </row>
    <row r="193" spans="7:7" x14ac:dyDescent="0.2">
      <c r="G193" s="483" t="str">
        <f t="shared" ca="1" si="4"/>
        <v>1.0</v>
      </c>
    </row>
    <row r="194" spans="7:7" x14ac:dyDescent="0.2">
      <c r="G194" s="483" t="str">
        <f t="shared" ca="1" si="4"/>
        <v>1.0</v>
      </c>
    </row>
    <row r="195" spans="7:7" x14ac:dyDescent="0.2">
      <c r="G195" s="483" t="str">
        <f t="shared" ca="1" si="4"/>
        <v>1.0</v>
      </c>
    </row>
    <row r="196" spans="7:7" x14ac:dyDescent="0.2">
      <c r="G196" s="483" t="str">
        <f t="shared" ca="1" si="4"/>
        <v>1.0</v>
      </c>
    </row>
    <row r="197" spans="7:7" x14ac:dyDescent="0.2">
      <c r="G197" s="483" t="str">
        <f t="shared" ca="1" si="4"/>
        <v>1.0</v>
      </c>
    </row>
    <row r="198" spans="7:7" x14ac:dyDescent="0.2">
      <c r="G198" s="483" t="str">
        <f t="shared" ca="1" si="4"/>
        <v>1.0</v>
      </c>
    </row>
    <row r="199" spans="7:7" x14ac:dyDescent="0.2">
      <c r="G199" s="483" t="str">
        <f t="shared" ca="1" si="4"/>
        <v>1.0</v>
      </c>
    </row>
    <row r="200" spans="7:7" x14ac:dyDescent="0.2">
      <c r="G200" s="483" t="str">
        <f t="shared" ca="1" si="4"/>
        <v>1.0</v>
      </c>
    </row>
    <row r="201" spans="7:7" x14ac:dyDescent="0.2">
      <c r="G201" s="483" t="str">
        <f t="shared" ref="G201:G264" ca="1" si="5">IF(ISBLANK(C201),OFFSET(G201,-1,0),IF(ISERR(FIND("/",C201,1)),C201,OFFSET(G201,-1,0)))</f>
        <v>1.0</v>
      </c>
    </row>
    <row r="202" spans="7:7" x14ac:dyDescent="0.2">
      <c r="G202" s="483" t="str">
        <f t="shared" ca="1" si="5"/>
        <v>1.0</v>
      </c>
    </row>
    <row r="203" spans="7:7" x14ac:dyDescent="0.2">
      <c r="G203" s="483" t="str">
        <f t="shared" ca="1" si="5"/>
        <v>1.0</v>
      </c>
    </row>
    <row r="204" spans="7:7" x14ac:dyDescent="0.2">
      <c r="G204" s="483" t="str">
        <f t="shared" ca="1" si="5"/>
        <v>1.0</v>
      </c>
    </row>
    <row r="205" spans="7:7" x14ac:dyDescent="0.2">
      <c r="G205" s="483" t="str">
        <f t="shared" ca="1" si="5"/>
        <v>1.0</v>
      </c>
    </row>
    <row r="206" spans="7:7" x14ac:dyDescent="0.2">
      <c r="G206" s="483" t="str">
        <f t="shared" ca="1" si="5"/>
        <v>1.0</v>
      </c>
    </row>
    <row r="207" spans="7:7" x14ac:dyDescent="0.2">
      <c r="G207" s="483" t="str">
        <f t="shared" ca="1" si="5"/>
        <v>1.0</v>
      </c>
    </row>
    <row r="208" spans="7:7" x14ac:dyDescent="0.2">
      <c r="G208" s="483" t="str">
        <f t="shared" ca="1" si="5"/>
        <v>1.0</v>
      </c>
    </row>
    <row r="209" spans="7:7" x14ac:dyDescent="0.2">
      <c r="G209" s="483" t="str">
        <f t="shared" ca="1" si="5"/>
        <v>1.0</v>
      </c>
    </row>
    <row r="210" spans="7:7" x14ac:dyDescent="0.2">
      <c r="G210" s="483" t="str">
        <f t="shared" ca="1" si="5"/>
        <v>1.0</v>
      </c>
    </row>
    <row r="211" spans="7:7" x14ac:dyDescent="0.2">
      <c r="G211" s="483" t="str">
        <f t="shared" ca="1" si="5"/>
        <v>1.0</v>
      </c>
    </row>
    <row r="212" spans="7:7" x14ac:dyDescent="0.2">
      <c r="G212" s="483" t="str">
        <f t="shared" ca="1" si="5"/>
        <v>1.0</v>
      </c>
    </row>
    <row r="213" spans="7:7" x14ac:dyDescent="0.2">
      <c r="G213" s="483" t="str">
        <f t="shared" ca="1" si="5"/>
        <v>1.0</v>
      </c>
    </row>
    <row r="214" spans="7:7" x14ac:dyDescent="0.2">
      <c r="G214" s="483" t="str">
        <f t="shared" ca="1" si="5"/>
        <v>1.0</v>
      </c>
    </row>
    <row r="215" spans="7:7" x14ac:dyDescent="0.2">
      <c r="G215" s="483" t="str">
        <f t="shared" ca="1" si="5"/>
        <v>1.0</v>
      </c>
    </row>
    <row r="216" spans="7:7" x14ac:dyDescent="0.2">
      <c r="G216" s="483" t="str">
        <f t="shared" ca="1" si="5"/>
        <v>1.0</v>
      </c>
    </row>
    <row r="217" spans="7:7" x14ac:dyDescent="0.2">
      <c r="G217" s="483" t="str">
        <f t="shared" ca="1" si="5"/>
        <v>1.0</v>
      </c>
    </row>
    <row r="218" spans="7:7" x14ac:dyDescent="0.2">
      <c r="G218" s="483" t="str">
        <f t="shared" ca="1" si="5"/>
        <v>1.0</v>
      </c>
    </row>
    <row r="219" spans="7:7" x14ac:dyDescent="0.2">
      <c r="G219" s="483" t="str">
        <f t="shared" ca="1" si="5"/>
        <v>1.0</v>
      </c>
    </row>
    <row r="220" spans="7:7" x14ac:dyDescent="0.2">
      <c r="G220" s="483" t="str">
        <f t="shared" ca="1" si="5"/>
        <v>1.0</v>
      </c>
    </row>
    <row r="221" spans="7:7" x14ac:dyDescent="0.2">
      <c r="G221" s="483" t="str">
        <f t="shared" ca="1" si="5"/>
        <v>1.0</v>
      </c>
    </row>
    <row r="222" spans="7:7" x14ac:dyDescent="0.2">
      <c r="G222" s="483" t="str">
        <f t="shared" ca="1" si="5"/>
        <v>1.0</v>
      </c>
    </row>
    <row r="223" spans="7:7" x14ac:dyDescent="0.2">
      <c r="G223" s="483" t="str">
        <f t="shared" ca="1" si="5"/>
        <v>1.0</v>
      </c>
    </row>
    <row r="224" spans="7:7" x14ac:dyDescent="0.2">
      <c r="G224" s="483" t="str">
        <f t="shared" ca="1" si="5"/>
        <v>1.0</v>
      </c>
    </row>
    <row r="225" spans="7:7" x14ac:dyDescent="0.2">
      <c r="G225" s="483" t="str">
        <f t="shared" ca="1" si="5"/>
        <v>1.0</v>
      </c>
    </row>
    <row r="226" spans="7:7" x14ac:dyDescent="0.2">
      <c r="G226" s="483" t="str">
        <f t="shared" ca="1" si="5"/>
        <v>1.0</v>
      </c>
    </row>
    <row r="227" spans="7:7" x14ac:dyDescent="0.2">
      <c r="G227" s="483" t="str">
        <f t="shared" ca="1" si="5"/>
        <v>1.0</v>
      </c>
    </row>
    <row r="228" spans="7:7" x14ac:dyDescent="0.2">
      <c r="G228" s="483" t="str">
        <f t="shared" ca="1" si="5"/>
        <v>1.0</v>
      </c>
    </row>
    <row r="229" spans="7:7" x14ac:dyDescent="0.2">
      <c r="G229" s="483" t="str">
        <f t="shared" ca="1" si="5"/>
        <v>1.0</v>
      </c>
    </row>
    <row r="230" spans="7:7" x14ac:dyDescent="0.2">
      <c r="G230" s="483" t="str">
        <f t="shared" ca="1" si="5"/>
        <v>1.0</v>
      </c>
    </row>
    <row r="231" spans="7:7" x14ac:dyDescent="0.2">
      <c r="G231" s="483" t="str">
        <f t="shared" ca="1" si="5"/>
        <v>1.0</v>
      </c>
    </row>
    <row r="232" spans="7:7" x14ac:dyDescent="0.2">
      <c r="G232" s="483" t="str">
        <f t="shared" ca="1" si="5"/>
        <v>1.0</v>
      </c>
    </row>
    <row r="233" spans="7:7" x14ac:dyDescent="0.2">
      <c r="G233" s="483" t="str">
        <f t="shared" ca="1" si="5"/>
        <v>1.0</v>
      </c>
    </row>
    <row r="234" spans="7:7" x14ac:dyDescent="0.2">
      <c r="G234" s="483" t="str">
        <f t="shared" ca="1" si="5"/>
        <v>1.0</v>
      </c>
    </row>
    <row r="235" spans="7:7" x14ac:dyDescent="0.2">
      <c r="G235" s="483" t="str">
        <f t="shared" ca="1" si="5"/>
        <v>1.0</v>
      </c>
    </row>
    <row r="236" spans="7:7" x14ac:dyDescent="0.2">
      <c r="G236" s="483" t="str">
        <f t="shared" ca="1" si="5"/>
        <v>1.0</v>
      </c>
    </row>
    <row r="237" spans="7:7" x14ac:dyDescent="0.2">
      <c r="G237" s="483" t="str">
        <f t="shared" ca="1" si="5"/>
        <v>1.0</v>
      </c>
    </row>
    <row r="238" spans="7:7" x14ac:dyDescent="0.2">
      <c r="G238" s="483" t="str">
        <f t="shared" ca="1" si="5"/>
        <v>1.0</v>
      </c>
    </row>
    <row r="239" spans="7:7" x14ac:dyDescent="0.2">
      <c r="G239" s="483" t="str">
        <f t="shared" ca="1" si="5"/>
        <v>1.0</v>
      </c>
    </row>
    <row r="240" spans="7:7" x14ac:dyDescent="0.2">
      <c r="G240" s="483" t="str">
        <f t="shared" ca="1" si="5"/>
        <v>1.0</v>
      </c>
    </row>
    <row r="241" spans="7:7" x14ac:dyDescent="0.2">
      <c r="G241" s="483" t="str">
        <f t="shared" ca="1" si="5"/>
        <v>1.0</v>
      </c>
    </row>
    <row r="242" spans="7:7" x14ac:dyDescent="0.2">
      <c r="G242" s="483" t="str">
        <f t="shared" ca="1" si="5"/>
        <v>1.0</v>
      </c>
    </row>
    <row r="243" spans="7:7" x14ac:dyDescent="0.2">
      <c r="G243" s="483" t="str">
        <f t="shared" ca="1" si="5"/>
        <v>1.0</v>
      </c>
    </row>
    <row r="244" spans="7:7" x14ac:dyDescent="0.2">
      <c r="G244" s="483" t="str">
        <f t="shared" ca="1" si="5"/>
        <v>1.0</v>
      </c>
    </row>
    <row r="245" spans="7:7" x14ac:dyDescent="0.2">
      <c r="G245" s="483" t="str">
        <f t="shared" ca="1" si="5"/>
        <v>1.0</v>
      </c>
    </row>
    <row r="246" spans="7:7" x14ac:dyDescent="0.2">
      <c r="G246" s="483" t="str">
        <f t="shared" ca="1" si="5"/>
        <v>1.0</v>
      </c>
    </row>
    <row r="247" spans="7:7" x14ac:dyDescent="0.2">
      <c r="G247" s="483" t="str">
        <f t="shared" ca="1" si="5"/>
        <v>1.0</v>
      </c>
    </row>
    <row r="248" spans="7:7" x14ac:dyDescent="0.2">
      <c r="G248" s="483" t="str">
        <f t="shared" ca="1" si="5"/>
        <v>1.0</v>
      </c>
    </row>
    <row r="249" spans="7:7" x14ac:dyDescent="0.2">
      <c r="G249" s="483" t="str">
        <f t="shared" ca="1" si="5"/>
        <v>1.0</v>
      </c>
    </row>
    <row r="250" spans="7:7" x14ac:dyDescent="0.2">
      <c r="G250" s="483" t="str">
        <f t="shared" ca="1" si="5"/>
        <v>1.0</v>
      </c>
    </row>
    <row r="251" spans="7:7" x14ac:dyDescent="0.2">
      <c r="G251" s="483" t="str">
        <f t="shared" ca="1" si="5"/>
        <v>1.0</v>
      </c>
    </row>
    <row r="252" spans="7:7" x14ac:dyDescent="0.2">
      <c r="G252" s="483" t="str">
        <f t="shared" ca="1" si="5"/>
        <v>1.0</v>
      </c>
    </row>
    <row r="253" spans="7:7" x14ac:dyDescent="0.2">
      <c r="G253" s="483" t="str">
        <f t="shared" ca="1" si="5"/>
        <v>1.0</v>
      </c>
    </row>
    <row r="254" spans="7:7" x14ac:dyDescent="0.2">
      <c r="G254" s="483" t="str">
        <f t="shared" ca="1" si="5"/>
        <v>1.0</v>
      </c>
    </row>
    <row r="255" spans="7:7" x14ac:dyDescent="0.2">
      <c r="G255" s="483" t="str">
        <f t="shared" ca="1" si="5"/>
        <v>1.0</v>
      </c>
    </row>
    <row r="256" spans="7:7" x14ac:dyDescent="0.2">
      <c r="G256" s="483" t="str">
        <f t="shared" ca="1" si="5"/>
        <v>1.0</v>
      </c>
    </row>
    <row r="257" spans="7:7" x14ac:dyDescent="0.2">
      <c r="G257" s="483" t="str">
        <f t="shared" ca="1" si="5"/>
        <v>1.0</v>
      </c>
    </row>
    <row r="258" spans="7:7" x14ac:dyDescent="0.2">
      <c r="G258" s="483" t="str">
        <f t="shared" ca="1" si="5"/>
        <v>1.0</v>
      </c>
    </row>
    <row r="259" spans="7:7" x14ac:dyDescent="0.2">
      <c r="G259" s="483" t="str">
        <f t="shared" ca="1" si="5"/>
        <v>1.0</v>
      </c>
    </row>
    <row r="260" spans="7:7" x14ac:dyDescent="0.2">
      <c r="G260" s="483" t="str">
        <f t="shared" ca="1" si="5"/>
        <v>1.0</v>
      </c>
    </row>
    <row r="261" spans="7:7" x14ac:dyDescent="0.2">
      <c r="G261" s="483" t="str">
        <f t="shared" ca="1" si="5"/>
        <v>1.0</v>
      </c>
    </row>
    <row r="262" spans="7:7" x14ac:dyDescent="0.2">
      <c r="G262" s="483" t="str">
        <f t="shared" ca="1" si="5"/>
        <v>1.0</v>
      </c>
    </row>
    <row r="263" spans="7:7" x14ac:dyDescent="0.2">
      <c r="G263" s="483" t="str">
        <f t="shared" ca="1" si="5"/>
        <v>1.0</v>
      </c>
    </row>
    <row r="264" spans="7:7" x14ac:dyDescent="0.2">
      <c r="G264" s="483" t="str">
        <f t="shared" ca="1" si="5"/>
        <v>1.0</v>
      </c>
    </row>
    <row r="265" spans="7:7" x14ac:dyDescent="0.2">
      <c r="G265" s="483" t="str">
        <f t="shared" ref="G265:G328" ca="1" si="6">IF(ISBLANK(C265),OFFSET(G265,-1,0),IF(ISERR(FIND("/",C265,1)),C265,OFFSET(G265,-1,0)))</f>
        <v>1.0</v>
      </c>
    </row>
    <row r="266" spans="7:7" x14ac:dyDescent="0.2">
      <c r="G266" s="483" t="str">
        <f t="shared" ca="1" si="6"/>
        <v>1.0</v>
      </c>
    </row>
    <row r="267" spans="7:7" x14ac:dyDescent="0.2">
      <c r="G267" s="483" t="str">
        <f t="shared" ca="1" si="6"/>
        <v>1.0</v>
      </c>
    </row>
    <row r="268" spans="7:7" x14ac:dyDescent="0.2">
      <c r="G268" s="483" t="str">
        <f t="shared" ca="1" si="6"/>
        <v>1.0</v>
      </c>
    </row>
    <row r="269" spans="7:7" x14ac:dyDescent="0.2">
      <c r="G269" s="483" t="str">
        <f t="shared" ca="1" si="6"/>
        <v>1.0</v>
      </c>
    </row>
    <row r="270" spans="7:7" x14ac:dyDescent="0.2">
      <c r="G270" s="483" t="str">
        <f t="shared" ca="1" si="6"/>
        <v>1.0</v>
      </c>
    </row>
    <row r="271" spans="7:7" x14ac:dyDescent="0.2">
      <c r="G271" s="483" t="str">
        <f t="shared" ca="1" si="6"/>
        <v>1.0</v>
      </c>
    </row>
    <row r="272" spans="7:7" x14ac:dyDescent="0.2">
      <c r="G272" s="483" t="str">
        <f t="shared" ca="1" si="6"/>
        <v>1.0</v>
      </c>
    </row>
    <row r="273" spans="7:7" x14ac:dyDescent="0.2">
      <c r="G273" s="483" t="str">
        <f t="shared" ca="1" si="6"/>
        <v>1.0</v>
      </c>
    </row>
    <row r="274" spans="7:7" x14ac:dyDescent="0.2">
      <c r="G274" s="483" t="str">
        <f t="shared" ca="1" si="6"/>
        <v>1.0</v>
      </c>
    </row>
    <row r="275" spans="7:7" x14ac:dyDescent="0.2">
      <c r="G275" s="483" t="str">
        <f t="shared" ca="1" si="6"/>
        <v>1.0</v>
      </c>
    </row>
    <row r="276" spans="7:7" x14ac:dyDescent="0.2">
      <c r="G276" s="483" t="str">
        <f t="shared" ca="1" si="6"/>
        <v>1.0</v>
      </c>
    </row>
    <row r="277" spans="7:7" x14ac:dyDescent="0.2">
      <c r="G277" s="483" t="str">
        <f t="shared" ca="1" si="6"/>
        <v>1.0</v>
      </c>
    </row>
    <row r="278" spans="7:7" x14ac:dyDescent="0.2">
      <c r="G278" s="483" t="str">
        <f t="shared" ca="1" si="6"/>
        <v>1.0</v>
      </c>
    </row>
    <row r="279" spans="7:7" x14ac:dyDescent="0.2">
      <c r="G279" s="483" t="str">
        <f t="shared" ca="1" si="6"/>
        <v>1.0</v>
      </c>
    </row>
    <row r="280" spans="7:7" x14ac:dyDescent="0.2">
      <c r="G280" s="483" t="str">
        <f t="shared" ca="1" si="6"/>
        <v>1.0</v>
      </c>
    </row>
    <row r="281" spans="7:7" x14ac:dyDescent="0.2">
      <c r="G281" s="483" t="str">
        <f t="shared" ca="1" si="6"/>
        <v>1.0</v>
      </c>
    </row>
    <row r="282" spans="7:7" x14ac:dyDescent="0.2">
      <c r="G282" s="483" t="str">
        <f t="shared" ca="1" si="6"/>
        <v>1.0</v>
      </c>
    </row>
    <row r="283" spans="7:7" x14ac:dyDescent="0.2">
      <c r="G283" s="483" t="str">
        <f t="shared" ca="1" si="6"/>
        <v>1.0</v>
      </c>
    </row>
    <row r="284" spans="7:7" x14ac:dyDescent="0.2">
      <c r="G284" s="483" t="str">
        <f t="shared" ca="1" si="6"/>
        <v>1.0</v>
      </c>
    </row>
    <row r="285" spans="7:7" x14ac:dyDescent="0.2">
      <c r="G285" s="483" t="str">
        <f t="shared" ca="1" si="6"/>
        <v>1.0</v>
      </c>
    </row>
    <row r="286" spans="7:7" x14ac:dyDescent="0.2">
      <c r="G286" s="483" t="str">
        <f t="shared" ca="1" si="6"/>
        <v>1.0</v>
      </c>
    </row>
    <row r="287" spans="7:7" x14ac:dyDescent="0.2">
      <c r="G287" s="483" t="str">
        <f t="shared" ca="1" si="6"/>
        <v>1.0</v>
      </c>
    </row>
    <row r="288" spans="7:7" x14ac:dyDescent="0.2">
      <c r="G288" s="483" t="str">
        <f t="shared" ca="1" si="6"/>
        <v>1.0</v>
      </c>
    </row>
    <row r="289" spans="7:7" x14ac:dyDescent="0.2">
      <c r="G289" s="483" t="str">
        <f t="shared" ca="1" si="6"/>
        <v>1.0</v>
      </c>
    </row>
    <row r="290" spans="7:7" x14ac:dyDescent="0.2">
      <c r="G290" s="483" t="str">
        <f t="shared" ca="1" si="6"/>
        <v>1.0</v>
      </c>
    </row>
    <row r="291" spans="7:7" x14ac:dyDescent="0.2">
      <c r="G291" s="483" t="str">
        <f t="shared" ca="1" si="6"/>
        <v>1.0</v>
      </c>
    </row>
    <row r="292" spans="7:7" x14ac:dyDescent="0.2">
      <c r="G292" s="483" t="str">
        <f t="shared" ca="1" si="6"/>
        <v>1.0</v>
      </c>
    </row>
    <row r="293" spans="7:7" x14ac:dyDescent="0.2">
      <c r="G293" s="483" t="str">
        <f t="shared" ca="1" si="6"/>
        <v>1.0</v>
      </c>
    </row>
    <row r="294" spans="7:7" x14ac:dyDescent="0.2">
      <c r="G294" s="483" t="str">
        <f t="shared" ca="1" si="6"/>
        <v>1.0</v>
      </c>
    </row>
    <row r="295" spans="7:7" x14ac:dyDescent="0.2">
      <c r="G295" s="483" t="str">
        <f t="shared" ca="1" si="6"/>
        <v>1.0</v>
      </c>
    </row>
    <row r="296" spans="7:7" x14ac:dyDescent="0.2">
      <c r="G296" s="483" t="str">
        <f t="shared" ca="1" si="6"/>
        <v>1.0</v>
      </c>
    </row>
    <row r="297" spans="7:7" x14ac:dyDescent="0.2">
      <c r="G297" s="483" t="str">
        <f t="shared" ca="1" si="6"/>
        <v>1.0</v>
      </c>
    </row>
    <row r="298" spans="7:7" x14ac:dyDescent="0.2">
      <c r="G298" s="483" t="str">
        <f t="shared" ca="1" si="6"/>
        <v>1.0</v>
      </c>
    </row>
    <row r="299" spans="7:7" x14ac:dyDescent="0.2">
      <c r="G299" s="483" t="str">
        <f t="shared" ca="1" si="6"/>
        <v>1.0</v>
      </c>
    </row>
    <row r="300" spans="7:7" x14ac:dyDescent="0.2">
      <c r="G300" s="483" t="str">
        <f t="shared" ca="1" si="6"/>
        <v>1.0</v>
      </c>
    </row>
    <row r="301" spans="7:7" x14ac:dyDescent="0.2">
      <c r="G301" s="483" t="str">
        <f t="shared" ca="1" si="6"/>
        <v>1.0</v>
      </c>
    </row>
    <row r="302" spans="7:7" x14ac:dyDescent="0.2">
      <c r="G302" s="483" t="str">
        <f t="shared" ca="1" si="6"/>
        <v>1.0</v>
      </c>
    </row>
    <row r="303" spans="7:7" x14ac:dyDescent="0.2">
      <c r="G303" s="483" t="str">
        <f t="shared" ca="1" si="6"/>
        <v>1.0</v>
      </c>
    </row>
    <row r="304" spans="7:7" x14ac:dyDescent="0.2">
      <c r="G304" s="483" t="str">
        <f t="shared" ca="1" si="6"/>
        <v>1.0</v>
      </c>
    </row>
    <row r="305" spans="7:7" x14ac:dyDescent="0.2">
      <c r="G305" s="483" t="str">
        <f t="shared" ca="1" si="6"/>
        <v>1.0</v>
      </c>
    </row>
    <row r="306" spans="7:7" x14ac:dyDescent="0.2">
      <c r="G306" s="483" t="str">
        <f t="shared" ca="1" si="6"/>
        <v>1.0</v>
      </c>
    </row>
    <row r="307" spans="7:7" x14ac:dyDescent="0.2">
      <c r="G307" s="483" t="str">
        <f t="shared" ca="1" si="6"/>
        <v>1.0</v>
      </c>
    </row>
    <row r="308" spans="7:7" x14ac:dyDescent="0.2">
      <c r="G308" s="483" t="str">
        <f t="shared" ca="1" si="6"/>
        <v>1.0</v>
      </c>
    </row>
    <row r="309" spans="7:7" x14ac:dyDescent="0.2">
      <c r="G309" s="483" t="str">
        <f t="shared" ca="1" si="6"/>
        <v>1.0</v>
      </c>
    </row>
    <row r="310" spans="7:7" x14ac:dyDescent="0.2">
      <c r="G310" s="483" t="str">
        <f t="shared" ca="1" si="6"/>
        <v>1.0</v>
      </c>
    </row>
    <row r="311" spans="7:7" x14ac:dyDescent="0.2">
      <c r="G311" s="483" t="str">
        <f t="shared" ca="1" si="6"/>
        <v>1.0</v>
      </c>
    </row>
    <row r="312" spans="7:7" x14ac:dyDescent="0.2">
      <c r="G312" s="483" t="str">
        <f t="shared" ca="1" si="6"/>
        <v>1.0</v>
      </c>
    </row>
    <row r="313" spans="7:7" x14ac:dyDescent="0.2">
      <c r="G313" s="483" t="str">
        <f t="shared" ca="1" si="6"/>
        <v>1.0</v>
      </c>
    </row>
    <row r="314" spans="7:7" x14ac:dyDescent="0.2">
      <c r="G314" s="483" t="str">
        <f t="shared" ca="1" si="6"/>
        <v>1.0</v>
      </c>
    </row>
    <row r="315" spans="7:7" x14ac:dyDescent="0.2">
      <c r="G315" s="483" t="str">
        <f t="shared" ca="1" si="6"/>
        <v>1.0</v>
      </c>
    </row>
    <row r="316" spans="7:7" x14ac:dyDescent="0.2">
      <c r="G316" s="483" t="str">
        <f t="shared" ca="1" si="6"/>
        <v>1.0</v>
      </c>
    </row>
    <row r="317" spans="7:7" x14ac:dyDescent="0.2">
      <c r="G317" s="483" t="str">
        <f t="shared" ca="1" si="6"/>
        <v>1.0</v>
      </c>
    </row>
    <row r="318" spans="7:7" x14ac:dyDescent="0.2">
      <c r="G318" s="483" t="str">
        <f t="shared" ca="1" si="6"/>
        <v>1.0</v>
      </c>
    </row>
    <row r="319" spans="7:7" x14ac:dyDescent="0.2">
      <c r="G319" s="483" t="str">
        <f t="shared" ca="1" si="6"/>
        <v>1.0</v>
      </c>
    </row>
    <row r="320" spans="7:7" x14ac:dyDescent="0.2">
      <c r="G320" s="483" t="str">
        <f t="shared" ca="1" si="6"/>
        <v>1.0</v>
      </c>
    </row>
    <row r="321" spans="7:7" x14ac:dyDescent="0.2">
      <c r="G321" s="483" t="str">
        <f t="shared" ca="1" si="6"/>
        <v>1.0</v>
      </c>
    </row>
    <row r="322" spans="7:7" x14ac:dyDescent="0.2">
      <c r="G322" s="483" t="str">
        <f t="shared" ca="1" si="6"/>
        <v>1.0</v>
      </c>
    </row>
    <row r="323" spans="7:7" x14ac:dyDescent="0.2">
      <c r="G323" s="483" t="str">
        <f t="shared" ca="1" si="6"/>
        <v>1.0</v>
      </c>
    </row>
    <row r="324" spans="7:7" x14ac:dyDescent="0.2">
      <c r="G324" s="483" t="str">
        <f t="shared" ca="1" si="6"/>
        <v>1.0</v>
      </c>
    </row>
    <row r="325" spans="7:7" x14ac:dyDescent="0.2">
      <c r="G325" s="483" t="str">
        <f t="shared" ca="1" si="6"/>
        <v>1.0</v>
      </c>
    </row>
    <row r="326" spans="7:7" x14ac:dyDescent="0.2">
      <c r="G326" s="483" t="str">
        <f t="shared" ca="1" si="6"/>
        <v>1.0</v>
      </c>
    </row>
    <row r="327" spans="7:7" x14ac:dyDescent="0.2">
      <c r="G327" s="483" t="str">
        <f t="shared" ca="1" si="6"/>
        <v>1.0</v>
      </c>
    </row>
    <row r="328" spans="7:7" x14ac:dyDescent="0.2">
      <c r="G328" s="483" t="str">
        <f t="shared" ca="1" si="6"/>
        <v>1.0</v>
      </c>
    </row>
    <row r="329" spans="7:7" x14ac:dyDescent="0.2">
      <c r="G329" s="483" t="str">
        <f t="shared" ref="G329:G392" ca="1" si="7">IF(ISBLANK(C329),OFFSET(G329,-1,0),IF(ISERR(FIND("/",C329,1)),C329,OFFSET(G329,-1,0)))</f>
        <v>1.0</v>
      </c>
    </row>
    <row r="330" spans="7:7" x14ac:dyDescent="0.2">
      <c r="G330" s="483" t="str">
        <f t="shared" ca="1" si="7"/>
        <v>1.0</v>
      </c>
    </row>
    <row r="331" spans="7:7" x14ac:dyDescent="0.2">
      <c r="G331" s="483" t="str">
        <f t="shared" ca="1" si="7"/>
        <v>1.0</v>
      </c>
    </row>
    <row r="332" spans="7:7" x14ac:dyDescent="0.2">
      <c r="G332" s="483" t="str">
        <f t="shared" ca="1" si="7"/>
        <v>1.0</v>
      </c>
    </row>
    <row r="333" spans="7:7" x14ac:dyDescent="0.2">
      <c r="G333" s="483" t="str">
        <f t="shared" ca="1" si="7"/>
        <v>1.0</v>
      </c>
    </row>
    <row r="334" spans="7:7" x14ac:dyDescent="0.2">
      <c r="G334" s="483" t="str">
        <f t="shared" ca="1" si="7"/>
        <v>1.0</v>
      </c>
    </row>
    <row r="335" spans="7:7" x14ac:dyDescent="0.2">
      <c r="G335" s="483" t="str">
        <f t="shared" ca="1" si="7"/>
        <v>1.0</v>
      </c>
    </row>
    <row r="336" spans="7:7" x14ac:dyDescent="0.2">
      <c r="G336" s="483" t="str">
        <f t="shared" ca="1" si="7"/>
        <v>1.0</v>
      </c>
    </row>
    <row r="337" spans="7:7" x14ac:dyDescent="0.2">
      <c r="G337" s="483" t="str">
        <f t="shared" ca="1" si="7"/>
        <v>1.0</v>
      </c>
    </row>
    <row r="338" spans="7:7" x14ac:dyDescent="0.2">
      <c r="G338" s="483" t="str">
        <f t="shared" ca="1" si="7"/>
        <v>1.0</v>
      </c>
    </row>
    <row r="339" spans="7:7" x14ac:dyDescent="0.2">
      <c r="G339" s="483" t="str">
        <f t="shared" ca="1" si="7"/>
        <v>1.0</v>
      </c>
    </row>
    <row r="340" spans="7:7" x14ac:dyDescent="0.2">
      <c r="G340" s="483" t="str">
        <f t="shared" ca="1" si="7"/>
        <v>1.0</v>
      </c>
    </row>
    <row r="341" spans="7:7" x14ac:dyDescent="0.2">
      <c r="G341" s="483" t="str">
        <f t="shared" ca="1" si="7"/>
        <v>1.0</v>
      </c>
    </row>
    <row r="342" spans="7:7" x14ac:dyDescent="0.2">
      <c r="G342" s="483" t="str">
        <f t="shared" ca="1" si="7"/>
        <v>1.0</v>
      </c>
    </row>
    <row r="343" spans="7:7" x14ac:dyDescent="0.2">
      <c r="G343" s="483" t="str">
        <f t="shared" ca="1" si="7"/>
        <v>1.0</v>
      </c>
    </row>
    <row r="344" spans="7:7" x14ac:dyDescent="0.2">
      <c r="G344" s="483" t="str">
        <f t="shared" ca="1" si="7"/>
        <v>1.0</v>
      </c>
    </row>
    <row r="345" spans="7:7" x14ac:dyDescent="0.2">
      <c r="G345" s="483" t="str">
        <f t="shared" ca="1" si="7"/>
        <v>1.0</v>
      </c>
    </row>
    <row r="346" spans="7:7" x14ac:dyDescent="0.2">
      <c r="G346" s="483" t="str">
        <f t="shared" ca="1" si="7"/>
        <v>1.0</v>
      </c>
    </row>
    <row r="347" spans="7:7" x14ac:dyDescent="0.2">
      <c r="G347" s="483" t="str">
        <f t="shared" ca="1" si="7"/>
        <v>1.0</v>
      </c>
    </row>
    <row r="348" spans="7:7" x14ac:dyDescent="0.2">
      <c r="G348" s="483" t="str">
        <f t="shared" ca="1" si="7"/>
        <v>1.0</v>
      </c>
    </row>
    <row r="349" spans="7:7" x14ac:dyDescent="0.2">
      <c r="G349" s="483" t="str">
        <f t="shared" ca="1" si="7"/>
        <v>1.0</v>
      </c>
    </row>
    <row r="350" spans="7:7" x14ac:dyDescent="0.2">
      <c r="G350" s="483" t="str">
        <f t="shared" ca="1" si="7"/>
        <v>1.0</v>
      </c>
    </row>
    <row r="351" spans="7:7" x14ac:dyDescent="0.2">
      <c r="G351" s="483" t="str">
        <f t="shared" ca="1" si="7"/>
        <v>1.0</v>
      </c>
    </row>
    <row r="352" spans="7:7" x14ac:dyDescent="0.2">
      <c r="G352" s="483" t="str">
        <f t="shared" ca="1" si="7"/>
        <v>1.0</v>
      </c>
    </row>
    <row r="353" spans="7:7" x14ac:dyDescent="0.2">
      <c r="G353" s="483" t="str">
        <f t="shared" ca="1" si="7"/>
        <v>1.0</v>
      </c>
    </row>
    <row r="354" spans="7:7" x14ac:dyDescent="0.2">
      <c r="G354" s="483" t="str">
        <f t="shared" ca="1" si="7"/>
        <v>1.0</v>
      </c>
    </row>
    <row r="355" spans="7:7" x14ac:dyDescent="0.2">
      <c r="G355" s="483" t="str">
        <f t="shared" ca="1" si="7"/>
        <v>1.0</v>
      </c>
    </row>
    <row r="356" spans="7:7" x14ac:dyDescent="0.2">
      <c r="G356" s="483" t="str">
        <f t="shared" ca="1" si="7"/>
        <v>1.0</v>
      </c>
    </row>
    <row r="357" spans="7:7" x14ac:dyDescent="0.2">
      <c r="G357" s="483" t="str">
        <f t="shared" ca="1" si="7"/>
        <v>1.0</v>
      </c>
    </row>
    <row r="358" spans="7:7" x14ac:dyDescent="0.2">
      <c r="G358" s="483" t="str">
        <f t="shared" ca="1" si="7"/>
        <v>1.0</v>
      </c>
    </row>
    <row r="359" spans="7:7" x14ac:dyDescent="0.2">
      <c r="G359" s="483" t="str">
        <f t="shared" ca="1" si="7"/>
        <v>1.0</v>
      </c>
    </row>
    <row r="360" spans="7:7" x14ac:dyDescent="0.2">
      <c r="G360" s="483" t="str">
        <f t="shared" ca="1" si="7"/>
        <v>1.0</v>
      </c>
    </row>
    <row r="361" spans="7:7" x14ac:dyDescent="0.2">
      <c r="G361" s="483" t="str">
        <f t="shared" ca="1" si="7"/>
        <v>1.0</v>
      </c>
    </row>
    <row r="362" spans="7:7" x14ac:dyDescent="0.2">
      <c r="G362" s="483" t="str">
        <f t="shared" ca="1" si="7"/>
        <v>1.0</v>
      </c>
    </row>
    <row r="363" spans="7:7" x14ac:dyDescent="0.2">
      <c r="G363" s="483" t="str">
        <f t="shared" ca="1" si="7"/>
        <v>1.0</v>
      </c>
    </row>
    <row r="364" spans="7:7" x14ac:dyDescent="0.2">
      <c r="G364" s="483" t="str">
        <f t="shared" ca="1" si="7"/>
        <v>1.0</v>
      </c>
    </row>
    <row r="365" spans="7:7" x14ac:dyDescent="0.2">
      <c r="G365" s="483" t="str">
        <f t="shared" ca="1" si="7"/>
        <v>1.0</v>
      </c>
    </row>
    <row r="366" spans="7:7" x14ac:dyDescent="0.2">
      <c r="G366" s="483" t="str">
        <f t="shared" ca="1" si="7"/>
        <v>1.0</v>
      </c>
    </row>
    <row r="367" spans="7:7" x14ac:dyDescent="0.2">
      <c r="G367" s="483" t="str">
        <f t="shared" ca="1" si="7"/>
        <v>1.0</v>
      </c>
    </row>
    <row r="368" spans="7:7" x14ac:dyDescent="0.2">
      <c r="G368" s="483" t="str">
        <f t="shared" ca="1" si="7"/>
        <v>1.0</v>
      </c>
    </row>
    <row r="369" spans="7:7" x14ac:dyDescent="0.2">
      <c r="G369" s="483" t="str">
        <f t="shared" ca="1" si="7"/>
        <v>1.0</v>
      </c>
    </row>
    <row r="370" spans="7:7" x14ac:dyDescent="0.2">
      <c r="G370" s="483" t="str">
        <f t="shared" ca="1" si="7"/>
        <v>1.0</v>
      </c>
    </row>
    <row r="371" spans="7:7" x14ac:dyDescent="0.2">
      <c r="G371" s="483" t="str">
        <f t="shared" ca="1" si="7"/>
        <v>1.0</v>
      </c>
    </row>
    <row r="372" spans="7:7" x14ac:dyDescent="0.2">
      <c r="G372" s="483" t="str">
        <f t="shared" ca="1" si="7"/>
        <v>1.0</v>
      </c>
    </row>
    <row r="373" spans="7:7" x14ac:dyDescent="0.2">
      <c r="G373" s="483" t="str">
        <f t="shared" ca="1" si="7"/>
        <v>1.0</v>
      </c>
    </row>
    <row r="374" spans="7:7" x14ac:dyDescent="0.2">
      <c r="G374" s="483" t="str">
        <f t="shared" ca="1" si="7"/>
        <v>1.0</v>
      </c>
    </row>
    <row r="375" spans="7:7" x14ac:dyDescent="0.2">
      <c r="G375" s="483" t="str">
        <f t="shared" ca="1" si="7"/>
        <v>1.0</v>
      </c>
    </row>
    <row r="376" spans="7:7" x14ac:dyDescent="0.2">
      <c r="G376" s="483" t="str">
        <f t="shared" ca="1" si="7"/>
        <v>1.0</v>
      </c>
    </row>
    <row r="377" spans="7:7" x14ac:dyDescent="0.2">
      <c r="G377" s="483" t="str">
        <f t="shared" ca="1" si="7"/>
        <v>1.0</v>
      </c>
    </row>
    <row r="378" spans="7:7" x14ac:dyDescent="0.2">
      <c r="G378" s="483" t="str">
        <f t="shared" ca="1" si="7"/>
        <v>1.0</v>
      </c>
    </row>
    <row r="379" spans="7:7" x14ac:dyDescent="0.2">
      <c r="G379" s="483" t="str">
        <f t="shared" ca="1" si="7"/>
        <v>1.0</v>
      </c>
    </row>
    <row r="380" spans="7:7" x14ac:dyDescent="0.2">
      <c r="G380" s="483" t="str">
        <f t="shared" ca="1" si="7"/>
        <v>1.0</v>
      </c>
    </row>
    <row r="381" spans="7:7" x14ac:dyDescent="0.2">
      <c r="G381" s="483" t="str">
        <f t="shared" ca="1" si="7"/>
        <v>1.0</v>
      </c>
    </row>
    <row r="382" spans="7:7" x14ac:dyDescent="0.2">
      <c r="G382" s="483" t="str">
        <f t="shared" ca="1" si="7"/>
        <v>1.0</v>
      </c>
    </row>
    <row r="383" spans="7:7" x14ac:dyDescent="0.2">
      <c r="G383" s="483" t="str">
        <f t="shared" ca="1" si="7"/>
        <v>1.0</v>
      </c>
    </row>
    <row r="384" spans="7:7" x14ac:dyDescent="0.2">
      <c r="G384" s="483" t="str">
        <f t="shared" ca="1" si="7"/>
        <v>1.0</v>
      </c>
    </row>
    <row r="385" spans="7:7" x14ac:dyDescent="0.2">
      <c r="G385" s="483" t="str">
        <f t="shared" ca="1" si="7"/>
        <v>1.0</v>
      </c>
    </row>
    <row r="386" spans="7:7" x14ac:dyDescent="0.2">
      <c r="G386" s="483" t="str">
        <f t="shared" ca="1" si="7"/>
        <v>1.0</v>
      </c>
    </row>
    <row r="387" spans="7:7" x14ac:dyDescent="0.2">
      <c r="G387" s="483" t="str">
        <f t="shared" ca="1" si="7"/>
        <v>1.0</v>
      </c>
    </row>
    <row r="388" spans="7:7" x14ac:dyDescent="0.2">
      <c r="G388" s="483" t="str">
        <f t="shared" ca="1" si="7"/>
        <v>1.0</v>
      </c>
    </row>
    <row r="389" spans="7:7" x14ac:dyDescent="0.2">
      <c r="G389" s="483" t="str">
        <f t="shared" ca="1" si="7"/>
        <v>1.0</v>
      </c>
    </row>
    <row r="390" spans="7:7" x14ac:dyDescent="0.2">
      <c r="G390" s="483" t="str">
        <f t="shared" ca="1" si="7"/>
        <v>1.0</v>
      </c>
    </row>
    <row r="391" spans="7:7" x14ac:dyDescent="0.2">
      <c r="G391" s="483" t="str">
        <f t="shared" ca="1" si="7"/>
        <v>1.0</v>
      </c>
    </row>
    <row r="392" spans="7:7" x14ac:dyDescent="0.2">
      <c r="G392" s="483" t="str">
        <f t="shared" ca="1" si="7"/>
        <v>1.0</v>
      </c>
    </row>
    <row r="393" spans="7:7" x14ac:dyDescent="0.2">
      <c r="G393" s="483" t="str">
        <f t="shared" ref="G393:G456" ca="1" si="8">IF(ISBLANK(C393),OFFSET(G393,-1,0),IF(ISERR(FIND("/",C393,1)),C393,OFFSET(G393,-1,0)))</f>
        <v>1.0</v>
      </c>
    </row>
    <row r="394" spans="7:7" x14ac:dyDescent="0.2">
      <c r="G394" s="483" t="str">
        <f t="shared" ca="1" si="8"/>
        <v>1.0</v>
      </c>
    </row>
    <row r="395" spans="7:7" x14ac:dyDescent="0.2">
      <c r="G395" s="483" t="str">
        <f t="shared" ca="1" si="8"/>
        <v>1.0</v>
      </c>
    </row>
    <row r="396" spans="7:7" x14ac:dyDescent="0.2">
      <c r="G396" s="483" t="str">
        <f t="shared" ca="1" si="8"/>
        <v>1.0</v>
      </c>
    </row>
    <row r="397" spans="7:7" x14ac:dyDescent="0.2">
      <c r="G397" s="483" t="str">
        <f t="shared" ca="1" si="8"/>
        <v>1.0</v>
      </c>
    </row>
    <row r="398" spans="7:7" x14ac:dyDescent="0.2">
      <c r="G398" s="483" t="str">
        <f t="shared" ca="1" si="8"/>
        <v>1.0</v>
      </c>
    </row>
    <row r="399" spans="7:7" x14ac:dyDescent="0.2">
      <c r="G399" s="483" t="str">
        <f t="shared" ca="1" si="8"/>
        <v>1.0</v>
      </c>
    </row>
    <row r="400" spans="7:7" x14ac:dyDescent="0.2">
      <c r="G400" s="483" t="str">
        <f t="shared" ca="1" si="8"/>
        <v>1.0</v>
      </c>
    </row>
    <row r="401" spans="7:7" x14ac:dyDescent="0.2">
      <c r="G401" s="483" t="str">
        <f t="shared" ca="1" si="8"/>
        <v>1.0</v>
      </c>
    </row>
    <row r="402" spans="7:7" x14ac:dyDescent="0.2">
      <c r="G402" s="483" t="str">
        <f t="shared" ca="1" si="8"/>
        <v>1.0</v>
      </c>
    </row>
    <row r="403" spans="7:7" x14ac:dyDescent="0.2">
      <c r="G403" s="483" t="str">
        <f t="shared" ca="1" si="8"/>
        <v>1.0</v>
      </c>
    </row>
    <row r="404" spans="7:7" x14ac:dyDescent="0.2">
      <c r="G404" s="483" t="str">
        <f t="shared" ca="1" si="8"/>
        <v>1.0</v>
      </c>
    </row>
    <row r="405" spans="7:7" x14ac:dyDescent="0.2">
      <c r="G405" s="483" t="str">
        <f t="shared" ca="1" si="8"/>
        <v>1.0</v>
      </c>
    </row>
    <row r="406" spans="7:7" x14ac:dyDescent="0.2">
      <c r="G406" s="483" t="str">
        <f t="shared" ca="1" si="8"/>
        <v>1.0</v>
      </c>
    </row>
    <row r="407" spans="7:7" x14ac:dyDescent="0.2">
      <c r="G407" s="483" t="str">
        <f t="shared" ca="1" si="8"/>
        <v>1.0</v>
      </c>
    </row>
    <row r="408" spans="7:7" x14ac:dyDescent="0.2">
      <c r="G408" s="483" t="str">
        <f t="shared" ca="1" si="8"/>
        <v>1.0</v>
      </c>
    </row>
    <row r="409" spans="7:7" x14ac:dyDescent="0.2">
      <c r="G409" s="483" t="str">
        <f t="shared" ca="1" si="8"/>
        <v>1.0</v>
      </c>
    </row>
    <row r="410" spans="7:7" x14ac:dyDescent="0.2">
      <c r="G410" s="483" t="str">
        <f t="shared" ca="1" si="8"/>
        <v>1.0</v>
      </c>
    </row>
    <row r="411" spans="7:7" x14ac:dyDescent="0.2">
      <c r="G411" s="483" t="str">
        <f t="shared" ca="1" si="8"/>
        <v>1.0</v>
      </c>
    </row>
    <row r="412" spans="7:7" x14ac:dyDescent="0.2">
      <c r="G412" s="483" t="str">
        <f t="shared" ca="1" si="8"/>
        <v>1.0</v>
      </c>
    </row>
    <row r="413" spans="7:7" x14ac:dyDescent="0.2">
      <c r="G413" s="483" t="str">
        <f t="shared" ca="1" si="8"/>
        <v>1.0</v>
      </c>
    </row>
    <row r="414" spans="7:7" x14ac:dyDescent="0.2">
      <c r="G414" s="483" t="str">
        <f t="shared" ca="1" si="8"/>
        <v>1.0</v>
      </c>
    </row>
    <row r="415" spans="7:7" x14ac:dyDescent="0.2">
      <c r="G415" s="483" t="str">
        <f t="shared" ca="1" si="8"/>
        <v>1.0</v>
      </c>
    </row>
    <row r="416" spans="7:7" x14ac:dyDescent="0.2">
      <c r="G416" s="483" t="str">
        <f t="shared" ca="1" si="8"/>
        <v>1.0</v>
      </c>
    </row>
    <row r="417" spans="7:7" x14ac:dyDescent="0.2">
      <c r="G417" s="483" t="str">
        <f t="shared" ca="1" si="8"/>
        <v>1.0</v>
      </c>
    </row>
    <row r="418" spans="7:7" x14ac:dyDescent="0.2">
      <c r="G418" s="483" t="str">
        <f t="shared" ca="1" si="8"/>
        <v>1.0</v>
      </c>
    </row>
    <row r="419" spans="7:7" x14ac:dyDescent="0.2">
      <c r="G419" s="483" t="str">
        <f t="shared" ca="1" si="8"/>
        <v>1.0</v>
      </c>
    </row>
    <row r="420" spans="7:7" x14ac:dyDescent="0.2">
      <c r="G420" s="483" t="str">
        <f t="shared" ca="1" si="8"/>
        <v>1.0</v>
      </c>
    </row>
    <row r="421" spans="7:7" x14ac:dyDescent="0.2">
      <c r="G421" s="483" t="str">
        <f t="shared" ca="1" si="8"/>
        <v>1.0</v>
      </c>
    </row>
    <row r="422" spans="7:7" x14ac:dyDescent="0.2">
      <c r="G422" s="483" t="str">
        <f t="shared" ca="1" si="8"/>
        <v>1.0</v>
      </c>
    </row>
    <row r="423" spans="7:7" x14ac:dyDescent="0.2">
      <c r="G423" s="483" t="str">
        <f t="shared" ca="1" si="8"/>
        <v>1.0</v>
      </c>
    </row>
    <row r="424" spans="7:7" x14ac:dyDescent="0.2">
      <c r="G424" s="483" t="str">
        <f t="shared" ca="1" si="8"/>
        <v>1.0</v>
      </c>
    </row>
    <row r="425" spans="7:7" x14ac:dyDescent="0.2">
      <c r="G425" s="483" t="str">
        <f t="shared" ca="1" si="8"/>
        <v>1.0</v>
      </c>
    </row>
    <row r="426" spans="7:7" x14ac:dyDescent="0.2">
      <c r="G426" s="483" t="str">
        <f t="shared" ca="1" si="8"/>
        <v>1.0</v>
      </c>
    </row>
    <row r="427" spans="7:7" x14ac:dyDescent="0.2">
      <c r="G427" s="483" t="str">
        <f t="shared" ca="1" si="8"/>
        <v>1.0</v>
      </c>
    </row>
    <row r="428" spans="7:7" x14ac:dyDescent="0.2">
      <c r="G428" s="483" t="str">
        <f t="shared" ca="1" si="8"/>
        <v>1.0</v>
      </c>
    </row>
    <row r="429" spans="7:7" x14ac:dyDescent="0.2">
      <c r="G429" s="483" t="str">
        <f t="shared" ca="1" si="8"/>
        <v>1.0</v>
      </c>
    </row>
    <row r="430" spans="7:7" x14ac:dyDescent="0.2">
      <c r="G430" s="483" t="str">
        <f t="shared" ca="1" si="8"/>
        <v>1.0</v>
      </c>
    </row>
    <row r="431" spans="7:7" x14ac:dyDescent="0.2">
      <c r="G431" s="483" t="str">
        <f t="shared" ca="1" si="8"/>
        <v>1.0</v>
      </c>
    </row>
    <row r="432" spans="7:7" x14ac:dyDescent="0.2">
      <c r="G432" s="483" t="str">
        <f t="shared" ca="1" si="8"/>
        <v>1.0</v>
      </c>
    </row>
    <row r="433" spans="7:7" x14ac:dyDescent="0.2">
      <c r="G433" s="483" t="str">
        <f t="shared" ca="1" si="8"/>
        <v>1.0</v>
      </c>
    </row>
    <row r="434" spans="7:7" x14ac:dyDescent="0.2">
      <c r="G434" s="483" t="str">
        <f t="shared" ca="1" si="8"/>
        <v>1.0</v>
      </c>
    </row>
    <row r="435" spans="7:7" x14ac:dyDescent="0.2">
      <c r="G435" s="483" t="str">
        <f t="shared" ca="1" si="8"/>
        <v>1.0</v>
      </c>
    </row>
    <row r="436" spans="7:7" x14ac:dyDescent="0.2">
      <c r="G436" s="483" t="str">
        <f t="shared" ca="1" si="8"/>
        <v>1.0</v>
      </c>
    </row>
    <row r="437" spans="7:7" x14ac:dyDescent="0.2">
      <c r="G437" s="483" t="str">
        <f t="shared" ca="1" si="8"/>
        <v>1.0</v>
      </c>
    </row>
    <row r="438" spans="7:7" x14ac:dyDescent="0.2">
      <c r="G438" s="483" t="str">
        <f t="shared" ca="1" si="8"/>
        <v>1.0</v>
      </c>
    </row>
    <row r="439" spans="7:7" x14ac:dyDescent="0.2">
      <c r="G439" s="483" t="str">
        <f t="shared" ca="1" si="8"/>
        <v>1.0</v>
      </c>
    </row>
    <row r="440" spans="7:7" x14ac:dyDescent="0.2">
      <c r="G440" s="483" t="str">
        <f t="shared" ca="1" si="8"/>
        <v>1.0</v>
      </c>
    </row>
    <row r="441" spans="7:7" x14ac:dyDescent="0.2">
      <c r="G441" s="483" t="str">
        <f t="shared" ca="1" si="8"/>
        <v>1.0</v>
      </c>
    </row>
    <row r="442" spans="7:7" x14ac:dyDescent="0.2">
      <c r="G442" s="483" t="str">
        <f t="shared" ca="1" si="8"/>
        <v>1.0</v>
      </c>
    </row>
    <row r="443" spans="7:7" x14ac:dyDescent="0.2">
      <c r="G443" s="483" t="str">
        <f t="shared" ca="1" si="8"/>
        <v>1.0</v>
      </c>
    </row>
    <row r="444" spans="7:7" x14ac:dyDescent="0.2">
      <c r="G444" s="483" t="str">
        <f t="shared" ca="1" si="8"/>
        <v>1.0</v>
      </c>
    </row>
    <row r="445" spans="7:7" x14ac:dyDescent="0.2">
      <c r="G445" s="483" t="str">
        <f t="shared" ca="1" si="8"/>
        <v>1.0</v>
      </c>
    </row>
    <row r="446" spans="7:7" x14ac:dyDescent="0.2">
      <c r="G446" s="483" t="str">
        <f t="shared" ca="1" si="8"/>
        <v>1.0</v>
      </c>
    </row>
    <row r="447" spans="7:7" x14ac:dyDescent="0.2">
      <c r="G447" s="483" t="str">
        <f t="shared" ca="1" si="8"/>
        <v>1.0</v>
      </c>
    </row>
    <row r="448" spans="7:7" x14ac:dyDescent="0.2">
      <c r="G448" s="483" t="str">
        <f t="shared" ca="1" si="8"/>
        <v>1.0</v>
      </c>
    </row>
    <row r="449" spans="7:7" x14ac:dyDescent="0.2">
      <c r="G449" s="483" t="str">
        <f t="shared" ca="1" si="8"/>
        <v>1.0</v>
      </c>
    </row>
    <row r="450" spans="7:7" x14ac:dyDescent="0.2">
      <c r="G450" s="483" t="str">
        <f t="shared" ca="1" si="8"/>
        <v>1.0</v>
      </c>
    </row>
    <row r="451" spans="7:7" x14ac:dyDescent="0.2">
      <c r="G451" s="483" t="str">
        <f t="shared" ca="1" si="8"/>
        <v>1.0</v>
      </c>
    </row>
    <row r="452" spans="7:7" x14ac:dyDescent="0.2">
      <c r="G452" s="483" t="str">
        <f t="shared" ca="1" si="8"/>
        <v>1.0</v>
      </c>
    </row>
    <row r="453" spans="7:7" x14ac:dyDescent="0.2">
      <c r="G453" s="483" t="str">
        <f t="shared" ca="1" si="8"/>
        <v>1.0</v>
      </c>
    </row>
    <row r="454" spans="7:7" x14ac:dyDescent="0.2">
      <c r="G454" s="483" t="str">
        <f t="shared" ca="1" si="8"/>
        <v>1.0</v>
      </c>
    </row>
    <row r="455" spans="7:7" x14ac:dyDescent="0.2">
      <c r="G455" s="483" t="str">
        <f t="shared" ca="1" si="8"/>
        <v>1.0</v>
      </c>
    </row>
    <row r="456" spans="7:7" x14ac:dyDescent="0.2">
      <c r="G456" s="483" t="str">
        <f t="shared" ca="1" si="8"/>
        <v>1.0</v>
      </c>
    </row>
    <row r="457" spans="7:7" x14ac:dyDescent="0.2">
      <c r="G457" s="483" t="str">
        <f t="shared" ref="G457:G520" ca="1" si="9">IF(ISBLANK(C457),OFFSET(G457,-1,0),IF(ISERR(FIND("/",C457,1)),C457,OFFSET(G457,-1,0)))</f>
        <v>1.0</v>
      </c>
    </row>
    <row r="458" spans="7:7" x14ac:dyDescent="0.2">
      <c r="G458" s="483" t="str">
        <f t="shared" ca="1" si="9"/>
        <v>1.0</v>
      </c>
    </row>
    <row r="459" spans="7:7" x14ac:dyDescent="0.2">
      <c r="G459" s="483" t="str">
        <f t="shared" ca="1" si="9"/>
        <v>1.0</v>
      </c>
    </row>
    <row r="460" spans="7:7" x14ac:dyDescent="0.2">
      <c r="G460" s="483" t="str">
        <f t="shared" ca="1" si="9"/>
        <v>1.0</v>
      </c>
    </row>
    <row r="461" spans="7:7" x14ac:dyDescent="0.2">
      <c r="G461" s="483" t="str">
        <f t="shared" ca="1" si="9"/>
        <v>1.0</v>
      </c>
    </row>
    <row r="462" spans="7:7" x14ac:dyDescent="0.2">
      <c r="G462" s="483" t="str">
        <f t="shared" ca="1" si="9"/>
        <v>1.0</v>
      </c>
    </row>
    <row r="463" spans="7:7" x14ac:dyDescent="0.2">
      <c r="G463" s="483" t="str">
        <f t="shared" ca="1" si="9"/>
        <v>1.0</v>
      </c>
    </row>
    <row r="464" spans="7:7" x14ac:dyDescent="0.2">
      <c r="G464" s="483" t="str">
        <f t="shared" ca="1" si="9"/>
        <v>1.0</v>
      </c>
    </row>
    <row r="465" spans="7:7" x14ac:dyDescent="0.2">
      <c r="G465" s="483" t="str">
        <f t="shared" ca="1" si="9"/>
        <v>1.0</v>
      </c>
    </row>
    <row r="466" spans="7:7" x14ac:dyDescent="0.2">
      <c r="G466" s="483" t="str">
        <f t="shared" ca="1" si="9"/>
        <v>1.0</v>
      </c>
    </row>
    <row r="467" spans="7:7" x14ac:dyDescent="0.2">
      <c r="G467" s="483" t="str">
        <f t="shared" ca="1" si="9"/>
        <v>1.0</v>
      </c>
    </row>
    <row r="468" spans="7:7" x14ac:dyDescent="0.2">
      <c r="G468" s="483" t="str">
        <f t="shared" ca="1" si="9"/>
        <v>1.0</v>
      </c>
    </row>
    <row r="469" spans="7:7" x14ac:dyDescent="0.2">
      <c r="G469" s="483" t="str">
        <f t="shared" ca="1" si="9"/>
        <v>1.0</v>
      </c>
    </row>
    <row r="470" spans="7:7" x14ac:dyDescent="0.2">
      <c r="G470" s="483" t="str">
        <f t="shared" ca="1" si="9"/>
        <v>1.0</v>
      </c>
    </row>
    <row r="471" spans="7:7" x14ac:dyDescent="0.2">
      <c r="G471" s="483" t="str">
        <f t="shared" ca="1" si="9"/>
        <v>1.0</v>
      </c>
    </row>
    <row r="472" spans="7:7" x14ac:dyDescent="0.2">
      <c r="G472" s="483" t="str">
        <f t="shared" ca="1" si="9"/>
        <v>1.0</v>
      </c>
    </row>
    <row r="473" spans="7:7" x14ac:dyDescent="0.2">
      <c r="G473" s="483" t="str">
        <f t="shared" ca="1" si="9"/>
        <v>1.0</v>
      </c>
    </row>
    <row r="474" spans="7:7" x14ac:dyDescent="0.2">
      <c r="G474" s="483" t="str">
        <f t="shared" ca="1" si="9"/>
        <v>1.0</v>
      </c>
    </row>
    <row r="475" spans="7:7" x14ac:dyDescent="0.2">
      <c r="G475" s="483" t="str">
        <f t="shared" ca="1" si="9"/>
        <v>1.0</v>
      </c>
    </row>
    <row r="476" spans="7:7" x14ac:dyDescent="0.2">
      <c r="G476" s="483" t="str">
        <f t="shared" ca="1" si="9"/>
        <v>1.0</v>
      </c>
    </row>
    <row r="477" spans="7:7" x14ac:dyDescent="0.2">
      <c r="G477" s="483" t="str">
        <f t="shared" ca="1" si="9"/>
        <v>1.0</v>
      </c>
    </row>
    <row r="478" spans="7:7" x14ac:dyDescent="0.2">
      <c r="G478" s="483" t="str">
        <f t="shared" ca="1" si="9"/>
        <v>1.0</v>
      </c>
    </row>
    <row r="479" spans="7:7" x14ac:dyDescent="0.2">
      <c r="G479" s="483" t="str">
        <f t="shared" ca="1" si="9"/>
        <v>1.0</v>
      </c>
    </row>
    <row r="480" spans="7:7" x14ac:dyDescent="0.2">
      <c r="G480" s="483" t="str">
        <f t="shared" ca="1" si="9"/>
        <v>1.0</v>
      </c>
    </row>
    <row r="481" spans="7:7" x14ac:dyDescent="0.2">
      <c r="G481" s="483" t="str">
        <f t="shared" ca="1" si="9"/>
        <v>1.0</v>
      </c>
    </row>
    <row r="482" spans="7:7" x14ac:dyDescent="0.2">
      <c r="G482" s="483" t="str">
        <f t="shared" ca="1" si="9"/>
        <v>1.0</v>
      </c>
    </row>
    <row r="483" spans="7:7" x14ac:dyDescent="0.2">
      <c r="G483" s="483" t="str">
        <f t="shared" ca="1" si="9"/>
        <v>1.0</v>
      </c>
    </row>
    <row r="484" spans="7:7" x14ac:dyDescent="0.2">
      <c r="G484" s="483" t="str">
        <f t="shared" ca="1" si="9"/>
        <v>1.0</v>
      </c>
    </row>
    <row r="485" spans="7:7" x14ac:dyDescent="0.2">
      <c r="G485" s="483" t="str">
        <f t="shared" ca="1" si="9"/>
        <v>1.0</v>
      </c>
    </row>
    <row r="486" spans="7:7" x14ac:dyDescent="0.2">
      <c r="G486" s="483" t="str">
        <f t="shared" ca="1" si="9"/>
        <v>1.0</v>
      </c>
    </row>
    <row r="487" spans="7:7" x14ac:dyDescent="0.2">
      <c r="G487" s="483" t="str">
        <f t="shared" ca="1" si="9"/>
        <v>1.0</v>
      </c>
    </row>
    <row r="488" spans="7:7" x14ac:dyDescent="0.2">
      <c r="G488" s="483" t="str">
        <f t="shared" ca="1" si="9"/>
        <v>1.0</v>
      </c>
    </row>
    <row r="489" spans="7:7" x14ac:dyDescent="0.2">
      <c r="G489" s="483" t="str">
        <f t="shared" ca="1" si="9"/>
        <v>1.0</v>
      </c>
    </row>
    <row r="490" spans="7:7" x14ac:dyDescent="0.2">
      <c r="G490" s="483" t="str">
        <f t="shared" ca="1" si="9"/>
        <v>1.0</v>
      </c>
    </row>
    <row r="491" spans="7:7" x14ac:dyDescent="0.2">
      <c r="G491" s="483" t="str">
        <f t="shared" ca="1" si="9"/>
        <v>1.0</v>
      </c>
    </row>
    <row r="492" spans="7:7" x14ac:dyDescent="0.2">
      <c r="G492" s="483" t="str">
        <f t="shared" ca="1" si="9"/>
        <v>1.0</v>
      </c>
    </row>
    <row r="493" spans="7:7" x14ac:dyDescent="0.2">
      <c r="G493" s="483" t="str">
        <f t="shared" ca="1" si="9"/>
        <v>1.0</v>
      </c>
    </row>
    <row r="494" spans="7:7" x14ac:dyDescent="0.2">
      <c r="G494" s="483" t="str">
        <f t="shared" ca="1" si="9"/>
        <v>1.0</v>
      </c>
    </row>
    <row r="495" spans="7:7" x14ac:dyDescent="0.2">
      <c r="G495" s="483" t="str">
        <f t="shared" ca="1" si="9"/>
        <v>1.0</v>
      </c>
    </row>
    <row r="496" spans="7:7" x14ac:dyDescent="0.2">
      <c r="G496" s="483" t="str">
        <f t="shared" ca="1" si="9"/>
        <v>1.0</v>
      </c>
    </row>
    <row r="497" spans="7:7" x14ac:dyDescent="0.2">
      <c r="G497" s="483" t="str">
        <f t="shared" ca="1" si="9"/>
        <v>1.0</v>
      </c>
    </row>
    <row r="498" spans="7:7" x14ac:dyDescent="0.2">
      <c r="G498" s="483" t="str">
        <f t="shared" ca="1" si="9"/>
        <v>1.0</v>
      </c>
    </row>
    <row r="499" spans="7:7" x14ac:dyDescent="0.2">
      <c r="G499" s="483" t="str">
        <f t="shared" ca="1" si="9"/>
        <v>1.0</v>
      </c>
    </row>
    <row r="500" spans="7:7" x14ac:dyDescent="0.2">
      <c r="G500" s="483" t="str">
        <f t="shared" ca="1" si="9"/>
        <v>1.0</v>
      </c>
    </row>
    <row r="501" spans="7:7" x14ac:dyDescent="0.2">
      <c r="G501" s="483" t="str">
        <f t="shared" ca="1" si="9"/>
        <v>1.0</v>
      </c>
    </row>
    <row r="502" spans="7:7" x14ac:dyDescent="0.2">
      <c r="G502" s="483" t="str">
        <f t="shared" ca="1" si="9"/>
        <v>1.0</v>
      </c>
    </row>
    <row r="503" spans="7:7" x14ac:dyDescent="0.2">
      <c r="G503" s="483" t="str">
        <f t="shared" ca="1" si="9"/>
        <v>1.0</v>
      </c>
    </row>
    <row r="504" spans="7:7" x14ac:dyDescent="0.2">
      <c r="G504" s="483" t="str">
        <f t="shared" ca="1" si="9"/>
        <v>1.0</v>
      </c>
    </row>
    <row r="505" spans="7:7" x14ac:dyDescent="0.2">
      <c r="G505" s="483" t="str">
        <f t="shared" ca="1" si="9"/>
        <v>1.0</v>
      </c>
    </row>
    <row r="506" spans="7:7" x14ac:dyDescent="0.2">
      <c r="G506" s="483" t="str">
        <f t="shared" ca="1" si="9"/>
        <v>1.0</v>
      </c>
    </row>
    <row r="507" spans="7:7" x14ac:dyDescent="0.2">
      <c r="G507" s="483" t="str">
        <f t="shared" ca="1" si="9"/>
        <v>1.0</v>
      </c>
    </row>
    <row r="508" spans="7:7" x14ac:dyDescent="0.2">
      <c r="G508" s="483" t="str">
        <f t="shared" ca="1" si="9"/>
        <v>1.0</v>
      </c>
    </row>
    <row r="509" spans="7:7" x14ac:dyDescent="0.2">
      <c r="G509" s="483" t="str">
        <f t="shared" ca="1" si="9"/>
        <v>1.0</v>
      </c>
    </row>
    <row r="510" spans="7:7" x14ac:dyDescent="0.2">
      <c r="G510" s="483" t="str">
        <f t="shared" ca="1" si="9"/>
        <v>1.0</v>
      </c>
    </row>
    <row r="511" spans="7:7" x14ac:dyDescent="0.2">
      <c r="G511" s="483" t="str">
        <f t="shared" ca="1" si="9"/>
        <v>1.0</v>
      </c>
    </row>
    <row r="512" spans="7:7" x14ac:dyDescent="0.2">
      <c r="G512" s="483" t="str">
        <f t="shared" ca="1" si="9"/>
        <v>1.0</v>
      </c>
    </row>
    <row r="513" spans="7:7" x14ac:dyDescent="0.2">
      <c r="G513" s="483" t="str">
        <f t="shared" ca="1" si="9"/>
        <v>1.0</v>
      </c>
    </row>
    <row r="514" spans="7:7" x14ac:dyDescent="0.2">
      <c r="G514" s="483" t="str">
        <f t="shared" ca="1" si="9"/>
        <v>1.0</v>
      </c>
    </row>
    <row r="515" spans="7:7" x14ac:dyDescent="0.2">
      <c r="G515" s="483" t="str">
        <f t="shared" ca="1" si="9"/>
        <v>1.0</v>
      </c>
    </row>
    <row r="516" spans="7:7" x14ac:dyDescent="0.2">
      <c r="G516" s="483" t="str">
        <f t="shared" ca="1" si="9"/>
        <v>1.0</v>
      </c>
    </row>
    <row r="517" spans="7:7" x14ac:dyDescent="0.2">
      <c r="G517" s="483" t="str">
        <f t="shared" ca="1" si="9"/>
        <v>1.0</v>
      </c>
    </row>
    <row r="518" spans="7:7" x14ac:dyDescent="0.2">
      <c r="G518" s="483" t="str">
        <f t="shared" ca="1" si="9"/>
        <v>1.0</v>
      </c>
    </row>
    <row r="519" spans="7:7" x14ac:dyDescent="0.2">
      <c r="G519" s="483" t="str">
        <f t="shared" ca="1" si="9"/>
        <v>1.0</v>
      </c>
    </row>
    <row r="520" spans="7:7" x14ac:dyDescent="0.2">
      <c r="G520" s="483" t="str">
        <f t="shared" ca="1" si="9"/>
        <v>1.0</v>
      </c>
    </row>
    <row r="521" spans="7:7" x14ac:dyDescent="0.2">
      <c r="G521" s="483" t="str">
        <f t="shared" ref="G521:G584" ca="1" si="10">IF(ISBLANK(C521),OFFSET(G521,-1,0),IF(ISERR(FIND("/",C521,1)),C521,OFFSET(G521,-1,0)))</f>
        <v>1.0</v>
      </c>
    </row>
    <row r="522" spans="7:7" x14ac:dyDescent="0.2">
      <c r="G522" s="483" t="str">
        <f t="shared" ca="1" si="10"/>
        <v>1.0</v>
      </c>
    </row>
    <row r="523" spans="7:7" x14ac:dyDescent="0.2">
      <c r="G523" s="483" t="str">
        <f t="shared" ca="1" si="10"/>
        <v>1.0</v>
      </c>
    </row>
    <row r="524" spans="7:7" x14ac:dyDescent="0.2">
      <c r="G524" s="483" t="str">
        <f t="shared" ca="1" si="10"/>
        <v>1.0</v>
      </c>
    </row>
    <row r="525" spans="7:7" x14ac:dyDescent="0.2">
      <c r="G525" s="483" t="str">
        <f t="shared" ca="1" si="10"/>
        <v>1.0</v>
      </c>
    </row>
    <row r="526" spans="7:7" x14ac:dyDescent="0.2">
      <c r="G526" s="483" t="str">
        <f t="shared" ca="1" si="10"/>
        <v>1.0</v>
      </c>
    </row>
    <row r="527" spans="7:7" x14ac:dyDescent="0.2">
      <c r="G527" s="483" t="str">
        <f t="shared" ca="1" si="10"/>
        <v>1.0</v>
      </c>
    </row>
    <row r="528" spans="7:7" x14ac:dyDescent="0.2">
      <c r="G528" s="483" t="str">
        <f t="shared" ca="1" si="10"/>
        <v>1.0</v>
      </c>
    </row>
    <row r="529" spans="7:7" x14ac:dyDescent="0.2">
      <c r="G529" s="483" t="str">
        <f t="shared" ca="1" si="10"/>
        <v>1.0</v>
      </c>
    </row>
    <row r="530" spans="7:7" x14ac:dyDescent="0.2">
      <c r="G530" s="483" t="str">
        <f t="shared" ca="1" si="10"/>
        <v>1.0</v>
      </c>
    </row>
    <row r="531" spans="7:7" x14ac:dyDescent="0.2">
      <c r="G531" s="483" t="str">
        <f t="shared" ca="1" si="10"/>
        <v>1.0</v>
      </c>
    </row>
    <row r="532" spans="7:7" x14ac:dyDescent="0.2">
      <c r="G532" s="483" t="str">
        <f t="shared" ca="1" si="10"/>
        <v>1.0</v>
      </c>
    </row>
    <row r="533" spans="7:7" x14ac:dyDescent="0.2">
      <c r="G533" s="483" t="str">
        <f t="shared" ca="1" si="10"/>
        <v>1.0</v>
      </c>
    </row>
    <row r="534" spans="7:7" x14ac:dyDescent="0.2">
      <c r="G534" s="483" t="str">
        <f t="shared" ca="1" si="10"/>
        <v>1.0</v>
      </c>
    </row>
    <row r="535" spans="7:7" x14ac:dyDescent="0.2">
      <c r="G535" s="483" t="str">
        <f t="shared" ca="1" si="10"/>
        <v>1.0</v>
      </c>
    </row>
    <row r="536" spans="7:7" x14ac:dyDescent="0.2">
      <c r="G536" s="483" t="str">
        <f t="shared" ca="1" si="10"/>
        <v>1.0</v>
      </c>
    </row>
    <row r="537" spans="7:7" x14ac:dyDescent="0.2">
      <c r="G537" s="483" t="str">
        <f t="shared" ca="1" si="10"/>
        <v>1.0</v>
      </c>
    </row>
    <row r="538" spans="7:7" x14ac:dyDescent="0.2">
      <c r="G538" s="483" t="str">
        <f t="shared" ca="1" si="10"/>
        <v>1.0</v>
      </c>
    </row>
    <row r="539" spans="7:7" x14ac:dyDescent="0.2">
      <c r="G539" s="483" t="str">
        <f t="shared" ca="1" si="10"/>
        <v>1.0</v>
      </c>
    </row>
    <row r="540" spans="7:7" x14ac:dyDescent="0.2">
      <c r="G540" s="483" t="str">
        <f t="shared" ca="1" si="10"/>
        <v>1.0</v>
      </c>
    </row>
    <row r="541" spans="7:7" x14ac:dyDescent="0.2">
      <c r="G541" s="483" t="str">
        <f t="shared" ca="1" si="10"/>
        <v>1.0</v>
      </c>
    </row>
    <row r="542" spans="7:7" x14ac:dyDescent="0.2">
      <c r="G542" s="483" t="str">
        <f t="shared" ca="1" si="10"/>
        <v>1.0</v>
      </c>
    </row>
    <row r="543" spans="7:7" x14ac:dyDescent="0.2">
      <c r="G543" s="483" t="str">
        <f t="shared" ca="1" si="10"/>
        <v>1.0</v>
      </c>
    </row>
    <row r="544" spans="7:7" x14ac:dyDescent="0.2">
      <c r="G544" s="483" t="str">
        <f t="shared" ca="1" si="10"/>
        <v>1.0</v>
      </c>
    </row>
    <row r="545" spans="7:7" x14ac:dyDescent="0.2">
      <c r="G545" s="483" t="str">
        <f t="shared" ca="1" si="10"/>
        <v>1.0</v>
      </c>
    </row>
    <row r="546" spans="7:7" x14ac:dyDescent="0.2">
      <c r="G546" s="483" t="str">
        <f t="shared" ca="1" si="10"/>
        <v>1.0</v>
      </c>
    </row>
    <row r="547" spans="7:7" x14ac:dyDescent="0.2">
      <c r="G547" s="483" t="str">
        <f t="shared" ca="1" si="10"/>
        <v>1.0</v>
      </c>
    </row>
    <row r="548" spans="7:7" x14ac:dyDescent="0.2">
      <c r="G548" s="483" t="str">
        <f t="shared" ca="1" si="10"/>
        <v>1.0</v>
      </c>
    </row>
    <row r="549" spans="7:7" x14ac:dyDescent="0.2">
      <c r="G549" s="483" t="str">
        <f t="shared" ca="1" si="10"/>
        <v>1.0</v>
      </c>
    </row>
    <row r="550" spans="7:7" x14ac:dyDescent="0.2">
      <c r="G550" s="483" t="str">
        <f t="shared" ca="1" si="10"/>
        <v>1.0</v>
      </c>
    </row>
    <row r="551" spans="7:7" x14ac:dyDescent="0.2">
      <c r="G551" s="483" t="str">
        <f t="shared" ca="1" si="10"/>
        <v>1.0</v>
      </c>
    </row>
    <row r="552" spans="7:7" x14ac:dyDescent="0.2">
      <c r="G552" s="483" t="str">
        <f t="shared" ca="1" si="10"/>
        <v>1.0</v>
      </c>
    </row>
    <row r="553" spans="7:7" x14ac:dyDescent="0.2">
      <c r="G553" s="483" t="str">
        <f t="shared" ca="1" si="10"/>
        <v>1.0</v>
      </c>
    </row>
    <row r="554" spans="7:7" x14ac:dyDescent="0.2">
      <c r="G554" s="483" t="str">
        <f t="shared" ca="1" si="10"/>
        <v>1.0</v>
      </c>
    </row>
    <row r="555" spans="7:7" x14ac:dyDescent="0.2">
      <c r="G555" s="483" t="str">
        <f t="shared" ca="1" si="10"/>
        <v>1.0</v>
      </c>
    </row>
    <row r="556" spans="7:7" x14ac:dyDescent="0.2">
      <c r="G556" s="483" t="str">
        <f t="shared" ca="1" si="10"/>
        <v>1.0</v>
      </c>
    </row>
    <row r="557" spans="7:7" x14ac:dyDescent="0.2">
      <c r="G557" s="483" t="str">
        <f t="shared" ca="1" si="10"/>
        <v>1.0</v>
      </c>
    </row>
    <row r="558" spans="7:7" x14ac:dyDescent="0.2">
      <c r="G558" s="483" t="str">
        <f t="shared" ca="1" si="10"/>
        <v>1.0</v>
      </c>
    </row>
    <row r="559" spans="7:7" x14ac:dyDescent="0.2">
      <c r="G559" s="483" t="str">
        <f t="shared" ca="1" si="10"/>
        <v>1.0</v>
      </c>
    </row>
    <row r="560" spans="7:7" x14ac:dyDescent="0.2">
      <c r="G560" s="483" t="str">
        <f t="shared" ca="1" si="10"/>
        <v>1.0</v>
      </c>
    </row>
    <row r="561" spans="7:7" x14ac:dyDescent="0.2">
      <c r="G561" s="483" t="str">
        <f t="shared" ca="1" si="10"/>
        <v>1.0</v>
      </c>
    </row>
    <row r="562" spans="7:7" x14ac:dyDescent="0.2">
      <c r="G562" s="483" t="str">
        <f t="shared" ca="1" si="10"/>
        <v>1.0</v>
      </c>
    </row>
    <row r="563" spans="7:7" x14ac:dyDescent="0.2">
      <c r="G563" s="483" t="str">
        <f t="shared" ca="1" si="10"/>
        <v>1.0</v>
      </c>
    </row>
    <row r="564" spans="7:7" x14ac:dyDescent="0.2">
      <c r="G564" s="483" t="str">
        <f t="shared" ca="1" si="10"/>
        <v>1.0</v>
      </c>
    </row>
    <row r="565" spans="7:7" x14ac:dyDescent="0.2">
      <c r="G565" s="483" t="str">
        <f t="shared" ca="1" si="10"/>
        <v>1.0</v>
      </c>
    </row>
    <row r="566" spans="7:7" x14ac:dyDescent="0.2">
      <c r="G566" s="483" t="str">
        <f t="shared" ca="1" si="10"/>
        <v>1.0</v>
      </c>
    </row>
    <row r="567" spans="7:7" x14ac:dyDescent="0.2">
      <c r="G567" s="483" t="str">
        <f t="shared" ca="1" si="10"/>
        <v>1.0</v>
      </c>
    </row>
    <row r="568" spans="7:7" x14ac:dyDescent="0.2">
      <c r="G568" s="483" t="str">
        <f t="shared" ca="1" si="10"/>
        <v>1.0</v>
      </c>
    </row>
    <row r="569" spans="7:7" x14ac:dyDescent="0.2">
      <c r="G569" s="483" t="str">
        <f t="shared" ca="1" si="10"/>
        <v>1.0</v>
      </c>
    </row>
    <row r="570" spans="7:7" x14ac:dyDescent="0.2">
      <c r="G570" s="483" t="str">
        <f t="shared" ca="1" si="10"/>
        <v>1.0</v>
      </c>
    </row>
    <row r="571" spans="7:7" x14ac:dyDescent="0.2">
      <c r="G571" s="483" t="str">
        <f t="shared" ca="1" si="10"/>
        <v>1.0</v>
      </c>
    </row>
    <row r="572" spans="7:7" x14ac:dyDescent="0.2">
      <c r="G572" s="483" t="str">
        <f t="shared" ca="1" si="10"/>
        <v>1.0</v>
      </c>
    </row>
    <row r="573" spans="7:7" x14ac:dyDescent="0.2">
      <c r="G573" s="483" t="str">
        <f t="shared" ca="1" si="10"/>
        <v>1.0</v>
      </c>
    </row>
    <row r="574" spans="7:7" x14ac:dyDescent="0.2">
      <c r="G574" s="483" t="str">
        <f t="shared" ca="1" si="10"/>
        <v>1.0</v>
      </c>
    </row>
    <row r="575" spans="7:7" x14ac:dyDescent="0.2">
      <c r="G575" s="483" t="str">
        <f t="shared" ca="1" si="10"/>
        <v>1.0</v>
      </c>
    </row>
    <row r="576" spans="7:7" x14ac:dyDescent="0.2">
      <c r="G576" s="483" t="str">
        <f t="shared" ca="1" si="10"/>
        <v>1.0</v>
      </c>
    </row>
    <row r="577" spans="7:7" x14ac:dyDescent="0.2">
      <c r="G577" s="483" t="str">
        <f t="shared" ca="1" si="10"/>
        <v>1.0</v>
      </c>
    </row>
    <row r="578" spans="7:7" x14ac:dyDescent="0.2">
      <c r="G578" s="483" t="str">
        <f t="shared" ca="1" si="10"/>
        <v>1.0</v>
      </c>
    </row>
    <row r="579" spans="7:7" x14ac:dyDescent="0.2">
      <c r="G579" s="483" t="str">
        <f t="shared" ca="1" si="10"/>
        <v>1.0</v>
      </c>
    </row>
    <row r="580" spans="7:7" x14ac:dyDescent="0.2">
      <c r="G580" s="483" t="str">
        <f t="shared" ca="1" si="10"/>
        <v>1.0</v>
      </c>
    </row>
    <row r="581" spans="7:7" x14ac:dyDescent="0.2">
      <c r="G581" s="483" t="str">
        <f t="shared" ca="1" si="10"/>
        <v>1.0</v>
      </c>
    </row>
    <row r="582" spans="7:7" x14ac:dyDescent="0.2">
      <c r="G582" s="483" t="str">
        <f t="shared" ca="1" si="10"/>
        <v>1.0</v>
      </c>
    </row>
    <row r="583" spans="7:7" x14ac:dyDescent="0.2">
      <c r="G583" s="483" t="str">
        <f t="shared" ca="1" si="10"/>
        <v>1.0</v>
      </c>
    </row>
    <row r="584" spans="7:7" x14ac:dyDescent="0.2">
      <c r="G584" s="483" t="str">
        <f t="shared" ca="1" si="10"/>
        <v>1.0</v>
      </c>
    </row>
    <row r="585" spans="7:7" x14ac:dyDescent="0.2">
      <c r="G585" s="483" t="str">
        <f t="shared" ref="G585:G615" ca="1" si="11">IF(ISBLANK(C585),OFFSET(G585,-1,0),IF(ISERR(FIND("/",C585,1)),C585,OFFSET(G585,-1,0)))</f>
        <v>1.0</v>
      </c>
    </row>
    <row r="586" spans="7:7" x14ac:dyDescent="0.2">
      <c r="G586" s="483" t="str">
        <f t="shared" ca="1" si="11"/>
        <v>1.0</v>
      </c>
    </row>
    <row r="587" spans="7:7" x14ac:dyDescent="0.2">
      <c r="G587" s="483" t="str">
        <f t="shared" ca="1" si="11"/>
        <v>1.0</v>
      </c>
    </row>
    <row r="588" spans="7:7" x14ac:dyDescent="0.2">
      <c r="G588" s="483" t="str">
        <f t="shared" ca="1" si="11"/>
        <v>1.0</v>
      </c>
    </row>
    <row r="589" spans="7:7" x14ac:dyDescent="0.2">
      <c r="G589" s="483" t="str">
        <f t="shared" ca="1" si="11"/>
        <v>1.0</v>
      </c>
    </row>
    <row r="590" spans="7:7" x14ac:dyDescent="0.2">
      <c r="G590" s="483" t="str">
        <f t="shared" ca="1" si="11"/>
        <v>1.0</v>
      </c>
    </row>
    <row r="591" spans="7:7" x14ac:dyDescent="0.2">
      <c r="G591" s="483" t="str">
        <f t="shared" ca="1" si="11"/>
        <v>1.0</v>
      </c>
    </row>
    <row r="592" spans="7:7" x14ac:dyDescent="0.2">
      <c r="G592" s="483" t="str">
        <f t="shared" ca="1" si="11"/>
        <v>1.0</v>
      </c>
    </row>
    <row r="593" spans="7:7" x14ac:dyDescent="0.2">
      <c r="G593" s="483" t="str">
        <f t="shared" ca="1" si="11"/>
        <v>1.0</v>
      </c>
    </row>
    <row r="594" spans="7:7" x14ac:dyDescent="0.2">
      <c r="G594" s="483" t="str">
        <f t="shared" ca="1" si="11"/>
        <v>1.0</v>
      </c>
    </row>
    <row r="595" spans="7:7" x14ac:dyDescent="0.2">
      <c r="G595" s="483" t="str">
        <f t="shared" ca="1" si="11"/>
        <v>1.0</v>
      </c>
    </row>
    <row r="596" spans="7:7" x14ac:dyDescent="0.2">
      <c r="G596" s="483" t="str">
        <f t="shared" ca="1" si="11"/>
        <v>1.0</v>
      </c>
    </row>
    <row r="597" spans="7:7" x14ac:dyDescent="0.2">
      <c r="G597" s="483" t="str">
        <f t="shared" ca="1" si="11"/>
        <v>1.0</v>
      </c>
    </row>
    <row r="598" spans="7:7" x14ac:dyDescent="0.2">
      <c r="G598" s="483" t="str">
        <f t="shared" ca="1" si="11"/>
        <v>1.0</v>
      </c>
    </row>
    <row r="599" spans="7:7" x14ac:dyDescent="0.2">
      <c r="G599" s="483" t="str">
        <f t="shared" ca="1" si="11"/>
        <v>1.0</v>
      </c>
    </row>
    <row r="600" spans="7:7" x14ac:dyDescent="0.2">
      <c r="G600" s="483" t="str">
        <f t="shared" ca="1" si="11"/>
        <v>1.0</v>
      </c>
    </row>
    <row r="601" spans="7:7" x14ac:dyDescent="0.2">
      <c r="G601" s="483" t="str">
        <f t="shared" ca="1" si="11"/>
        <v>1.0</v>
      </c>
    </row>
    <row r="602" spans="7:7" x14ac:dyDescent="0.2">
      <c r="G602" s="483" t="str">
        <f t="shared" ca="1" si="11"/>
        <v>1.0</v>
      </c>
    </row>
    <row r="603" spans="7:7" x14ac:dyDescent="0.2">
      <c r="G603" s="483" t="str">
        <f t="shared" ca="1" si="11"/>
        <v>1.0</v>
      </c>
    </row>
    <row r="604" spans="7:7" x14ac:dyDescent="0.2">
      <c r="G604" s="483" t="str">
        <f t="shared" ca="1" si="11"/>
        <v>1.0</v>
      </c>
    </row>
    <row r="605" spans="7:7" x14ac:dyDescent="0.2">
      <c r="G605" s="483" t="str">
        <f t="shared" ca="1" si="11"/>
        <v>1.0</v>
      </c>
    </row>
    <row r="606" spans="7:7" x14ac:dyDescent="0.2">
      <c r="G606" s="483" t="str">
        <f t="shared" ca="1" si="11"/>
        <v>1.0</v>
      </c>
    </row>
    <row r="607" spans="7:7" x14ac:dyDescent="0.2">
      <c r="G607" s="483" t="str">
        <f t="shared" ca="1" si="11"/>
        <v>1.0</v>
      </c>
    </row>
    <row r="608" spans="7:7" x14ac:dyDescent="0.2">
      <c r="G608" s="483" t="str">
        <f t="shared" ca="1" si="11"/>
        <v>1.0</v>
      </c>
    </row>
    <row r="609" spans="7:7" x14ac:dyDescent="0.2">
      <c r="G609" s="483" t="str">
        <f t="shared" ca="1" si="11"/>
        <v>1.0</v>
      </c>
    </row>
    <row r="610" spans="7:7" x14ac:dyDescent="0.2">
      <c r="G610" s="483" t="str">
        <f t="shared" ca="1" si="11"/>
        <v>1.0</v>
      </c>
    </row>
    <row r="611" spans="7:7" x14ac:dyDescent="0.2">
      <c r="G611" s="483" t="str">
        <f t="shared" ca="1" si="11"/>
        <v>1.0</v>
      </c>
    </row>
    <row r="612" spans="7:7" x14ac:dyDescent="0.2">
      <c r="G612" s="483" t="str">
        <f t="shared" ca="1" si="11"/>
        <v>1.0</v>
      </c>
    </row>
    <row r="613" spans="7:7" x14ac:dyDescent="0.2">
      <c r="G613" s="483" t="str">
        <f t="shared" ca="1" si="11"/>
        <v>1.0</v>
      </c>
    </row>
    <row r="614" spans="7:7" x14ac:dyDescent="0.2">
      <c r="G614" s="483" t="str">
        <f t="shared" ca="1" si="11"/>
        <v>1.0</v>
      </c>
    </row>
    <row r="615" spans="7:7" x14ac:dyDescent="0.2">
      <c r="G615" s="483" t="str">
        <f t="shared" ca="1" si="11"/>
        <v>1.0</v>
      </c>
    </row>
  </sheetData>
  <sheetProtection selectLockedCells="1" selectUnlockedCells="1"/>
  <mergeCells count="8">
    <mergeCell ref="F15:F17"/>
    <mergeCell ref="H15:H17"/>
    <mergeCell ref="D2:H4"/>
    <mergeCell ref="C5:H5"/>
    <mergeCell ref="C7:F7"/>
    <mergeCell ref="F12:F14"/>
    <mergeCell ref="H12:H14"/>
    <mergeCell ref="E13:E14"/>
  </mergeCells>
  <pageMargins left="0.75" right="0.75" top="1" bottom="1" header="0.5" footer="0.5"/>
  <pageSetup scale="76" fitToHeight="0"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25</vt:i4>
      </vt:variant>
    </vt:vector>
  </HeadingPairs>
  <TitlesOfParts>
    <vt:vector size="39" baseType="lpstr">
      <vt:lpstr>General</vt:lpstr>
      <vt:lpstr>HMB</vt:lpstr>
      <vt:lpstr>SKETCH</vt:lpstr>
      <vt:lpstr>Furnace Volume</vt:lpstr>
      <vt:lpstr>Fractional Columns</vt:lpstr>
      <vt:lpstr>Reactors volumes</vt:lpstr>
      <vt:lpstr>Exchangers Volumes</vt:lpstr>
      <vt:lpstr>Vessels Volume</vt:lpstr>
      <vt:lpstr>Piping Volume</vt:lpstr>
      <vt:lpstr>Average Streams</vt:lpstr>
      <vt:lpstr>Settling out</vt:lpstr>
      <vt:lpstr>Design pressure profile</vt:lpstr>
      <vt:lpstr>Depressuring flow</vt:lpstr>
      <vt:lpstr>Program Revisions</vt:lpstr>
      <vt:lpstr>'Average Streams'!Criteria</vt:lpstr>
      <vt:lpstr>HMB!Criteria</vt:lpstr>
      <vt:lpstr>'Program Revisions'!CurrRev</vt:lpstr>
      <vt:lpstr>Equipment</vt:lpstr>
      <vt:lpstr>ExchangersSS</vt:lpstr>
      <vt:lpstr>ExchangersTS</vt:lpstr>
      <vt:lpstr>'Average Streams'!Extract</vt:lpstr>
      <vt:lpstr>HMB!Extract</vt:lpstr>
      <vt:lpstr>HMB</vt:lpstr>
      <vt:lpstr>'Average Streams'!Print_Area</vt:lpstr>
      <vt:lpstr>'Depressuring flow'!Print_Area</vt:lpstr>
      <vt:lpstr>'Design pressure profile'!Print_Area</vt:lpstr>
      <vt:lpstr>'Exchangers Volumes'!Print_Area</vt:lpstr>
      <vt:lpstr>'Furnace Volume'!Print_Area</vt:lpstr>
      <vt:lpstr>General!Print_Area</vt:lpstr>
      <vt:lpstr>HMB!Print_Area</vt:lpstr>
      <vt:lpstr>'Piping Volume'!Print_Area</vt:lpstr>
      <vt:lpstr>'Program Revisions'!Print_Area</vt:lpstr>
      <vt:lpstr>'Reactors volumes'!Print_Area</vt:lpstr>
      <vt:lpstr>'Settling out'!Print_Area</vt:lpstr>
      <vt:lpstr>SKETCH!Print_Area</vt:lpstr>
      <vt:lpstr>HMB!Print_Titles</vt:lpstr>
      <vt:lpstr>Reactors</vt:lpstr>
      <vt:lpstr>strms</vt:lpstr>
      <vt:lpstr>strms2</vt:lpstr>
    </vt:vector>
  </TitlesOfParts>
  <Company>JACOBS ENGINEERING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SETTLE OUT AND DEPRESSURIZATION</dc:title>
  <dc:subject>CALCULATIONS</dc:subject>
  <dc:creator>Harini.Krishnamoorthy@jacobs.com</dc:creator>
  <dc:description>FOR REVIEW</dc:description>
  <cp:lastModifiedBy>Nick Brown</cp:lastModifiedBy>
  <cp:lastPrinted>2015-09-08T13:24:04Z</cp:lastPrinted>
  <dcterms:created xsi:type="dcterms:W3CDTF">1999-11-24T08:01:52Z</dcterms:created>
  <dcterms:modified xsi:type="dcterms:W3CDTF">2016-04-24T15:32:54Z</dcterms:modified>
</cp:coreProperties>
</file>